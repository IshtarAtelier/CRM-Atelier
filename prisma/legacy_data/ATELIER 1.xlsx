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VENTAS" sheetId="2" r:id="rId6"/>
    <sheet state="visible" name="DETALLE VENTAS" sheetId="3" r:id="rId7"/>
  </sheets>
  <definedNames/>
  <calcPr/>
</workbook>
</file>

<file path=xl/sharedStrings.xml><?xml version="1.0" encoding="utf-8"?>
<sst xmlns="http://schemas.openxmlformats.org/spreadsheetml/2006/main" count="9342" uniqueCount="865">
  <si>
    <t>nombre</t>
  </si>
  <si>
    <t>tipo_documento</t>
  </si>
  <si>
    <t>num_documento</t>
  </si>
  <si>
    <t>id_regimen</t>
  </si>
  <si>
    <t>fecha_nacimiento</t>
  </si>
  <si>
    <t>direccion</t>
  </si>
  <si>
    <t>telefono</t>
  </si>
  <si>
    <t>localidad</t>
  </si>
  <si>
    <t>id_departamento</t>
  </si>
  <si>
    <t>id_provincia</t>
  </si>
  <si>
    <t>email</t>
  </si>
  <si>
    <t>cobertura_salud</t>
  </si>
  <si>
    <t>num_cobertura_salud</t>
  </si>
  <si>
    <t>observaciones</t>
  </si>
  <si>
    <t>created_at</t>
  </si>
  <si>
    <t>updated_at</t>
  </si>
  <si>
    <t>Yani Pissano</t>
  </si>
  <si>
    <t>NULL</t>
  </si>
  <si>
    <t>-</t>
  </si>
  <si>
    <t>pissanoyani@gmail.com</t>
  </si>
  <si>
    <t>8000061649050021007</t>
  </si>
  <si>
    <t>Gino beltrame</t>
  </si>
  <si>
    <t>Paula Anael Firmapaz</t>
  </si>
  <si>
    <t>brussapauu@gmail.com</t>
  </si>
  <si>
    <t>Paula pressello</t>
  </si>
  <si>
    <t>Javier Ramallo Logos</t>
  </si>
  <si>
    <t>Raúl Magris</t>
  </si>
  <si>
    <t>Maria estudio de arquitectos</t>
  </si>
  <si>
    <t>Maria Ruggieri ( arquitectos) mucho tiempo en la PC quiere todos los filtros.</t>
  </si>
  <si>
    <t>Modelito cuadrado ! 
Las Oreiro  $ 45.629,40 &lt;(mismo valor ambos colores) Tres cuotas sin interés
Hanoover $ 16.769,20 Tres cuotas sin interés
El cristal SUPER BLUE ASFERICO el valor es de $ 32.000  tres cuotas sin interés. 
Cristal Blue light con antirreflejo $ 17.000 tres cuotas sin interés.
10% transferencia - 15% efectivo.</t>
  </si>
  <si>
    <t>yani pissano</t>
  </si>
  <si>
    <t>Catalina Jauns</t>
  </si>
  <si>
    <t>Mora Guzman</t>
  </si>
  <si>
    <t>Alem 274</t>
  </si>
  <si>
    <t>Lejos OD +1.50 - OI +1.75
CERCA AO ADD+3 
lejos fotocromatico organico</t>
  </si>
  <si>
    <t>Martina Lallana</t>
  </si>
  <si>
    <t>Yudisello 2342</t>
  </si>
  <si>
    <t>LEJOS OD 0°+1.00+1.75 OI 160°+0.50+1.25 
CERCA OD 0°+1.00+4.75 OI 160°+0.50+4.25
 -10% en transferencia -15% en efectivo 3 cuotas sin interés en armazones</t>
  </si>
  <si>
    <t>Melina Leone del mundo de la fantasía</t>
  </si>
  <si>
    <t>La Plata 799</t>
  </si>
  <si>
    <t>Jorge Franza cliente fantasía</t>
  </si>
  <si>
    <t>klein 78</t>
  </si>
  <si>
    <t>Maria Ruiz Cuante cliente fantasia</t>
  </si>
  <si>
    <t>klieond 67766</t>
  </si>
  <si>
    <t>Mendez Lucila cliente fantasia</t>
  </si>
  <si>
    <t>fidedmom 6665</t>
  </si>
  <si>
    <t>Jose Abregu cliente de fantasia</t>
  </si>
  <si>
    <t>el mundo 445</t>
  </si>
  <si>
    <t>Caro Conti</t>
  </si>
  <si>
    <t>Cotizar LENTES DE CONTACTO Y PASAR PRECIOS
OD -1 
OI  -1.25  +0.50  60°</t>
  </si>
  <si>
    <t>Pablo lapeyrin</t>
  </si>
  <si>
    <t>lentes de sol milano</t>
  </si>
  <si>
    <t>Anita Aguero</t>
  </si>
  <si>
    <t>3541 35-3560</t>
  </si>
  <si>
    <t>HIPERMETROPIA 
+0.25 AO 
EN LA RECETA PIDE SOLO ANTIREFLEX.</t>
  </si>
  <si>
    <t>Magi Diaz SCHMID</t>
  </si>
  <si>
    <t>Marina Ferrero</t>
  </si>
  <si>
    <t>marina75.ferro@gmail.com</t>
  </si>
  <si>
    <t>Marcelo Firmapaz</t>
  </si>
  <si>
    <t>Manzana 217 Lote 6</t>
  </si>
  <si>
    <t>marcefirmabox@hotmail.com</t>
  </si>
  <si>
    <t>Florencia Di Rienzo CASA ROLLER</t>
  </si>
  <si>
    <t>11 3197-6000</t>
  </si>
  <si>
    <t>JAVIER PACHECO</t>
  </si>
  <si>
    <t>ishtar pissano</t>
  </si>
  <si>
    <t>Mariana Gabellieri</t>
  </si>
  <si>
    <t>Samael Molinero</t>
  </si>
  <si>
    <t>Gabriel Torres</t>
  </si>
  <si>
    <t>Agustina Mirandam</t>
  </si>
  <si>
    <t>3874 42-6600</t>
  </si>
  <si>
    <t>cliente imaginario</t>
  </si>
  <si>
    <t>Soledad Bernal</t>
  </si>
  <si>
    <t>Martin CASA ROLLER</t>
  </si>
  <si>
    <t>Luciano Oro Casa roller</t>
  </si>
  <si>
    <t>Viviana Navarro</t>
  </si>
  <si>
    <t>MULTIFOCALES</t>
  </si>
  <si>
    <t>Mariné Romero</t>
  </si>
  <si>
    <t>Dionisio Centeno</t>
  </si>
  <si>
    <t>frente</t>
  </si>
  <si>
    <t>HAMETH MANTILLA</t>
  </si>
  <si>
    <t>Leon Obelis</t>
  </si>
  <si>
    <t>Pidio unos lentes de contacto con aumento ( entre 8 y 10) y otros sin aumento, ambos color miel, trabaja aca en la galeria y dijo que nos mandaba todos los detalles al wap!!</t>
  </si>
  <si>
    <t>Soledad Diaz Wap</t>
  </si>
  <si>
    <t>3512 04-7805</t>
  </si>
  <si>
    <t>AS204 plan - n°300171</t>
  </si>
  <si>
    <t>Gaston Perez</t>
  </si>
  <si>
    <t>Alicia Salinas consulta wapp / consulta para hija de 10 años</t>
  </si>
  <si>
    <t>Guillermo Rodriguez /Casa Roller</t>
  </si>
  <si>
    <t>GRADUACION DE SUS LENTES 
OD -2.25 +1.50 10° / 
OI -0.75 -1.50 80°</t>
  </si>
  <si>
    <t>Gabriela cliente Castiza</t>
  </si>
  <si>
    <t>Maxi wapp -3543540742</t>
  </si>
  <si>
    <t>Emi Óptica</t>
  </si>
  <si>
    <t>3518 17-8569</t>
  </si>
  <si>
    <t>Emiliano Daniel Mercado</t>
  </si>
  <si>
    <t>eugenia weihmuller</t>
  </si>
  <si>
    <t>Aldana Bonin</t>
  </si>
  <si>
    <t>MARIA BELEN VACIS</t>
  </si>
  <si>
    <t>3543 54-8242</t>
  </si>
  <si>
    <t>Hayder Bonilla</t>
  </si>
  <si>
    <t>Cesar Horacio Fernandez</t>
  </si>
  <si>
    <t>Santiago Riaño - CR</t>
  </si>
  <si>
    <t>3517 70-8144</t>
  </si>
  <si>
    <t>Victoria Herrera</t>
  </si>
  <si>
    <t>ester wap</t>
  </si>
  <si>
    <t>351 229 9057</t>
  </si>
  <si>
    <t>roxy</t>
  </si>
  <si>
    <t>3518 03-8687</t>
  </si>
  <si>
    <t>fran</t>
  </si>
  <si>
    <t>3513 49-9022</t>
  </si>
  <si>
    <t>Roxana Sabs</t>
  </si>
  <si>
    <t>LUCIA CR</t>
  </si>
  <si>
    <t>Andrea Tula INSTAGRAM</t>
  </si>
  <si>
    <t>Rocio Ro Rodriguez</t>
  </si>
  <si>
    <t>3512 79-4280</t>
  </si>
  <si>
    <t>Gabriel Mottino</t>
  </si>
  <si>
    <t>3512 84-7396</t>
  </si>
  <si>
    <t>Manu</t>
  </si>
  <si>
    <t>3516 89-0573</t>
  </si>
  <si>
    <t>Martin Corvalan</t>
  </si>
  <si>
    <t>Joaquin Garcia</t>
  </si>
  <si>
    <t>Paula Vera</t>
  </si>
  <si>
    <t>Mariana Peressoti</t>
  </si>
  <si>
    <t>Instagram bifocales comunes</t>
  </si>
  <si>
    <t>Ana huergo</t>
  </si>
  <si>
    <t>maria pia izquierdo</t>
  </si>
  <si>
    <t>luciana zerda</t>
  </si>
  <si>
    <t>Eugenia Zarzoso</t>
  </si>
  <si>
    <t>Martina garraza rodriguez</t>
  </si>
  <si>
    <t>Venta Mercado Libre  - Florencia Soledad Ybañez -</t>
  </si>
  <si>
    <t>Venta Mercado Libre - Julieta Paez</t>
  </si>
  <si>
    <t>Ferrero Gustavo de Coco</t>
  </si>
  <si>
    <t>Belen Nilo Elian  insatagram</t>
  </si>
  <si>
    <t>Margarita Ortiz Instagram Promo</t>
  </si>
  <si>
    <t>Luna Belen Instagram</t>
  </si>
  <si>
    <t>VIRGINIA ROJAS- insta wapp</t>
  </si>
  <si>
    <t>3425 19-5250</t>
  </si>
  <si>
    <t>Mariela Bazan INSTAGRAM</t>
  </si>
  <si>
    <t>Isabel WHApp</t>
  </si>
  <si>
    <t>362 471-1665</t>
  </si>
  <si>
    <t>Evangelina Davrieux WHAPP</t>
  </si>
  <si>
    <t>3445 44-3694</t>
  </si>
  <si>
    <t>Fiama Reyes</t>
  </si>
  <si>
    <t>fiama</t>
  </si>
  <si>
    <t>florencia godoy</t>
  </si>
  <si>
    <t>Marcelina isagi alegre INSTAGRAM</t>
  </si>
  <si>
    <t>Florencia Magali Fernandez - WHAPP</t>
  </si>
  <si>
    <t>SILVINA ROBEIN INSTAGRAM</t>
  </si>
  <si>
    <t>Gise Coria Wap</t>
  </si>
  <si>
    <t>3854 99-0287</t>
  </si>
  <si>
    <t>Debora Abigail Vara</t>
  </si>
  <si>
    <t>Maribel Whatsap</t>
  </si>
  <si>
    <t>MARICEL WHATSPP</t>
  </si>
  <si>
    <t>Cintia Abigail</t>
  </si>
  <si>
    <t>11 6586-2652</t>
  </si>
  <si>
    <t>alegrecinthiaabigail</t>
  </si>
  <si>
    <t>Georgina Ailen Whatsapp</t>
  </si>
  <si>
    <t>Roxana Larias whapp</t>
  </si>
  <si>
    <t>Laura Lapeyrin</t>
  </si>
  <si>
    <t>Zulma moreno /3513009839</t>
  </si>
  <si>
    <t>Gabriela Salomon wap</t>
  </si>
  <si>
    <t>3517 53-3298</t>
  </si>
  <si>
    <t>Carina Fabatia</t>
  </si>
  <si>
    <t>belen wap e hija</t>
  </si>
  <si>
    <t>Ivan Mendez</t>
  </si>
  <si>
    <t>Iara Gomez</t>
  </si>
  <si>
    <t>Mica Baltazar wap</t>
  </si>
  <si>
    <t>2915 06-1184</t>
  </si>
  <si>
    <t>Pamela Sol Wap</t>
  </si>
  <si>
    <t>3434 29-0443</t>
  </si>
  <si>
    <t>Tami whapp</t>
  </si>
  <si>
    <t>Flavia Gonzalez</t>
  </si>
  <si>
    <t>Chinita wap</t>
  </si>
  <si>
    <t>11 5401-3551</t>
  </si>
  <si>
    <t>Brisa Augusto Cortez</t>
  </si>
  <si>
    <t>3572 67-5988</t>
  </si>
  <si>
    <t>Pato Wap</t>
  </si>
  <si>
    <t>3525 52-1629</t>
  </si>
  <si>
    <t>Anyi Senes wap</t>
  </si>
  <si>
    <t>11 5702-9321</t>
  </si>
  <si>
    <t>Melody Nuñez</t>
  </si>
  <si>
    <t>11 2377-9335</t>
  </si>
  <si>
    <t>Patricia Chirino</t>
  </si>
  <si>
    <t>Euge Casa roller</t>
  </si>
  <si>
    <t>Manuel Hevia</t>
  </si>
  <si>
    <t>2657 28-2226</t>
  </si>
  <si>
    <t>Lautaro Rendon chico Uber</t>
  </si>
  <si>
    <t>Julian montañes</t>
  </si>
  <si>
    <t>Bibiana Barbero (mama marti)</t>
  </si>
  <si>
    <t>Mouratoglou Maria</t>
  </si>
  <si>
    <t>Ruta 20 KM 24</t>
  </si>
  <si>
    <t>Carlos Rodolfo Rodriguez</t>
  </si>
  <si>
    <t>Rizzetti Juana</t>
  </si>
  <si>
    <t>Patri Poli</t>
  </si>
  <si>
    <t>Mamá de Poli, amiga de Ish</t>
  </si>
  <si>
    <t>Joan Cuadrelli</t>
  </si>
  <si>
    <t>Giambone Silvia</t>
  </si>
  <si>
    <t>Serrano Sofía</t>
  </si>
  <si>
    <t>Dermendyieff Jemima</t>
  </si>
  <si>
    <t>Acosta Rafael</t>
  </si>
  <si>
    <t>Osaba Matias</t>
  </si>
  <si>
    <t>Gandini Elizabeth</t>
  </si>
  <si>
    <t>Gonzalez Castellanos María Inés</t>
  </si>
  <si>
    <t>Acosta Noelia</t>
  </si>
  <si>
    <t>Nigatake Yukari</t>
  </si>
  <si>
    <t>Corradini Adriana</t>
  </si>
  <si>
    <t>Endrek María</t>
  </si>
  <si>
    <t>Ale Fur</t>
  </si>
  <si>
    <t>Andrea Oaceara Diaz</t>
  </si>
  <si>
    <t>3525 65-3481</t>
  </si>
  <si>
    <t>Martin</t>
  </si>
  <si>
    <t>Fabbro Nicolás</t>
  </si>
  <si>
    <t>Almada Patricia</t>
  </si>
  <si>
    <t>Patocchi Mariana</t>
  </si>
  <si>
    <t>Maidana Micaela</t>
  </si>
  <si>
    <t>Enz Pablo</t>
  </si>
  <si>
    <t>Alvear Bernardita</t>
  </si>
  <si>
    <t>Gonzalez Constanza</t>
  </si>
  <si>
    <t>Mottino Federico</t>
  </si>
  <si>
    <t>Natalia Torres</t>
  </si>
  <si>
    <t>Cynthia Magris</t>
  </si>
  <si>
    <t>MERCADO LIBRE</t>
  </si>
  <si>
    <t>Carressane Andrea</t>
  </si>
  <si>
    <t>Rostan Favio</t>
  </si>
  <si>
    <t>Gavañini Estela</t>
  </si>
  <si>
    <t>Abonando en efectivo 20% de descuento. Total: $472.000
Seña mínima de $150.000</t>
  </si>
  <si>
    <t>Azrael</t>
  </si>
  <si>
    <t>Carrera Sergio</t>
  </si>
  <si>
    <t>Tempone Agustina</t>
  </si>
  <si>
    <t>Sosa Vanesa</t>
  </si>
  <si>
    <t>Garribia Marcelo</t>
  </si>
  <si>
    <t>Cofre Sara TN</t>
  </si>
  <si>
    <t>Caterina Granzetto</t>
  </si>
  <si>
    <t>Mancilla Fernanda</t>
  </si>
  <si>
    <t>Abraham Nora</t>
  </si>
  <si>
    <t>milena Somoza tkaczyk</t>
  </si>
  <si>
    <t>Tapia Yasmina - MET</t>
  </si>
  <si>
    <t>Warlen Valentina</t>
  </si>
  <si>
    <t>Miranda Diaz Candelaria</t>
  </si>
  <si>
    <t>Reyes Ana</t>
  </si>
  <si>
    <t>Raynal Nora</t>
  </si>
  <si>
    <t>Lisboa 4385</t>
  </si>
  <si>
    <t>La Plata</t>
  </si>
  <si>
    <t>Tarraga Juan Maximiliano</t>
  </si>
  <si>
    <t>biaku377@gmail.com</t>
  </si>
  <si>
    <t>Antuña Cejas Jacqueline</t>
  </si>
  <si>
    <t>Suarez Evangelina</t>
  </si>
  <si>
    <t>Suarez Milena</t>
  </si>
  <si>
    <t>Monica</t>
  </si>
  <si>
    <t>Lione Munill Zaira</t>
  </si>
  <si>
    <t>Daghero José</t>
  </si>
  <si>
    <t>Baracchi Antonella</t>
  </si>
  <si>
    <t>Albornoz Analia Elizabeth</t>
  </si>
  <si>
    <t>OCTAVIO cliente x puerta</t>
  </si>
  <si>
    <t>Cecilia Pereyra</t>
  </si>
  <si>
    <t>FRAN DISEÑADOR</t>
  </si>
  <si>
    <t>Erica Carrizo</t>
  </si>
  <si>
    <t>ALEXIS TORANZO</t>
  </si>
  <si>
    <t>Daniela Valoi</t>
  </si>
  <si>
    <t>Javier pomodoro</t>
  </si>
  <si>
    <t>EVELIN RODRIGUEZ</t>
  </si>
  <si>
    <t>Vanina sysiuk</t>
  </si>
  <si>
    <t>Sonia Guzman</t>
  </si>
  <si>
    <t>Paula cora</t>
  </si>
  <si>
    <t>Oliva Aron - papa Ariel</t>
  </si>
  <si>
    <t>Jorge Blochlinjer</t>
  </si>
  <si>
    <t>EVELIN LUCIANA LLORET</t>
  </si>
  <si>
    <t>Silvia Ovando</t>
  </si>
  <si>
    <t>Marcos Padilla</t>
  </si>
  <si>
    <t>Josias Berlanga</t>
  </si>
  <si>
    <t>Melani guemes</t>
  </si>
  <si>
    <t>angelina pujato</t>
  </si>
  <si>
    <t>Angelina Pujato</t>
  </si>
  <si>
    <t>Cesar Simeoni - Google ADS</t>
  </si>
  <si>
    <t>SELVA LORENA (nico dahan)</t>
  </si>
  <si>
    <t>ANGELINA PUJATO - DR. ACOSTA</t>
  </si>
  <si>
    <t>Franco Lopez - Calle</t>
  </si>
  <si>
    <t>Franco Lopez Instagram</t>
  </si>
  <si>
    <t>Ana Maria Cruz - Face Reel cursi</t>
  </si>
  <si>
    <t>Miguel cardenas - instagram Cursi</t>
  </si>
  <si>
    <t>Carlos Aita tagle - soldadura</t>
  </si>
  <si>
    <t>Silvia Ovando instagram cursi</t>
  </si>
  <si>
    <t>Soledad Cosarinsky - cursi insta</t>
  </si>
  <si>
    <t>Agustina Mamani Cerna - Mama Karina - Recomendado otra mama</t>
  </si>
  <si>
    <t>Maximiliano Alexis Molina - Envío Sol</t>
  </si>
  <si>
    <t>Maria cecilia moreno</t>
  </si>
  <si>
    <t>Hector Amaranto</t>
  </si>
  <si>
    <t>Alicia G Illanes</t>
  </si>
  <si>
    <t>ARIEL SEBASTIAN CHACON - DR. JEMIMA</t>
  </si>
  <si>
    <t>JULIETA DIAZ- DR. ACOSTA</t>
  </si>
  <si>
    <t>Alicia illies - cursi insta</t>
  </si>
  <si>
    <t>Moreno Maria Cecilia - DR. Jemima</t>
  </si>
  <si>
    <t>HECTOR AMARANTO- Cursi face</t>
  </si>
  <si>
    <t>DEBORA GOMEZ</t>
  </si>
  <si>
    <t>DEBORA GOMEZ - Cursi insta - Envío</t>
  </si>
  <si>
    <t>VIVIANA EBENEGGER - Cursi insta - Envio</t>
  </si>
  <si>
    <t>DALMA GAITAN</t>
  </si>
  <si>
    <t>Aracely Urano - Busqueda de Google</t>
  </si>
  <si>
    <t>Agustina Mirandam - amiga chani</t>
  </si>
  <si>
    <t>CABALLEROS</t>
  </si>
  <si>
    <t>Arq. Mariela Porcile_Taty - Clienta ingresa de calle</t>
  </si>
  <si>
    <t>Burlini Oscar</t>
  </si>
  <si>
    <t>Burlini Oscar👷🏻‍♂️ - Cursi face</t>
  </si>
  <si>
    <t>Diego Ercolini - Cursi Face</t>
  </si>
  <si>
    <t>Camila Lipcen - DR. Jemima</t>
  </si>
  <si>
    <t>Jonathan Elian Espinoza</t>
  </si>
  <si>
    <t>Eugenia Marta Aleman - Cursi instagram</t>
  </si>
  <si>
    <t>ADRIANA RAGAGNIN - Cursi Insta</t>
  </si>
  <si>
    <t>Fernando Lopez -</t>
  </si>
  <si>
    <t>Fernando Lopez - busquedas en google e insta</t>
  </si>
  <si>
    <t>Cristian Rivarola</t>
  </si>
  <si>
    <t>Cristian Rivarola - Google busqueda</t>
  </si>
  <si>
    <t>Nicolas Gallardo - Cursi insta</t>
  </si>
  <si>
    <t>Jonathan Espinoza - Adolescente</t>
  </si>
  <si>
    <t>Rocio Milagros Carranza</t>
  </si>
  <si>
    <t>Rocio Milagros Carranza - Cursi insta</t>
  </si>
  <si>
    <t>Clemente Molinari - Busqueda de google maps</t>
  </si>
  <si>
    <t>Natalia Lempert - Recomendada por la hija Camila Lipcen</t>
  </si>
  <si>
    <t>Facundo Revol - DR. ACOSTA</t>
  </si>
  <si>
    <t>Angelica Maria Crespi - Recomendada por :Esposa de Nicolas gallardo</t>
  </si>
  <si>
    <t>FLAVIA FUNES - ustedes son optica italia?</t>
  </si>
  <si>
    <t>BELEN DELGADO ALAYON</t>
  </si>
  <si>
    <t>Joaquin Sanchis</t>
  </si>
  <si>
    <t>Joaquin Sanchis - busqueda google</t>
  </si>
  <si>
    <t>Magali Azucena Sanchez Vera - Google ads</t>
  </si>
  <si>
    <t>Erika Vargas - Reel yani multi FACE</t>
  </si>
  <si>
    <t>Cristian Rivarola- google ads</t>
  </si>
  <si>
    <t>Gabriela Gonzalez- reel cursi instagram</t>
  </si>
  <si>
    <t>FERNANDO LOPEZ - Busqueda de instagram.</t>
  </si>
  <si>
    <t>MARTA EUGENIA ALEMAN- Multi cursi insta</t>
  </si>
  <si>
    <t>Alicia Ahumada (viejita) // Gabriela Nanini</t>
  </si>
  <si>
    <t>Silvia Mercerat</t>
  </si>
  <si>
    <t>Silvia Mercerat - Busqueda google</t>
  </si>
  <si>
    <t>Burlini Oscar - cursi face</t>
  </si>
  <si>
    <t>Monica Galarraga - DR. JEMIMA</t>
  </si>
  <si>
    <t>CLIENTA DE CALLE- COMPRA SOLO ARMAZON</t>
  </si>
  <si>
    <t>Luciana Lavisse- Recomendada por la hija Julieta Diaz(derivada en su momento por Rafael) MET</t>
  </si>
  <si>
    <t>BELEN DELGADO ALAYON (y su marido)</t>
  </si>
  <si>
    <t>BELEN DELGADO ALAYON (y su marido) - Cursi reel face</t>
  </si>
  <si>
    <t>BELEN DELGADO ALAYON - TARCISIO MARTINEZ GRANADILLO- Reel cursi face</t>
  </si>
  <si>
    <t>Alejandro Naraskevicius (Marido Moira Lehmann)- Cursi insta</t>
  </si>
  <si>
    <t>RAFAEL ACOSTA</t>
  </si>
  <si>
    <t>Jemima Dermendieff</t>
  </si>
  <si>
    <t>JOAQUIN SANCHIS - Google ads</t>
  </si>
  <si>
    <t>Estefania Marabotto- google ads</t>
  </si>
  <si>
    <t>Carolina castro (mujer de Oscar Burlini)</t>
  </si>
  <si>
    <t>Helen Beccaria- Cliente de calle</t>
  </si>
  <si>
    <t>Camilo martin Castillo Chapor - Mamá Natalia Romina Chapor</t>
  </si>
  <si>
    <t>Camilo martin Castillo Chapor// Mama natalia chapor -instagram</t>
  </si>
  <si>
    <t>Francchesco galeano Kid - Google ads</t>
  </si>
  <si>
    <t>CABRERA, BRIAN</t>
  </si>
  <si>
    <t>CABRERA BRIAN - reel multi insta face</t>
  </si>
  <si>
    <t>Cardoni Natalia selene - instagram</t>
  </si>
  <si>
    <t>Cabrra Brian- reel cursi face</t>
  </si>
  <si>
    <t>Cabrera Brian- reel cursi instagram</t>
  </si>
  <si>
    <t>Alayon Delgado Gerardo (referido por belen alayon hermana)</t>
  </si>
  <si>
    <t>Cardoni Natalia Selene- reel  2x1 instagram</t>
  </si>
  <si>
    <t>Alvarado Soledad - busqueda de google</t>
  </si>
  <si>
    <t>Escalante Aldana - google ads</t>
  </si>
  <si>
    <t>Alonso Sebastian</t>
  </si>
  <si>
    <t>Alonso Sebastian - reel 2x1 local</t>
  </si>
  <si>
    <t>Arguelles Maria cristina- reel usal irrompible</t>
  </si>
  <si>
    <t>MUTAL PABLO- FACEBOOK Y CALLE</t>
  </si>
  <si>
    <t>carranza maria paz-referencia hermana rocio carranza</t>
  </si>
  <si>
    <t>PEZZINI LEANDRO- REFERENCIA CLINICA DE OJOS</t>
  </si>
  <si>
    <t>Grivarelo Carina - Google maps</t>
  </si>
  <si>
    <t>Centeno Julieta- Google ads</t>
  </si>
  <si>
    <t>Tarcisio Martinez - Marido de Belen Alayon - face</t>
  </si>
  <si>
    <t>Modotti Natalia - DR. JEMIMA</t>
  </si>
  <si>
    <t>CACERES MARIO (receta de onnis) viejito</t>
  </si>
  <si>
    <t>BUSTAMANTE MATIAS - GOOGLE ADS</t>
  </si>
  <si>
    <t>Ian Zelsky</t>
  </si>
  <si>
    <t>Jaime de la vega y Luciana Medrano - clientes de calle</t>
  </si>
  <si>
    <t>Domiguez Santino - Instagram</t>
  </si>
  <si>
    <t>Roganti Lorena Cecilia</t>
  </si>
  <si>
    <t>GRAMAJO EDUARDO EZEQUIEL</t>
  </si>
  <si>
    <t>3513 41-2700</t>
  </si>
  <si>
    <t>CORDOBA</t>
  </si>
  <si>
    <t>GRAMAJO EDUARDO EZEQUIEL - REFERIDO MATIAS</t>
  </si>
  <si>
    <t>OTRO</t>
  </si>
  <si>
    <t>GASTALDI JESICA</t>
  </si>
  <si>
    <t>Córdoba</t>
  </si>
  <si>
    <t>AFILIADO APROSS</t>
  </si>
  <si>
    <t>GASTALDI JESICA - GOOGLE ADS</t>
  </si>
  <si>
    <t>DEAMBROSSIO LUCAS - REFRENTE MATIAS</t>
  </si>
  <si>
    <t>Da silva Antonela - Instagram busquedas</t>
  </si>
  <si>
    <t>DA SILVA ANTONELLA - INSTAGRAM</t>
  </si>
  <si>
    <t>Panigo Claudia - Google ads, llamada telefonica</t>
  </si>
  <si>
    <t>Sequeira Angeles</t>
  </si>
  <si>
    <t>Sequeria Angeles - Referido Bustamante Matias(google)</t>
  </si>
  <si>
    <t>liente Gonzalez Familia Gabriel Melani Y Tomas - GOOGLE ADS</t>
  </si>
  <si>
    <t>Gonzalez Familia Gabriel Melani Y Tomas - Google Ads</t>
  </si>
  <si>
    <t>Hansen Ivana - Instagram reel cursi 2x1</t>
  </si>
  <si>
    <t>SALGUERO LUCIA - TIENDA NUBE</t>
  </si>
  <si>
    <t>GOMEZ JULIETA IVANA- INSTAGRAM</t>
  </si>
  <si>
    <t>GABRIELFRANCO@GMAIL.COM</t>
  </si>
  <si>
    <t>BENITEZ ALAN - INSTAGRAM</t>
  </si>
  <si>
    <t>TERESA NARDI - GOOGLE</t>
  </si>
  <si>
    <t>HAYAS PAULA - REFERIDO MATI</t>
  </si>
  <si>
    <t>SIERRA JIMENA - REFERIDO MATI</t>
  </si>
  <si>
    <t>Crowder Elizabeth (Lili) Instagram reel 2x1</t>
  </si>
  <si>
    <t>LUNA CAMILA</t>
  </si>
  <si>
    <t>LUNA CAMILA- CALLE</t>
  </si>
  <si>
    <t>PULICELLI CARLOS - REFERENCIA YANI/ISH</t>
  </si>
  <si>
    <t>CASTRO JAVIER - GOOGLE</t>
  </si>
  <si>
    <t>SPADA CONSTANZA - CALLE</t>
  </si>
  <si>
    <t>CELIZ THOMAS - GOOGL ADS</t>
  </si>
  <si>
    <t>CELIZ THOMAS - POR PAGINA DE SANCOR SALUD (OPTICAS PRESTADORAS)</t>
  </si>
  <si>
    <t>Melisa Reimer - Google maps (vio reseñas)</t>
  </si>
  <si>
    <t>SEIA NORA -CALLE</t>
  </si>
  <si>
    <t>SANCHEZ SOLANA - INSTAGRAM</t>
  </si>
  <si>
    <t>SANCHEZ SONIA</t>
  </si>
  <si>
    <t>SANCHEZ SONIA -INSTAGRAM</t>
  </si>
  <si>
    <t>MARQUEZ MALENA</t>
  </si>
  <si>
    <t>MALENA MARQUEZ - DERIVADA JEMIMA</t>
  </si>
  <si>
    <t>Soler Guadalupe</t>
  </si>
  <si>
    <t>Soler Guadalupe - Calle</t>
  </si>
  <si>
    <t>Mariela Estancia vieja referida Yani</t>
  </si>
  <si>
    <t>PALLARES SABRINA - SEO Y TAG anteojo busqueda</t>
  </si>
  <si>
    <t>DIEGO PEREZ</t>
  </si>
  <si>
    <t>GASTALDI VIVIANA</t>
  </si>
  <si>
    <t>GASTALDI VIVIANA - CALLE</t>
  </si>
  <si>
    <t>CARUZZO ESTEBAN - CALLE</t>
  </si>
  <si>
    <t>TORRES MAZA CAMILA</t>
  </si>
  <si>
    <t>TORRES CAMILA- REFERIDA MATI</t>
  </si>
  <si>
    <t>NAHUEL BURBAN - INSTAGRAM</t>
  </si>
  <si>
    <t>VEGA SONIA - CALLE</t>
  </si>
  <si>
    <t>GRAVANO FEDERICO - CALLE</t>
  </si>
  <si>
    <t>ZAVALA LEONELA -GOOGLE ADS</t>
  </si>
  <si>
    <t>Otadola Tadeo  - GOOGLE</t>
  </si>
  <si>
    <t>Roura Ricardo - referido de clienta maria cecilia moreno</t>
  </si>
  <si>
    <t>Romero Diego</t>
  </si>
  <si>
    <t>ROURA RICARDO</t>
  </si>
  <si>
    <t>CARRICABURU MARIA FERNANDA</t>
  </si>
  <si>
    <t>LAURA ANSELMINO - Google maps</t>
  </si>
  <si>
    <t>Judith Arab cohen</t>
  </si>
  <si>
    <t>Cabanillas Theo Benjamin - Instagram</t>
  </si>
  <si>
    <t>Cliente Ranguinao Melina Google maps</t>
  </si>
  <si>
    <t>De la colina Franco - cliente de calle (trabaja cerca)</t>
  </si>
  <si>
    <t>MARIANA VALERIA CABANILLAS - DRA. JEMIMA</t>
  </si>
  <si>
    <t>MONSU ANTONELLA</t>
  </si>
  <si>
    <t>MONSU ANTONELLA - GOOGLE MAPS</t>
  </si>
  <si>
    <t>ORIOLI JUAN MANUEL</t>
  </si>
  <si>
    <t>LLOPIS LYDIA -JEMIMA</t>
  </si>
  <si>
    <t>COROMINA MARIA ANGELINA</t>
  </si>
  <si>
    <t>COROMINA MARIA ANGELINA - JEMIMA</t>
  </si>
  <si>
    <t>GOMEZ LILIANA- GOOGLE MAPS</t>
  </si>
  <si>
    <t>CORDOBA ROBERTO</t>
  </si>
  <si>
    <t>CORDOBA ROBERTO - INSTAGRAM</t>
  </si>
  <si>
    <t>Fernandez Adriano Eusebio - Facebook reel 2x1 Poli</t>
  </si>
  <si>
    <t>Perez Gonzalez Miriam - pareja de Fernandez Adriano, compran juntos</t>
  </si>
  <si>
    <t>Sabagh Ludmila</t>
  </si>
  <si>
    <t>Linera Lautaro</t>
  </si>
  <si>
    <t>Linera Lautaro - google maps</t>
  </si>
  <si>
    <t>Bonada Sabrina - google</t>
  </si>
  <si>
    <t>MOLINA ELVIRA MARIEELA</t>
  </si>
  <si>
    <t>MOLINA MARIEELA ELVIRA - FACEBOOK</t>
  </si>
  <si>
    <t>CORDOBA ROBERTO FACE 2X1 POLI</t>
  </si>
  <si>
    <t>Quevedo Fernanda -DRA. JEMIMA  - Nobis</t>
  </si>
  <si>
    <t>3512 00-1759</t>
  </si>
  <si>
    <t>Miranda Karina WAVE (datos)</t>
  </si>
  <si>
    <t>RIAÑO JORGE</t>
  </si>
  <si>
    <t>Mati turchi</t>
  </si>
  <si>
    <t>d</t>
  </si>
  <si>
    <t>PISSANO LUCIA</t>
  </si>
  <si>
    <t>GUSTAVO PAGLIALUNGA-CALLE</t>
  </si>
  <si>
    <t>DUARTE QUIROS</t>
  </si>
  <si>
    <t>BORDON GASTON ALEGRE FERNANDO - DRA. LLUPIA</t>
  </si>
  <si>
    <t>RODRIGUEZ MANOLO GOOGLE MAPS</t>
  </si>
  <si>
    <t>Gutierrez Alberto Gbriel</t>
  </si>
  <si>
    <t>GUTIERREZ GABRIEL - GOOGLE MAPS</t>
  </si>
  <si>
    <t>BORDON GASTON FERNANDO - Dra Virgina LLupia</t>
  </si>
  <si>
    <t>TULA CAROLINA - META FACEBOOK</t>
  </si>
  <si>
    <t>ADRIANA GONZALES - INTAGRAM META</t>
  </si>
  <si>
    <t>Del Valle Perez Andrea</t>
  </si>
  <si>
    <t>Del Valle Perez Andea - google maps</t>
  </si>
  <si>
    <t>MOLINA BARRIOS LUCAS - CALLE</t>
  </si>
  <si>
    <t>Aranciba Maria Emilse</t>
  </si>
  <si>
    <t>CLAVERO LEILA PAOLA -CALLE</t>
  </si>
  <si>
    <t>PABLO PRMO-REFERIDO ISH</t>
  </si>
  <si>
    <t>SOTOMAYOT PILAR- CALLE</t>
  </si>
  <si>
    <t>LOZADA FERNANDO - CALLE</t>
  </si>
  <si>
    <t>LOZANO FERNANDO</t>
  </si>
  <si>
    <t>LOZANO FERNANDO -CALLE</t>
  </si>
  <si>
    <t>MARTINEZ MARIA CRISTINA</t>
  </si>
  <si>
    <t>MARTINEZ MARIA CRISTINA - FACEBOOK META</t>
  </si>
  <si>
    <t>MUCHUT GERMAN- CALLE</t>
  </si>
  <si>
    <t>Escalante Ines - Opticas prestadoras</t>
  </si>
  <si>
    <t>GOTTA ISAAC - GOOGLE ADS</t>
  </si>
  <si>
    <t>GOTTA ISAAC</t>
  </si>
  <si>
    <t>RAMOS GLADYS - GOOGLE ADS</t>
  </si>
  <si>
    <t>RENE SILVA RAUL - ESPOSO DE GLADYS GOOGLE ADS</t>
  </si>
  <si>
    <t>GONZALEZ ROBERTO - GOOGLE ADS</t>
  </si>
  <si>
    <t>SANTELLAN NORBERTO - INSTAGRAM</t>
  </si>
  <si>
    <t>Gonzalez Iara</t>
  </si>
  <si>
    <t>CALDERON NABIL -GOOGLE MAPS</t>
  </si>
  <si>
    <t>Gonzalez Patricia</t>
  </si>
  <si>
    <t>Capello Luis Marcelo - Tania Aguirre</t>
  </si>
  <si>
    <t>SOLANA FLAVIO - GOOGLE MAPS</t>
  </si>
  <si>
    <t>BEZERRA THALIA - AMIGA IHSTAR</t>
  </si>
  <si>
    <t>BARRERA MARTHA ELENA - GOOGLE MAPS</t>
  </si>
  <si>
    <t>OCHOA SERGIO - REFERIDO CLIENTES</t>
  </si>
  <si>
    <t>FAMILIA GARCIA, PILAR GRACIELA JUAN - DR ACOSTA</t>
  </si>
  <si>
    <t>CARO CONTI - AMIGA ISHTAR</t>
  </si>
  <si>
    <t>BONALUNI EMILIANO - REFERIDO CLIENTES</t>
  </si>
  <si>
    <t>MORENO CESAR ESTRADA - FACEBOOK META</t>
  </si>
  <si>
    <t>SILVIA ANDREA - GOOGLE ADS</t>
  </si>
  <si>
    <t>VIVIANA ESPECHE - GOOGLE ADS</t>
  </si>
  <si>
    <t>REYNOSO AZULCENA - GOOGLE MAPS</t>
  </si>
  <si>
    <t>LUIS RUBERN RAVASI - FASTA</t>
  </si>
  <si>
    <t>ESPINOZA JEMIMA - RECOMPRA CLIENTES</t>
  </si>
  <si>
    <t>ALLENDE CANDELARIA - GOOGLE MAPS</t>
  </si>
  <si>
    <t>BARTOLOME CAMILA - GOOGLE MAPS</t>
  </si>
  <si>
    <t>VAZQUEZ VICTOR - GOOGLE MAPS</t>
  </si>
  <si>
    <t>YAMIL PEREZ LUCIANO - GOOGLE ADS</t>
  </si>
  <si>
    <t>SELVA LORENA - REFERIDO EQUIPO</t>
  </si>
  <si>
    <t>BERETTA TOMAS - FASTA</t>
  </si>
  <si>
    <t>SILVIA DOMINGUEZ (PAGO BENJAMIN) - GOOOGLE ADS</t>
  </si>
  <si>
    <t>LAUTARO ROSA (EDWIN PADRE) - GOOGLE MAPS</t>
  </si>
  <si>
    <t>AIDA MARGARITA LOZANO - GOOGLE ADS</t>
  </si>
  <si>
    <t>SALOMON GASTON - CALLE</t>
  </si>
  <si>
    <t>GUEMES IVAN - CALLE</t>
  </si>
  <si>
    <t>ORTIZ MICAELA BELEN - CALLE</t>
  </si>
  <si>
    <t>TORRES MAZA ANAHI -FASTA</t>
  </si>
  <si>
    <t>PRADOS AGUSTINA -CALLE</t>
  </si>
  <si>
    <t>SINGER GONZALO- FASTA</t>
  </si>
  <si>
    <t>LINDA RICINGNUOLO - INSTAGRAM META</t>
  </si>
  <si>
    <t>FABRIZIO ROLLER - AMIGO ISHTAR</t>
  </si>
  <si>
    <t>PATOCHI MARIANA - RECOMPRA CLIENTE</t>
  </si>
  <si>
    <t>ROMINA VOLLAROEL- GOOGLE MAPS</t>
  </si>
  <si>
    <t>ESTEBAM CARU - CLIENTE RECOMPRA</t>
  </si>
  <si>
    <t>Torres  Gabriel</t>
  </si>
  <si>
    <t>Hosen ester</t>
  </si>
  <si>
    <t>54 9 3517 64-6708</t>
  </si>
  <si>
    <t>Amaro Duarte Paloma</t>
  </si>
  <si>
    <t>54 9 3512 70-7439</t>
  </si>
  <si>
    <t>Luz agustina Panaccio</t>
  </si>
  <si>
    <t>54 9 2213 05-8597</t>
  </si>
  <si>
    <t>Luschan Sergei</t>
  </si>
  <si>
    <t>7 911 278-07-48</t>
  </si>
  <si>
    <t>Fernando Panero</t>
  </si>
  <si>
    <t>54 9 3516 79-9017</t>
  </si>
  <si>
    <t>Nicolau Francisco</t>
  </si>
  <si>
    <t>pereyra victoria</t>
  </si>
  <si>
    <t>Milligan Josef</t>
  </si>
  <si>
    <t>54 9 3512 38-1819</t>
  </si>
  <si>
    <t>Deusebio Lucas</t>
  </si>
  <si>
    <t>Apesteguia Rodrigo Eduardo</t>
  </si>
  <si>
    <t>Eugenia Funes Maria</t>
  </si>
  <si>
    <t>Chavez Silvina Edith</t>
  </si>
  <si>
    <t>DNI</t>
  </si>
  <si>
    <t>Barrera Debora</t>
  </si>
  <si>
    <t>Lucila Louzan</t>
  </si>
  <si>
    <t>Buzzacchi Gabriea</t>
  </si>
  <si>
    <t>Giannini Rubn</t>
  </si>
  <si>
    <t>Rodriguez Gabriela</t>
  </si>
  <si>
    <t>54 9 3855 39-7281</t>
  </si>
  <si>
    <t>Jhonatan Lombardi</t>
  </si>
  <si>
    <t>Gomez Prax Christian</t>
  </si>
  <si>
    <t>Lugo Federico</t>
  </si>
  <si>
    <t>Santiago Riaño</t>
  </si>
  <si>
    <t>Bavetta Diego</t>
  </si>
  <si>
    <t>De Luca Ariel</t>
  </si>
  <si>
    <t>Facciano Fanny</t>
  </si>
  <si>
    <t>Anselmino Laura</t>
  </si>
  <si>
    <t>Mussolini Maria Cristina</t>
  </si>
  <si>
    <t>54 9 3515 13-8787</t>
  </si>
  <si>
    <t>Ivanna Elizabeth Luna</t>
  </si>
  <si>
    <t>Lozada Johan</t>
  </si>
  <si>
    <t>Nievas sanchez Lourdes</t>
  </si>
  <si>
    <t>Soto Alfredo</t>
  </si>
  <si>
    <t>Petzold Maria Ines</t>
  </si>
  <si>
    <t>Alberto Dahan</t>
  </si>
  <si>
    <t>Breatriz Revol</t>
  </si>
  <si>
    <t>Martin Ignacio Backhaus</t>
  </si>
  <si>
    <t>RECIO GIULANO</t>
  </si>
  <si>
    <t>Paula Ledesma</t>
  </si>
  <si>
    <t>Aida Orquera</t>
  </si>
  <si>
    <t>Lopez Mia</t>
  </si>
  <si>
    <t>Martinez Julia Ana</t>
  </si>
  <si>
    <t>Sidi Dalit</t>
  </si>
  <si>
    <t>54 9 3512 27-5544</t>
  </si>
  <si>
    <t>Rivera Veronica</t>
  </si>
  <si>
    <t>Gaston Ciliberto</t>
  </si>
  <si>
    <t>parmini edgardo</t>
  </si>
  <si>
    <t>Parmini Edgardo</t>
  </si>
  <si>
    <t>Numero perdido cambi</t>
  </si>
  <si>
    <t>Cordoba</t>
  </si>
  <si>
    <t>Charo Marti</t>
  </si>
  <si>
    <t>Enzo Franco</t>
  </si>
  <si>
    <t>Rivera Veronica (Sofia)</t>
  </si>
  <si>
    <t>54 9 3513 86-6909</t>
  </si>
  <si>
    <t>num_venta</t>
  </si>
  <si>
    <t>fecha_hora</t>
  </si>
  <si>
    <t>total</t>
  </si>
  <si>
    <t>ojo</t>
  </si>
  <si>
    <t>nombre_articulo</t>
  </si>
  <si>
    <t>esf</t>
  </si>
  <si>
    <t>cil</t>
  </si>
  <si>
    <t>eje</t>
  </si>
  <si>
    <t>cantidad</t>
  </si>
  <si>
    <t>precio</t>
  </si>
  <si>
    <t>OD</t>
  </si>
  <si>
    <t>ANT PRETEND BROWN/UB 14 Polarizado</t>
  </si>
  <si>
    <t>VULK STRAY MBLK Negro brillo BLUE BLOCK</t>
  </si>
  <si>
    <t>AO</t>
  </si>
  <si>
    <t>M8006 C3</t>
  </si>
  <si>
    <t>ORGANICO BLANCO índice 1.49</t>
  </si>
  <si>
    <t>OI</t>
  </si>
  <si>
    <t>RANGO EXTENDIDO - Orgánico blanco (lente gruesa) Índice 1.49</t>
  </si>
  <si>
    <t>T7008 C4 / CLIP ON</t>
  </si>
  <si>
    <t>RANGO EXTENDIDO, ORGANICO SUPER BLUE c/ AR - Índice 1.60 (Asférica) Con GARANTIA</t>
  </si>
  <si>
    <t>Organico SUPER BLUE Asférico C/AR - Índice 1.60 CON GARANTIA</t>
  </si>
  <si>
    <t>MILANO NEGRO BRILLO</t>
  </si>
  <si>
    <t>FRANCE NGM NGM-POL</t>
  </si>
  <si>
    <t>ANT LE GROUPIE MO445/907</t>
  </si>
  <si>
    <t>2393 C5</t>
  </si>
  <si>
    <t>ORGANICO BLUE LIGTH C/AR - Índice 1.56</t>
  </si>
  <si>
    <t>ANT ANIMA SIENNA  green emerald</t>
  </si>
  <si>
    <t>SEOUL NGB NGD</t>
  </si>
  <si>
    <t>LENA ngb</t>
  </si>
  <si>
    <t>Teñido Compacto/Pleno</t>
  </si>
  <si>
    <t>PLAQUETAS SILIC. A TORNILLO GRANDE/MEDIANO</t>
  </si>
  <si>
    <t>TORNILLOS PARA PLAQUETAS</t>
  </si>
  <si>
    <t>COLITAS TERM.  MARRON</t>
  </si>
  <si>
    <t>OTAWA C1</t>
  </si>
  <si>
    <t>AY734 53 19 - COL 533 AZUL MARINO MATE</t>
  </si>
  <si>
    <t>T1936 C1 /  CLIP ON</t>
  </si>
  <si>
    <t>T7011-C4 CLIP ON</t>
  </si>
  <si>
    <t>AY195 101 08 - MESH NEGRO MATE</t>
  </si>
  <si>
    <t>1803 C1 - CLIP ON</t>
  </si>
  <si>
    <t>LIQUIDO LIMPIADOR DE CRISTALES X 60ML-VARIOS</t>
  </si>
  <si>
    <t>CI511 200 48 - AIR 4 SUN PLATA MATE</t>
  </si>
  <si>
    <t>FRANCE NGM HAB</t>
  </si>
  <si>
    <t>LIQUIDO LIMPIADOR DE CRISTALES X 35ML-VARIOS</t>
  </si>
  <si>
    <t>ISIDORO0 -ANTEOJO DE SOL PROTOTYPE ISIDORO01</t>
  </si>
  <si>
    <t>SWFS0221 - Pond Gold Metal Polarized Karun</t>
  </si>
  <si>
    <t>3876 CAL49 C3</t>
  </si>
  <si>
    <t>MG RX 402-3</t>
  </si>
  <si>
    <t>KAUS01611 - Nuco White Karun</t>
  </si>
  <si>
    <t>ANT Principal Brown/B15 Pol</t>
  </si>
  <si>
    <t>DR 21188 C1</t>
  </si>
  <si>
    <t>4069 ARMAZON GRIS PLATA</t>
  </si>
  <si>
    <t>PLACAS POLARIZADAS GRIS - Base 4/6/8 - Diam 70x60</t>
  </si>
  <si>
    <t>ORGANICO DEGRADE GRIS / SEPIA / VERDE - Base 4/6/8 - Diam 71</t>
  </si>
  <si>
    <t>U048 AZUL MATE MODELO AVIADOR</t>
  </si>
  <si>
    <t>U048 NEGRO MATE MODELO AVIADOR</t>
  </si>
  <si>
    <t>7312 C1</t>
  </si>
  <si>
    <t>6108 C4</t>
  </si>
  <si>
    <t>TR7567 C2</t>
  </si>
  <si>
    <t>AY686 100 52 - ANN RX NEGRO BRILLANTE</t>
  </si>
  <si>
    <t>HAN101 C4 DORADO</t>
  </si>
  <si>
    <t>LE MANS NGB-S/P</t>
  </si>
  <si>
    <t>3843 CAL53 C1</t>
  </si>
  <si>
    <t>4577 CRISTAL VERDE POLARIZADO- ARMAZON NEGRO</t>
  </si>
  <si>
    <t>C1511 200 48- AIR 4 SUN PLATA MATE</t>
  </si>
  <si>
    <t>SNE57014-ARMAZON ROSA TRASLUCIDO</t>
  </si>
  <si>
    <t>SNE57015-ARMAZON NEGRO BRILLO</t>
  </si>
  <si>
    <t>ORGANICO ESPEJADO (RED/ BLUE/ SILVER/ GOLD/ PINK)- Base 2/4/6 - Diam 71</t>
  </si>
  <si>
    <t>MALTA AZM HA</t>
  </si>
  <si>
    <t>Armazon receta Clementina - Pink  - Atelier (SNE57012)</t>
  </si>
  <si>
    <t>PALERMO01-ANTEOJOS DE SOL MISTRAL PALERMO01</t>
  </si>
  <si>
    <t>CI511 132 06- AIR 4 SUN PELTRE MATE</t>
  </si>
  <si>
    <t>AY202 211 60 - VENICE 2 DORADO ROSA MATE</t>
  </si>
  <si>
    <t>DR21190 C3</t>
  </si>
  <si>
    <t>Organico Blue Light 1,56 Essential</t>
  </si>
  <si>
    <t>Organico Blanco Alto Índice 1.60 ESSENTIAL (antirreflejo de una sola cara)</t>
  </si>
  <si>
    <t>SNE57015-ARMAZON LILA TRASLUCIDO</t>
  </si>
  <si>
    <t>SNE57019-ARMAZON HABANO</t>
  </si>
  <si>
    <t>ORGANICO BLANCO C/AR - índice 1.56</t>
  </si>
  <si>
    <t>2114 C1</t>
  </si>
  <si>
    <t>AY715 310 53- JETT CREMA SOLID BR</t>
  </si>
  <si>
    <t>CLIPON BC 1809 140 C5</t>
  </si>
  <si>
    <t>T7010 C4 / CLIP ON</t>
  </si>
  <si>
    <t>EMBUTIDO</t>
  </si>
  <si>
    <t>Teñido Degrade</t>
  </si>
  <si>
    <t>ANT LODER - metalico- BLUE BLOCK</t>
  </si>
  <si>
    <t>AY687 277 53 - CLEM RX CREMA SOLIDO BRILLO</t>
  </si>
  <si>
    <t>Organico BLUE LIGHT Essential</t>
  </si>
  <si>
    <t>AY226 132 22 - NO NAME 1 NEGRO MATE</t>
  </si>
  <si>
    <t>SNE57013- ARMAZON HABANO</t>
  </si>
  <si>
    <t>RANGO EXTENDIDO - Orgánico Blue ligth con AR - Índice 1.56</t>
  </si>
  <si>
    <t>CE 5501 VIOLETA DEGRADE CRISTAL NEGRO POLARIZADO</t>
  </si>
  <si>
    <t>83131 C5</t>
  </si>
  <si>
    <t>95916 CLIP ON NEGRO POLARIZADO - TR90 C6</t>
  </si>
  <si>
    <t>AJUSTES VARIOS</t>
  </si>
  <si>
    <t>ANT BILLER S 198K-046 Verde translucido</t>
  </si>
  <si>
    <t>Usual Adolescente/adulto Negro brillo</t>
  </si>
  <si>
    <t>Organico Blanco Alto Indice 1,60 ESSENTIAL A.R</t>
  </si>
  <si>
    <t>Organico Blanco Alto Indice 1,60</t>
  </si>
  <si>
    <t>Organico BLUE LIGHT</t>
  </si>
  <si>
    <t>KINGSTON C2</t>
  </si>
  <si>
    <t>M65029 C2 MARRON</t>
  </si>
  <si>
    <t>G6033 C1</t>
  </si>
  <si>
    <t>VULK BIO 04 NEGRO BRILLO - BLUE BLOCK</t>
  </si>
  <si>
    <t>M65036 C1 COMPACTO</t>
  </si>
  <si>
    <t>AY738 812 51- VITALOGY 13 COBRE - CRISTAL HABANO</t>
  </si>
  <si>
    <t>METAL SS009 C3</t>
  </si>
  <si>
    <t>MALTA08-ANTEOJOS DE SOL MISTRAL MALTA08</t>
  </si>
  <si>
    <t>3896 CAL51 C5</t>
  </si>
  <si>
    <t>LE MANS BO OCRE</t>
  </si>
  <si>
    <t>614 C11</t>
  </si>
  <si>
    <t>XL697 C5 HANOOVER - COmbinado carey</t>
  </si>
  <si>
    <t>Organico BLUE LIGHT C/ AR Essential - SMART FREE</t>
  </si>
  <si>
    <t>Sol Naranja 2092</t>
  </si>
  <si>
    <t>AC50 NEGRO</t>
  </si>
  <si>
    <t>Organico Fotocromatico Blue Max AR</t>
  </si>
  <si>
    <t>CI033 010 57- DREAMY 6 DORADO MATE</t>
  </si>
  <si>
    <t>METAL CREATURE IV C1 / C2</t>
  </si>
  <si>
    <t>Polarizados Neutros Sol</t>
  </si>
  <si>
    <t>Usual Adolescente/adulto Morado</t>
  </si>
  <si>
    <t>DH6653C1</t>
  </si>
  <si>
    <t>Armazon receta Metal Isabella Rosa - Atelier (OP5803)</t>
  </si>
  <si>
    <t>8304 C1</t>
  </si>
  <si>
    <t>Armazon receta Metal Isabella Dorado - Atelier (OP5803)</t>
  </si>
  <si>
    <t>Hanoover METALICO DORADO Cuadradito M220 C2</t>
  </si>
  <si>
    <t>Usual Niño Lila Redondito</t>
  </si>
  <si>
    <t>Usual Niño Rosa claro (traslucido)</t>
  </si>
  <si>
    <t>SWFF0211 - Rainbow Havana Karun</t>
  </si>
  <si>
    <t>Policarbonato C/AR lentes mas finas, resistentes a rayas / Índice 1.59</t>
  </si>
  <si>
    <t>ANTIPARRAS DEPORTIVAS GRADUADAS</t>
  </si>
  <si>
    <t>Cordones con pin surtido</t>
  </si>
  <si>
    <t>Pierre Cardin CLIP ON 1664 Negro</t>
  </si>
  <si>
    <t>Armazon receta Franchesca Black (6025 c1 Flex)</t>
  </si>
  <si>
    <t>ESTOCOLMO C2</t>
  </si>
  <si>
    <t>Organico Blanco - Smart Lens FREE</t>
  </si>
  <si>
    <t>Armazon receta Metal Estambul Plata - Atelier (OP5818)</t>
  </si>
  <si>
    <t>AY257 706 64 LUCA Traslucido color marroncito naranja</t>
  </si>
  <si>
    <t>AY695 267 53 ROCKETS 2 RX MARRON TRASLUCIDO</t>
  </si>
  <si>
    <t>CLIPON BC 1809 140 C7</t>
  </si>
  <si>
    <t>Armazon receta Venus -Negro texturado (SNE57016)</t>
  </si>
  <si>
    <t>Usual Niño Azul Rectangular</t>
  </si>
  <si>
    <t>U048 GRIS MATE MODELO AVIADOR - USUAL</t>
  </si>
  <si>
    <t>MW2006</t>
  </si>
  <si>
    <t>YOSEMITE02 ECO - ARMAZON MISTRAL</t>
  </si>
  <si>
    <t>ARMAZON AZUL TRANSPARENTE KIDS Y8808 BISAGRA PLEGADA</t>
  </si>
  <si>
    <t>E921 Armazon color negro cristal negro</t>
  </si>
  <si>
    <t>Armazones Atelier Premium promo</t>
  </si>
  <si>
    <t>8336 C2</t>
  </si>
  <si>
    <t>Orma Blanco - CRIZAL</t>
  </si>
  <si>
    <t>Armazon receta Indigo - Atelier (6021 c2 Flex)</t>
  </si>
  <si>
    <t>Wellington Polo Club Metalico bordes Nude 2009</t>
  </si>
  <si>
    <t>AY735 383 53 / DORADO MATE - DORADO BRILLO</t>
  </si>
  <si>
    <t>Organico Blanco Essential</t>
  </si>
  <si>
    <t>SOLDADURA</t>
  </si>
  <si>
    <t>Armazon receta Victoria (SNE57013) Moteado Carey</t>
  </si>
  <si>
    <t>Alto indice 1.60 - Essential (antireflex)</t>
  </si>
  <si>
    <t>Anteojos Niño Lavanda traslucido PANTOS</t>
  </si>
  <si>
    <t>NAPLES Negro Brillo Polarizado</t>
  </si>
  <si>
    <t>AY695 122 53 - ROCKETS 2 NEGRO MATE</t>
  </si>
  <si>
    <t>Wellington Polo Club 32 Modelo Panto Translucido patillas habano</t>
  </si>
  <si>
    <t>ANT KORNA SBLK-056 Negro brillo</t>
  </si>
  <si>
    <t>KAUS0172 - TARUCA Habana Karun Polarizado</t>
  </si>
  <si>
    <t>T1936  / CLIP ON</t>
  </si>
  <si>
    <t>3895 CAL49 C4 marron</t>
  </si>
  <si>
    <t>Organico Blue Alto Rango RX KODAK NO REFLEX 1.56</t>
  </si>
  <si>
    <t>ARLYT EXPRESS X120 ML-Berpharma</t>
  </si>
  <si>
    <t>Orma Org CRIZAL</t>
  </si>
  <si>
    <t>BAREL SBLK-056 OPTICS</t>
  </si>
  <si>
    <t>7315 C2</t>
  </si>
  <si>
    <t>T7010 C3 / CLIP ON</t>
  </si>
  <si>
    <t>Armazon Metalico Titanium bonito</t>
  </si>
  <si>
    <t>USUAL COLOR COMPACTO</t>
  </si>
  <si>
    <t>Orma Org Transitions -CRIZAL</t>
  </si>
  <si>
    <t>PARIS NGB HA-POL</t>
  </si>
  <si>
    <t>EUGENE09 PLATEADO Y CREMA - PATILL ANIMAL PRINT</t>
  </si>
  <si>
    <t>TIZIANO01 PROTOTYPE NEGRO BRILLO</t>
  </si>
  <si>
    <t>SMART LENS ONE SUPER BLUE 1.60 C/AR ESSENTIAL</t>
  </si>
  <si>
    <t>LE MANS NGM HA POLARIZADO</t>
  </si>
  <si>
    <t>LE MANS GR CL NGM</t>
  </si>
  <si>
    <t>SMART FREE ORG SUPER BLUE 1.6 C/AR ESSENTIAL</t>
  </si>
  <si>
    <t>TODO ARMAZONES ANTEOJOS DE SOL</t>
  </si>
  <si>
    <t>DISCUSS NEGRO C1</t>
  </si>
  <si>
    <t>Stylis 1.67 Ultradelgado Blanco - CRIZAL</t>
  </si>
  <si>
    <t>LIQUIDO LIMPIACRISTAES Mini 15cc</t>
  </si>
  <si>
    <t>CLIP ON TODO ARMAZONES CON 5 CLIPS</t>
  </si>
  <si>
    <t>NEW CAPOTE AY743 AY NOT DEAD, Armazones receta - ROSA DEGRADE</t>
  </si>
  <si>
    <t>AMPLITUDE VITOLEN - GAMA VIEW ORGANICO 1.50 C/AR</t>
  </si>
  <si>
    <t>AMPLITUDE VITOLEN- GAMA VIEW ORGANICO + TEÑIDO DE SOL</t>
  </si>
  <si>
    <t>COMBINADO 82013 c6</t>
  </si>
  <si>
    <t>TOM C1, Vondel Park, Armazones receta - Vondel Park</t>
  </si>
  <si>
    <t>M8002 C4</t>
  </si>
  <si>
    <t>Optima 38 anual</t>
  </si>
  <si>
    <t>MG SOL 601-1</t>
  </si>
  <si>
    <t>521016 c2 - Patillas blancas</t>
  </si>
  <si>
    <t>PASE DE CRISTALES</t>
  </si>
  <si>
    <t>RANGO EXTENDIDO - ORGANICO SUPER BLUE ASF C/AR - ALTO INDICE  1.74 - con Garantia</t>
  </si>
  <si>
    <t>Armazon adulto Azul Mate rectangulares</t>
  </si>
  <si>
    <t>Amplitude HD Dual Blue STOCK</t>
  </si>
  <si>
    <t>CLIP ON intercambiables POLARIZADO - 2276T y 2296T - ATELIER</t>
  </si>
  <si>
    <t>3895 CAL49 C1</t>
  </si>
  <si>
    <t>armazon metal, aviador negro y dorado (rb3588 c7)</t>
  </si>
  <si>
    <t>ARLYT FRESH X15 ML-Berpharma</t>
  </si>
  <si>
    <t>ARLYT EXPRESS X240 ML-Berpharma</t>
  </si>
  <si>
    <t>Usual Adolescente/adulto Traslúcido celeste claro</t>
  </si>
  <si>
    <t>ORGANICO FOTOCROMATICO C/AR Índice 1.56 (CAMBIA CON LA LUZ) Gris/Negro</t>
  </si>
  <si>
    <t>Wellington Polo Club 21 Modelo Cuadrado Negro brillo</t>
  </si>
  <si>
    <t>HANOOVER RECETA METALCO</t>
  </si>
  <si>
    <t>SEA C1</t>
  </si>
  <si>
    <t>HANOOVER CLIP ON</t>
  </si>
  <si>
    <t>Lentes de contacto blandas descartables Multifocales Air Optix</t>
  </si>
  <si>
    <t>Armazon receta Metal Estambul Gris grafito - Atelier (OP5818)</t>
  </si>
  <si>
    <t>PALERMO03-ANTEOJOS DE SOL MISTRAL PALERMO03</t>
  </si>
  <si>
    <t>CLIPON BC 1803 142 C1</t>
  </si>
  <si>
    <t>AY197 101 49 - ROCKETS 2  Negro Mate</t>
  </si>
  <si>
    <t>Myofix Super Blue Alto indice 1.6 + Antireflex Essential</t>
  </si>
  <si>
    <t>MISTRAL VALPARAISO 01</t>
  </si>
  <si>
    <t>CLIP ON BELLO CUORE</t>
  </si>
  <si>
    <t>AY734 53 19 - COL 181 NEGRO MATE</t>
  </si>
  <si>
    <t>ADRENALINE NGM NGM</t>
  </si>
  <si>
    <t>Wellington Polo Club 21 Modelo Cuadrado Caramelo translucido</t>
  </si>
  <si>
    <t>Armazon receta Estocolmo Habano- Atelier (SNE57007)</t>
  </si>
  <si>
    <t>Armazon receta Metal Isabella Rojo - Atelier (OP5803)</t>
  </si>
  <si>
    <t>AY226 200 17 - NO NAME 1 DORADO BRILLO DEMI MARRON BRILLO</t>
  </si>
  <si>
    <t>Orgánico  SUPER Blue Ligth 1.60  (esf+cil) +8,00 a -12,00 "Rango Cilindro +/- 6</t>
  </si>
  <si>
    <t>TORNILLOS CENTRADORES</t>
  </si>
  <si>
    <t>USUAL A22 VERDE MLITAR</t>
  </si>
  <si>
    <t>HANOOVER RECETA ACETATO</t>
  </si>
  <si>
    <t>Armazon receta Roma - Atelier (8029 C04)</t>
  </si>
  <si>
    <t>Mito diseño exclusivo- cristal marron</t>
  </si>
  <si>
    <t>SYLVI C3</t>
  </si>
  <si>
    <t>LE6184 C3</t>
  </si>
  <si>
    <t>VICKY04-ANTEOJOS DE RECETA MISTRAL VICKY04</t>
  </si>
  <si>
    <t>AY195 308 49 - MESH / MARRON CHOCOLATE CLARO, MATE - VERDE G15</t>
  </si>
  <si>
    <t>CLIP ON PIERRE CARDIN 1664 PELTRE (Rosita)</t>
  </si>
  <si>
    <t>NAZARENO03 TRASLUCIDO CON PATILLAS VERDE MATE</t>
  </si>
  <si>
    <t>Teñido Según Muestra</t>
  </si>
  <si>
    <t>HARMONY</t>
  </si>
  <si>
    <t>SOFLENS</t>
  </si>
  <si>
    <t>CLIP ON 2 ACCESORIOS</t>
  </si>
  <si>
    <t>Mineral Blanco Combinado</t>
  </si>
  <si>
    <t>CRIMNSON</t>
  </si>
  <si>
    <t>TIFFANI 4540C03 Acetato hexagonal color</t>
  </si>
  <si>
    <t>Tratamiento UV 400</t>
  </si>
  <si>
    <t>Organico Fotocromatico Gris</t>
  </si>
  <si>
    <t>ARMAZON CIMMA TURQUESA</t>
  </si>
  <si>
    <t>Mineral Blanco ESF 2</t>
  </si>
  <si>
    <t>FLAT TOP Organico Blue Light Cut  (esf+cil) +5,50 a Rango Cil  -4,00 +/- 4,00 ADD 1,00 a 3,50</t>
  </si>
  <si>
    <t>AMY AY716</t>
  </si>
  <si>
    <t>MISTRAL SYDNEY</t>
  </si>
  <si>
    <t>SAN MARINO 02 POL</t>
  </si>
  <si>
    <t>FLAT TOP Organico Fotocromatico (esf+cil) +5,50 a -4,00 Rango Cil  +/- 4,00  ADD  1,00 a 3,50</t>
  </si>
  <si>
    <t>ANTEOJOs SOL USUAL Polarizados/Espejados SMART FLEX</t>
  </si>
  <si>
    <t>ROMA RS RS RS</t>
  </si>
  <si>
    <t>HARMONY - armazón de receta CIMA</t>
  </si>
  <si>
    <t>Organico Blanco</t>
  </si>
  <si>
    <t>Sacar color de cristales</t>
  </si>
  <si>
    <t>LC DESIO COSMETICAS</t>
  </si>
  <si>
    <t>ANT SPELL MBLK/G15</t>
  </si>
  <si>
    <t>ANT TERDEY SBLK/S10 POL</t>
  </si>
  <si>
    <t>HAN102 C5 CREMA</t>
  </si>
  <si>
    <t>CLIP ON 5 CAMBIOS</t>
  </si>
  <si>
    <t>Org Fotocromatico BLUE LIGHT</t>
  </si>
  <si>
    <t>RANGO EXTENDIDO - Orgánico blanco C/AR -  Índice 1.56</t>
  </si>
  <si>
    <t>Policarbonato BLANCO- lentes mas finas mas resistentes a rayas /Índice 1.59</t>
  </si>
  <si>
    <t>Cristal Transparente</t>
  </si>
  <si>
    <t>1804 C2 - CLIP ON</t>
  </si>
  <si>
    <t>Armazón ADULTO redondo Negro</t>
  </si>
  <si>
    <t>Rusty vulk</t>
  </si>
  <si>
    <t>Clip On 4574 Negro</t>
  </si>
  <si>
    <t>Armazon adulto Marrón Traslúcido  rectangulares</t>
  </si>
  <si>
    <t>Organico Blanco hasta diámetro 70 - Índice 1.49</t>
  </si>
  <si>
    <t>Organico Super Blue Light 1,60 Essential</t>
  </si>
  <si>
    <t>FLAT TOP  Organico Blanco  (esf+cil) +5,50 a -4,00 CIL +/- 4 ADD 1,00 a 3,50</t>
  </si>
  <si>
    <t>AY256, Anteojo de sol - Carey</t>
  </si>
  <si>
    <t>ANT KIRT LG/DRT02 POL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</si>
</sst>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96.0</v>
      </c>
      <c r="C2" s="1">
        <v>4.2512813E7</v>
      </c>
      <c r="D2" s="1" t="s">
        <v>17</v>
      </c>
      <c r="E2" s="2">
        <v>35766.0</v>
      </c>
      <c r="F2" s="1" t="s">
        <v>18</v>
      </c>
      <c r="G2" s="1">
        <v>3.541402701E9</v>
      </c>
      <c r="H2" s="1" t="s">
        <v>17</v>
      </c>
      <c r="I2" s="1">
        <v>127.0</v>
      </c>
      <c r="J2" s="1">
        <v>4.0</v>
      </c>
      <c r="K2" s="1" t="s">
        <v>19</v>
      </c>
      <c r="L2" s="1">
        <v>0.0</v>
      </c>
      <c r="M2" s="1" t="s">
        <v>20</v>
      </c>
      <c r="N2" s="1" t="s">
        <v>17</v>
      </c>
      <c r="O2" s="3">
        <v>45091.49349537037</v>
      </c>
      <c r="P2" s="3">
        <v>45140.63791666667</v>
      </c>
    </row>
    <row r="3">
      <c r="A3" s="1" t="s">
        <v>21</v>
      </c>
      <c r="B3" s="1">
        <v>96.0</v>
      </c>
      <c r="C3" s="1" t="s">
        <v>17</v>
      </c>
      <c r="D3" s="1" t="s">
        <v>17</v>
      </c>
      <c r="E3" s="1" t="s">
        <v>17</v>
      </c>
      <c r="F3" s="1" t="s">
        <v>17</v>
      </c>
      <c r="G3" s="1">
        <v>3.513441219E9</v>
      </c>
      <c r="H3" s="1" t="s">
        <v>17</v>
      </c>
      <c r="I3" s="1">
        <v>0.0</v>
      </c>
      <c r="J3" s="1">
        <v>4.0</v>
      </c>
      <c r="K3" s="1" t="s">
        <v>17</v>
      </c>
      <c r="L3" s="1">
        <v>0.0</v>
      </c>
      <c r="M3" s="1" t="s">
        <v>17</v>
      </c>
      <c r="N3" s="1" t="s">
        <v>17</v>
      </c>
      <c r="O3" s="3">
        <v>45110.87289351852</v>
      </c>
      <c r="P3" s="3">
        <v>45110.87289351852</v>
      </c>
    </row>
    <row r="4">
      <c r="A4" s="1" t="s">
        <v>22</v>
      </c>
      <c r="B4" s="1">
        <v>96.0</v>
      </c>
      <c r="C4" s="1">
        <v>4.5487324E7</v>
      </c>
      <c r="D4" s="1" t="s">
        <v>17</v>
      </c>
      <c r="E4" s="1" t="s">
        <v>17</v>
      </c>
      <c r="F4" s="1" t="s">
        <v>17</v>
      </c>
      <c r="G4" s="1">
        <v>3.513109329E9</v>
      </c>
      <c r="H4" s="1" t="s">
        <v>17</v>
      </c>
      <c r="I4" s="1">
        <v>0.0</v>
      </c>
      <c r="J4" s="1">
        <v>0.0</v>
      </c>
      <c r="K4" s="1" t="s">
        <v>23</v>
      </c>
      <c r="L4" s="1">
        <v>0.0</v>
      </c>
      <c r="M4" s="1" t="s">
        <v>17</v>
      </c>
      <c r="N4" s="1" t="s">
        <v>17</v>
      </c>
      <c r="O4" s="3">
        <v>45113.71431712963</v>
      </c>
      <c r="P4" s="3">
        <v>45113.71431712963</v>
      </c>
    </row>
    <row r="5">
      <c r="A5" s="1" t="s">
        <v>24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>
        <v>0.0</v>
      </c>
      <c r="J5" s="1">
        <v>0.0</v>
      </c>
      <c r="K5" s="1" t="s">
        <v>17</v>
      </c>
      <c r="L5" s="1" t="s">
        <v>17</v>
      </c>
      <c r="M5" s="1" t="s">
        <v>17</v>
      </c>
      <c r="N5" s="1" t="s">
        <v>17</v>
      </c>
      <c r="O5" s="3">
        <v>45113.787766203706</v>
      </c>
      <c r="P5" s="3">
        <v>45113.787766203706</v>
      </c>
    </row>
    <row r="6">
      <c r="A6" s="1" t="s">
        <v>25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>
        <v>3.518095748E9</v>
      </c>
      <c r="H6" s="1" t="s">
        <v>17</v>
      </c>
      <c r="I6" s="1">
        <v>0.0</v>
      </c>
      <c r="J6" s="1">
        <v>4.0</v>
      </c>
      <c r="K6" s="1" t="s">
        <v>17</v>
      </c>
      <c r="L6" s="1" t="s">
        <v>17</v>
      </c>
      <c r="M6" s="1" t="s">
        <v>17</v>
      </c>
      <c r="N6" s="1" t="s">
        <v>17</v>
      </c>
      <c r="O6" s="3">
        <v>45118.74994212963</v>
      </c>
      <c r="P6" s="3">
        <v>45118.74994212963</v>
      </c>
    </row>
    <row r="7">
      <c r="A7" s="1" t="s">
        <v>26</v>
      </c>
      <c r="B7" s="1" t="s">
        <v>17</v>
      </c>
      <c r="C7" s="1">
        <v>0.0</v>
      </c>
      <c r="D7" s="1" t="s">
        <v>17</v>
      </c>
      <c r="E7" s="1" t="s">
        <v>17</v>
      </c>
      <c r="F7" s="1" t="s">
        <v>17</v>
      </c>
      <c r="G7" s="1">
        <v>3.515505816E9</v>
      </c>
      <c r="H7" s="1" t="s">
        <v>17</v>
      </c>
      <c r="I7" s="1">
        <v>0.0</v>
      </c>
      <c r="J7" s="1">
        <v>0.0</v>
      </c>
      <c r="K7" s="1" t="s">
        <v>17</v>
      </c>
      <c r="L7" s="1" t="s">
        <v>17</v>
      </c>
      <c r="M7" s="1" t="s">
        <v>17</v>
      </c>
      <c r="N7" s="1" t="s">
        <v>17</v>
      </c>
      <c r="O7" s="3">
        <v>45119.50570601852</v>
      </c>
      <c r="P7" s="3">
        <v>45119.50570601852</v>
      </c>
    </row>
    <row r="8">
      <c r="A8" s="1" t="s">
        <v>27</v>
      </c>
      <c r="B8" s="1" t="s">
        <v>17</v>
      </c>
      <c r="C8" s="1">
        <v>0.0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>
        <v>0.0</v>
      </c>
      <c r="J8" s="1">
        <v>0.0</v>
      </c>
      <c r="K8" s="1" t="s">
        <v>17</v>
      </c>
      <c r="L8" s="1" t="s">
        <v>17</v>
      </c>
      <c r="M8" s="1" t="s">
        <v>17</v>
      </c>
      <c r="N8" s="1" t="s">
        <v>17</v>
      </c>
      <c r="O8" s="3">
        <v>45121.7215162037</v>
      </c>
      <c r="P8" s="3">
        <v>45121.75216435185</v>
      </c>
    </row>
    <row r="9">
      <c r="A9" s="1" t="s">
        <v>28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>
        <v>3.513328455E9</v>
      </c>
      <c r="H9" s="1" t="s">
        <v>17</v>
      </c>
      <c r="I9" s="1">
        <v>0.0</v>
      </c>
      <c r="J9" s="1">
        <v>0.0</v>
      </c>
      <c r="K9" s="1" t="s">
        <v>17</v>
      </c>
      <c r="L9" s="1">
        <v>0.0</v>
      </c>
      <c r="M9" s="1" t="s">
        <v>17</v>
      </c>
      <c r="N9" s="1" t="s">
        <v>29</v>
      </c>
      <c r="O9" s="3">
        <v>45121.75171296296</v>
      </c>
      <c r="P9" s="3">
        <v>45121.75171296296</v>
      </c>
    </row>
    <row r="10">
      <c r="A10" s="1" t="s">
        <v>30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>
        <v>3333333.0</v>
      </c>
      <c r="H10" s="1" t="s">
        <v>17</v>
      </c>
      <c r="I10" s="1">
        <v>0.0</v>
      </c>
      <c r="J10" s="1">
        <v>0.0</v>
      </c>
      <c r="K10" s="1" t="s">
        <v>17</v>
      </c>
      <c r="L10" s="1" t="s">
        <v>17</v>
      </c>
      <c r="M10" s="1" t="s">
        <v>17</v>
      </c>
      <c r="N10" s="1" t="s">
        <v>17</v>
      </c>
      <c r="O10" s="3">
        <v>45121.76372685185</v>
      </c>
      <c r="P10" s="3">
        <v>45140.63793981481</v>
      </c>
    </row>
    <row r="11">
      <c r="A11" s="1" t="s">
        <v>31</v>
      </c>
      <c r="B11" s="1" t="s">
        <v>17</v>
      </c>
      <c r="C11" s="1">
        <v>0.0</v>
      </c>
      <c r="D11" s="1" t="s">
        <v>17</v>
      </c>
      <c r="E11" s="1" t="s">
        <v>17</v>
      </c>
      <c r="F11" s="1" t="s">
        <v>17</v>
      </c>
      <c r="G11" s="1">
        <v>3.541402701E9</v>
      </c>
      <c r="H11" s="1" t="s">
        <v>17</v>
      </c>
      <c r="I11" s="1">
        <v>0.0</v>
      </c>
      <c r="J11" s="1">
        <v>0.0</v>
      </c>
      <c r="K11" s="1" t="s">
        <v>17</v>
      </c>
      <c r="L11" s="1" t="s">
        <v>17</v>
      </c>
      <c r="M11" s="1" t="s">
        <v>17</v>
      </c>
      <c r="N11" s="1" t="s">
        <v>17</v>
      </c>
      <c r="O11" s="3">
        <v>45125.38746527778</v>
      </c>
      <c r="P11" s="3">
        <v>45132.84159722222</v>
      </c>
    </row>
    <row r="12">
      <c r="A12" s="1" t="s">
        <v>32</v>
      </c>
      <c r="B12" s="1" t="s">
        <v>17</v>
      </c>
      <c r="C12" s="1">
        <v>0.0</v>
      </c>
      <c r="D12" s="1" t="s">
        <v>17</v>
      </c>
      <c r="E12" s="1" t="s">
        <v>17</v>
      </c>
      <c r="F12" s="1" t="s">
        <v>33</v>
      </c>
      <c r="G12" s="1">
        <v>3.541402701E9</v>
      </c>
      <c r="H12" s="1" t="s">
        <v>17</v>
      </c>
      <c r="I12" s="1">
        <v>0.0</v>
      </c>
      <c r="J12" s="1">
        <v>0.0</v>
      </c>
      <c r="K12" s="1" t="s">
        <v>17</v>
      </c>
      <c r="L12" s="1" t="s">
        <v>17</v>
      </c>
      <c r="M12" s="1" t="s">
        <v>17</v>
      </c>
      <c r="N12" s="1" t="s">
        <v>34</v>
      </c>
      <c r="O12" s="3">
        <v>45125.49899305555</v>
      </c>
      <c r="P12" s="3">
        <v>45125.520682870374</v>
      </c>
    </row>
    <row r="13">
      <c r="A13" s="1" t="s">
        <v>35</v>
      </c>
      <c r="B13" s="1" t="s">
        <v>17</v>
      </c>
      <c r="C13" s="1">
        <v>0.0</v>
      </c>
      <c r="D13" s="1" t="s">
        <v>17</v>
      </c>
      <c r="E13" s="1" t="s">
        <v>17</v>
      </c>
      <c r="F13" s="1" t="s">
        <v>17</v>
      </c>
      <c r="G13" s="1">
        <v>3.516167113E9</v>
      </c>
      <c r="H13" s="1" t="s">
        <v>36</v>
      </c>
      <c r="I13" s="1">
        <v>0.0</v>
      </c>
      <c r="J13" s="1">
        <v>0.0</v>
      </c>
      <c r="K13" s="1" t="s">
        <v>17</v>
      </c>
      <c r="L13" s="1" t="s">
        <v>17</v>
      </c>
      <c r="M13" s="1" t="s">
        <v>17</v>
      </c>
      <c r="N13" s="1" t="s">
        <v>37</v>
      </c>
      <c r="O13" s="3">
        <v>45125.53920138889</v>
      </c>
      <c r="P13" s="3">
        <v>45140.637777777774</v>
      </c>
    </row>
    <row r="14">
      <c r="A14" s="1" t="s">
        <v>38</v>
      </c>
      <c r="B14" s="1" t="s">
        <v>17</v>
      </c>
      <c r="C14" s="1">
        <v>0.0</v>
      </c>
      <c r="D14" s="1" t="s">
        <v>17</v>
      </c>
      <c r="E14" s="1" t="s">
        <v>17</v>
      </c>
      <c r="F14" s="1" t="s">
        <v>17</v>
      </c>
      <c r="G14" s="1">
        <v>3.5146768954E10</v>
      </c>
      <c r="H14" s="1" t="s">
        <v>39</v>
      </c>
      <c r="I14" s="1">
        <v>0.0</v>
      </c>
      <c r="J14" s="1">
        <v>0.0</v>
      </c>
      <c r="K14" s="1" t="s">
        <v>17</v>
      </c>
      <c r="L14" s="1" t="s">
        <v>17</v>
      </c>
      <c r="M14" s="1" t="s">
        <v>17</v>
      </c>
      <c r="N14" s="1" t="s">
        <v>17</v>
      </c>
      <c r="O14" s="3">
        <v>45126.58324074074</v>
      </c>
      <c r="P14" s="3">
        <v>45135.536840277775</v>
      </c>
    </row>
    <row r="15">
      <c r="A15" s="1" t="s">
        <v>40</v>
      </c>
      <c r="B15" s="1" t="s">
        <v>17</v>
      </c>
      <c r="C15" s="1">
        <v>0.0</v>
      </c>
      <c r="D15" s="1" t="s">
        <v>17</v>
      </c>
      <c r="E15" s="1" t="s">
        <v>17</v>
      </c>
      <c r="F15" s="1" t="s">
        <v>17</v>
      </c>
      <c r="G15" s="1">
        <v>3.517689898E9</v>
      </c>
      <c r="H15" s="1" t="s">
        <v>41</v>
      </c>
      <c r="I15" s="1">
        <v>0.0</v>
      </c>
      <c r="J15" s="1">
        <v>0.0</v>
      </c>
      <c r="K15" s="1" t="s">
        <v>17</v>
      </c>
      <c r="L15" s="1" t="s">
        <v>17</v>
      </c>
      <c r="M15" s="1" t="s">
        <v>17</v>
      </c>
      <c r="N15" s="1" t="s">
        <v>17</v>
      </c>
      <c r="O15" s="3">
        <v>45126.591099537036</v>
      </c>
      <c r="P15" s="3">
        <v>45132.84201388889</v>
      </c>
    </row>
    <row r="16">
      <c r="A16" s="1" t="s">
        <v>42</v>
      </c>
      <c r="B16" s="1" t="s">
        <v>17</v>
      </c>
      <c r="C16" s="1">
        <v>0.0</v>
      </c>
      <c r="D16" s="1" t="s">
        <v>17</v>
      </c>
      <c r="E16" s="1" t="s">
        <v>17</v>
      </c>
      <c r="F16" s="1" t="s">
        <v>43</v>
      </c>
      <c r="G16" s="1">
        <v>3.45167987789E11</v>
      </c>
      <c r="H16" s="1" t="s">
        <v>17</v>
      </c>
      <c r="I16" s="1">
        <v>0.0</v>
      </c>
      <c r="J16" s="1">
        <v>0.0</v>
      </c>
      <c r="K16" s="1" t="s">
        <v>17</v>
      </c>
      <c r="L16" s="1" t="s">
        <v>17</v>
      </c>
      <c r="M16" s="1" t="s">
        <v>17</v>
      </c>
      <c r="N16" s="1" t="s">
        <v>17</v>
      </c>
      <c r="O16" s="3">
        <v>45128.463125</v>
      </c>
      <c r="P16" s="3">
        <v>45140.63856481481</v>
      </c>
    </row>
    <row r="17">
      <c r="A17" s="1" t="s">
        <v>44</v>
      </c>
      <c r="B17" s="1" t="s">
        <v>17</v>
      </c>
      <c r="C17" s="1">
        <v>0.0</v>
      </c>
      <c r="D17" s="1" t="s">
        <v>17</v>
      </c>
      <c r="E17" s="1" t="s">
        <v>17</v>
      </c>
      <c r="F17" s="1" t="s">
        <v>45</v>
      </c>
      <c r="G17" s="1">
        <v>5.463564646456E12</v>
      </c>
      <c r="H17" s="1" t="s">
        <v>17</v>
      </c>
      <c r="I17" s="1">
        <v>0.0</v>
      </c>
      <c r="J17" s="1">
        <v>0.0</v>
      </c>
      <c r="K17" s="1" t="s">
        <v>17</v>
      </c>
      <c r="L17" s="1" t="s">
        <v>17</v>
      </c>
      <c r="M17" s="1" t="s">
        <v>17</v>
      </c>
      <c r="N17" s="1" t="s">
        <v>17</v>
      </c>
      <c r="O17" s="3">
        <v>45128.47486111111</v>
      </c>
      <c r="P17" s="3">
        <v>45135.53680555556</v>
      </c>
    </row>
    <row r="18">
      <c r="A18" s="1" t="s">
        <v>46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>
        <v>3.5167439073842E13</v>
      </c>
      <c r="H18" s="1" t="s">
        <v>47</v>
      </c>
      <c r="I18" s="1">
        <v>0.0</v>
      </c>
      <c r="J18" s="1">
        <v>0.0</v>
      </c>
      <c r="K18" s="1" t="s">
        <v>17</v>
      </c>
      <c r="L18" s="1" t="s">
        <v>17</v>
      </c>
      <c r="M18" s="1" t="s">
        <v>17</v>
      </c>
      <c r="N18" s="1" t="s">
        <v>17</v>
      </c>
      <c r="O18" s="3">
        <v>45128.49429398148</v>
      </c>
      <c r="P18" s="3">
        <v>45132.84168981481</v>
      </c>
    </row>
    <row r="19">
      <c r="A19" s="1" t="s">
        <v>48</v>
      </c>
      <c r="B19" s="1">
        <v>96.0</v>
      </c>
      <c r="C19" s="1" t="s">
        <v>17</v>
      </c>
      <c r="D19" s="1" t="s">
        <v>17</v>
      </c>
      <c r="E19" s="1" t="s">
        <v>17</v>
      </c>
      <c r="F19" s="1" t="s">
        <v>17</v>
      </c>
      <c r="G19" s="1">
        <v>3.512255061E9</v>
      </c>
      <c r="H19" s="1" t="s">
        <v>17</v>
      </c>
      <c r="I19" s="1">
        <v>0.0</v>
      </c>
      <c r="J19" s="1">
        <v>0.0</v>
      </c>
      <c r="K19" s="1" t="s">
        <v>17</v>
      </c>
      <c r="L19" s="1">
        <v>0.0</v>
      </c>
      <c r="M19" s="1" t="s">
        <v>17</v>
      </c>
      <c r="N19" s="1" t="s">
        <v>49</v>
      </c>
      <c r="O19" s="3">
        <v>45132.81214120371</v>
      </c>
      <c r="P19" s="3">
        <v>45132.84142361111</v>
      </c>
    </row>
    <row r="20">
      <c r="A20" s="1" t="s">
        <v>50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>
        <v>0.0</v>
      </c>
      <c r="J20" s="1">
        <v>0.0</v>
      </c>
      <c r="K20" s="1" t="s">
        <v>17</v>
      </c>
      <c r="L20" s="1">
        <v>0.0</v>
      </c>
      <c r="M20" s="1" t="s">
        <v>17</v>
      </c>
      <c r="N20" s="1" t="s">
        <v>51</v>
      </c>
      <c r="O20" s="3">
        <v>45132.813263888886</v>
      </c>
      <c r="P20" s="3">
        <v>45132.813263888886</v>
      </c>
    </row>
    <row r="21">
      <c r="A21" s="1" t="s">
        <v>52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53</v>
      </c>
      <c r="H21" s="1" t="s">
        <v>17</v>
      </c>
      <c r="I21" s="1">
        <v>0.0</v>
      </c>
      <c r="J21" s="1">
        <v>0.0</v>
      </c>
      <c r="K21" s="1" t="s">
        <v>17</v>
      </c>
      <c r="L21" s="1">
        <v>0.0</v>
      </c>
      <c r="M21" s="1" t="s">
        <v>17</v>
      </c>
      <c r="N21" s="1" t="s">
        <v>54</v>
      </c>
      <c r="O21" s="3">
        <v>45134.68835648148</v>
      </c>
      <c r="P21" s="3">
        <v>45134.68835648148</v>
      </c>
    </row>
    <row r="22">
      <c r="A22" s="1" t="s">
        <v>55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>
        <v>3.541234683E9</v>
      </c>
      <c r="H22" s="1" t="s">
        <v>17</v>
      </c>
      <c r="I22" s="1">
        <v>0.0</v>
      </c>
      <c r="J22" s="1">
        <v>0.0</v>
      </c>
      <c r="K22" s="1" t="s">
        <v>17</v>
      </c>
      <c r="L22" s="1">
        <v>0.0</v>
      </c>
      <c r="M22" s="1" t="s">
        <v>17</v>
      </c>
      <c r="N22" s="1" t="s">
        <v>17</v>
      </c>
      <c r="O22" s="3">
        <v>45139.768958333334</v>
      </c>
      <c r="P22" s="3">
        <v>45139.768958333334</v>
      </c>
    </row>
    <row r="23">
      <c r="A23" s="1" t="s">
        <v>56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>
        <v>3.51202887E9</v>
      </c>
      <c r="H23" s="1" t="s">
        <v>17</v>
      </c>
      <c r="I23" s="1">
        <v>0.0</v>
      </c>
      <c r="J23" s="1">
        <v>0.0</v>
      </c>
      <c r="K23" s="1" t="s">
        <v>57</v>
      </c>
      <c r="L23" s="1">
        <v>0.0</v>
      </c>
      <c r="M23" s="1" t="s">
        <v>17</v>
      </c>
      <c r="N23" s="1" t="s">
        <v>17</v>
      </c>
      <c r="O23" s="3">
        <v>45140.441608796296</v>
      </c>
      <c r="P23" s="3">
        <v>45140.441608796296</v>
      </c>
    </row>
    <row r="24">
      <c r="A24" s="1" t="s">
        <v>58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59</v>
      </c>
      <c r="G24" s="1">
        <v>3.513248137E9</v>
      </c>
      <c r="H24" s="1" t="s">
        <v>17</v>
      </c>
      <c r="I24" s="1">
        <v>127.0</v>
      </c>
      <c r="J24" s="1">
        <v>4.0</v>
      </c>
      <c r="K24" s="1" t="s">
        <v>60</v>
      </c>
      <c r="L24" s="1">
        <v>0.0</v>
      </c>
      <c r="M24" s="1" t="s">
        <v>17</v>
      </c>
      <c r="N24" s="1" t="s">
        <v>17</v>
      </c>
      <c r="O24" s="3">
        <v>45142.46079861111</v>
      </c>
      <c r="P24" s="3">
        <v>45142.46079861111</v>
      </c>
    </row>
    <row r="25">
      <c r="A25" s="1" t="s">
        <v>61</v>
      </c>
      <c r="B25" s="1" t="s">
        <v>17</v>
      </c>
      <c r="C25" s="1">
        <v>0.0</v>
      </c>
      <c r="D25" s="1" t="s">
        <v>17</v>
      </c>
      <c r="E25" s="1" t="s">
        <v>17</v>
      </c>
      <c r="F25" s="1" t="s">
        <v>17</v>
      </c>
      <c r="G25" s="1" t="s">
        <v>62</v>
      </c>
      <c r="H25" s="1" t="s">
        <v>17</v>
      </c>
      <c r="I25" s="1">
        <v>0.0</v>
      </c>
      <c r="J25" s="1">
        <v>0.0</v>
      </c>
      <c r="K25" s="1" t="s">
        <v>17</v>
      </c>
      <c r="L25" s="1" t="s">
        <v>17</v>
      </c>
      <c r="M25" s="1" t="s">
        <v>17</v>
      </c>
      <c r="N25" s="1" t="s">
        <v>17</v>
      </c>
      <c r="O25" s="3">
        <v>45143.42767361111</v>
      </c>
      <c r="P25" s="3">
        <v>45143.42767361111</v>
      </c>
    </row>
    <row r="26">
      <c r="A26" s="1" t="s">
        <v>63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>
        <v>3.512481926E9</v>
      </c>
      <c r="H26" s="1" t="s">
        <v>17</v>
      </c>
      <c r="I26" s="1">
        <v>0.0</v>
      </c>
      <c r="J26" s="1">
        <v>0.0</v>
      </c>
      <c r="K26" s="1" t="s">
        <v>17</v>
      </c>
      <c r="L26" s="1">
        <v>0.0</v>
      </c>
      <c r="M26" s="1" t="s">
        <v>17</v>
      </c>
      <c r="N26" s="1" t="s">
        <v>17</v>
      </c>
      <c r="O26" s="3">
        <v>45145.74438657407</v>
      </c>
      <c r="P26" s="3">
        <v>45145.74438657407</v>
      </c>
    </row>
    <row r="27">
      <c r="A27" s="1" t="s">
        <v>64</v>
      </c>
      <c r="B27" s="1" t="s">
        <v>17</v>
      </c>
      <c r="C27" s="1">
        <v>0.0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I27" s="1">
        <v>0.0</v>
      </c>
      <c r="J27" s="1">
        <v>0.0</v>
      </c>
      <c r="K27" s="1" t="s">
        <v>17</v>
      </c>
      <c r="L27" s="1" t="s">
        <v>17</v>
      </c>
      <c r="M27" s="1" t="s">
        <v>17</v>
      </c>
      <c r="N27" s="1" t="s">
        <v>17</v>
      </c>
      <c r="O27" s="3">
        <v>45146.764398148145</v>
      </c>
      <c r="P27" s="3">
        <v>45146.764398148145</v>
      </c>
    </row>
    <row r="28">
      <c r="A28" s="1" t="s">
        <v>65</v>
      </c>
      <c r="B28" s="1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>
        <v>3.516156534E9</v>
      </c>
      <c r="H28" s="1" t="s">
        <v>17</v>
      </c>
      <c r="I28" s="1">
        <v>0.0</v>
      </c>
      <c r="J28" s="1">
        <v>0.0</v>
      </c>
      <c r="K28" s="1" t="s">
        <v>17</v>
      </c>
      <c r="L28" s="1">
        <v>0.0</v>
      </c>
      <c r="M28" s="1" t="s">
        <v>17</v>
      </c>
      <c r="N28" s="1" t="s">
        <v>17</v>
      </c>
      <c r="O28" s="3">
        <v>45148.6321875</v>
      </c>
      <c r="P28" s="3">
        <v>45148.6321875</v>
      </c>
    </row>
    <row r="29">
      <c r="A29" s="1" t="s">
        <v>66</v>
      </c>
      <c r="B29" s="1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>
        <v>3.516478402E9</v>
      </c>
      <c r="H29" s="1" t="s">
        <v>17</v>
      </c>
      <c r="I29" s="1">
        <v>0.0</v>
      </c>
      <c r="J29" s="1">
        <v>0.0</v>
      </c>
      <c r="K29" s="1" t="s">
        <v>17</v>
      </c>
      <c r="L29" s="1">
        <v>0.0</v>
      </c>
      <c r="M29" s="1" t="s">
        <v>17</v>
      </c>
      <c r="N29" s="1" t="s">
        <v>17</v>
      </c>
      <c r="O29" s="3">
        <v>45148.7781712963</v>
      </c>
      <c r="P29" s="3">
        <v>45148.7781712963</v>
      </c>
    </row>
    <row r="30">
      <c r="A30" s="1" t="s">
        <v>67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>
        <v>3.517485577E9</v>
      </c>
      <c r="H30" s="1" t="s">
        <v>17</v>
      </c>
      <c r="I30" s="1">
        <v>0.0</v>
      </c>
      <c r="J30" s="1">
        <v>0.0</v>
      </c>
      <c r="K30" s="1" t="s">
        <v>17</v>
      </c>
      <c r="L30" s="1">
        <v>0.0</v>
      </c>
      <c r="M30" s="1" t="s">
        <v>17</v>
      </c>
      <c r="N30" s="1" t="s">
        <v>17</v>
      </c>
      <c r="O30" s="3">
        <v>45154.749548611115</v>
      </c>
      <c r="P30" s="3">
        <v>45154.749548611115</v>
      </c>
    </row>
    <row r="31">
      <c r="A31" s="1" t="s">
        <v>68</v>
      </c>
      <c r="B31" s="1" t="s">
        <v>17</v>
      </c>
      <c r="C31" s="1">
        <v>0.0</v>
      </c>
      <c r="D31" s="1" t="s">
        <v>17</v>
      </c>
      <c r="E31" s="1" t="s">
        <v>17</v>
      </c>
      <c r="F31" s="1" t="s">
        <v>17</v>
      </c>
      <c r="G31" s="1" t="s">
        <v>69</v>
      </c>
      <c r="H31" s="1" t="s">
        <v>17</v>
      </c>
      <c r="I31" s="1">
        <v>0.0</v>
      </c>
      <c r="J31" s="1">
        <v>0.0</v>
      </c>
      <c r="K31" s="1" t="s">
        <v>17</v>
      </c>
      <c r="L31" s="1" t="s">
        <v>17</v>
      </c>
      <c r="M31" s="1" t="s">
        <v>17</v>
      </c>
      <c r="N31" s="1" t="s">
        <v>17</v>
      </c>
      <c r="O31" s="3">
        <v>45157.649189814816</v>
      </c>
      <c r="P31" s="3">
        <v>45157.649189814816</v>
      </c>
    </row>
    <row r="32">
      <c r="A32" s="1" t="s">
        <v>70</v>
      </c>
      <c r="B32" s="1" t="s">
        <v>17</v>
      </c>
      <c r="C32" s="1">
        <v>0.0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1">
        <v>0.0</v>
      </c>
      <c r="J32" s="1">
        <v>0.0</v>
      </c>
      <c r="K32" s="1" t="s">
        <v>17</v>
      </c>
      <c r="L32" s="1" t="s">
        <v>17</v>
      </c>
      <c r="M32" s="1" t="s">
        <v>17</v>
      </c>
      <c r="N32" s="1" t="s">
        <v>17</v>
      </c>
      <c r="O32" s="3">
        <v>45157.733506944445</v>
      </c>
      <c r="P32" s="3">
        <v>45157.733506944445</v>
      </c>
    </row>
    <row r="33">
      <c r="A33" s="1" t="s">
        <v>71</v>
      </c>
      <c r="B33" s="1" t="s">
        <v>17</v>
      </c>
      <c r="C33" s="1">
        <v>0.0</v>
      </c>
      <c r="D33" s="1" t="s">
        <v>17</v>
      </c>
      <c r="E33" s="1" t="s">
        <v>17</v>
      </c>
      <c r="F33" s="1" t="s">
        <v>17</v>
      </c>
      <c r="G33" s="1">
        <v>3.515136968E9</v>
      </c>
      <c r="H33" s="1" t="s">
        <v>17</v>
      </c>
      <c r="I33" s="1">
        <v>0.0</v>
      </c>
      <c r="J33" s="1">
        <v>0.0</v>
      </c>
      <c r="K33" s="1" t="s">
        <v>17</v>
      </c>
      <c r="L33" s="1" t="s">
        <v>17</v>
      </c>
      <c r="M33" s="1" t="s">
        <v>17</v>
      </c>
      <c r="N33" s="1" t="s">
        <v>17</v>
      </c>
      <c r="O33" s="3">
        <v>45160.42359953704</v>
      </c>
      <c r="P33" s="3">
        <v>45160.42359953704</v>
      </c>
    </row>
    <row r="34">
      <c r="A34" s="1" t="s">
        <v>72</v>
      </c>
      <c r="B34" s="1" t="s">
        <v>17</v>
      </c>
      <c r="C34" s="1">
        <v>0.0</v>
      </c>
      <c r="D34" s="1" t="s">
        <v>17</v>
      </c>
      <c r="E34" s="1" t="s">
        <v>17</v>
      </c>
      <c r="F34" s="1" t="s">
        <v>17</v>
      </c>
      <c r="G34" s="1">
        <v>1.141437248E9</v>
      </c>
      <c r="H34" s="1" t="s">
        <v>17</v>
      </c>
      <c r="I34" s="1">
        <v>0.0</v>
      </c>
      <c r="J34" s="1">
        <v>0.0</v>
      </c>
      <c r="K34" s="1" t="s">
        <v>17</v>
      </c>
      <c r="L34" s="1" t="s">
        <v>17</v>
      </c>
      <c r="M34" s="1" t="s">
        <v>17</v>
      </c>
      <c r="N34" s="1" t="s">
        <v>17</v>
      </c>
      <c r="O34" s="3">
        <v>45160.62032407407</v>
      </c>
      <c r="P34" s="3">
        <v>45160.62032407407</v>
      </c>
    </row>
    <row r="35">
      <c r="A35" s="1" t="s">
        <v>73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>
        <v>3.541523777E9</v>
      </c>
      <c r="H35" s="1" t="s">
        <v>17</v>
      </c>
      <c r="I35" s="1">
        <v>0.0</v>
      </c>
      <c r="J35" s="1">
        <v>0.0</v>
      </c>
      <c r="K35" s="1" t="s">
        <v>17</v>
      </c>
      <c r="L35" s="1">
        <v>0.0</v>
      </c>
      <c r="M35" s="1" t="s">
        <v>17</v>
      </c>
      <c r="N35" s="1" t="s">
        <v>17</v>
      </c>
      <c r="O35" s="3">
        <v>45160.64407407407</v>
      </c>
      <c r="P35" s="3">
        <v>45160.64407407407</v>
      </c>
    </row>
    <row r="36">
      <c r="A36" s="1" t="s">
        <v>74</v>
      </c>
      <c r="B36" s="1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>
        <v>0.0</v>
      </c>
      <c r="J36" s="1">
        <v>4.0</v>
      </c>
      <c r="K36" s="1" t="s">
        <v>17</v>
      </c>
      <c r="L36" s="1">
        <v>0.0</v>
      </c>
      <c r="M36" s="1" t="s">
        <v>17</v>
      </c>
      <c r="N36" s="1" t="s">
        <v>75</v>
      </c>
      <c r="O36" s="3">
        <v>45161.47319444444</v>
      </c>
      <c r="P36" s="3">
        <v>45161.47319444444</v>
      </c>
    </row>
    <row r="37">
      <c r="A37" s="1" t="s">
        <v>76</v>
      </c>
      <c r="B37" s="1" t="s">
        <v>17</v>
      </c>
      <c r="C37" s="1">
        <v>0.0</v>
      </c>
      <c r="D37" s="1" t="s">
        <v>17</v>
      </c>
      <c r="E37" s="1" t="s">
        <v>17</v>
      </c>
      <c r="F37" s="1" t="s">
        <v>17</v>
      </c>
      <c r="G37" s="1">
        <v>3.517891457E9</v>
      </c>
      <c r="H37" s="1" t="s">
        <v>17</v>
      </c>
      <c r="I37" s="1">
        <v>0.0</v>
      </c>
      <c r="J37" s="1">
        <v>0.0</v>
      </c>
      <c r="K37" s="1" t="s">
        <v>17</v>
      </c>
      <c r="L37" s="1" t="s">
        <v>17</v>
      </c>
      <c r="M37" s="1" t="s">
        <v>17</v>
      </c>
      <c r="N37" s="1" t="s">
        <v>17</v>
      </c>
      <c r="O37" s="3">
        <v>45163.68715277778</v>
      </c>
      <c r="P37" s="3">
        <v>45163.68715277778</v>
      </c>
    </row>
    <row r="38">
      <c r="A38" s="1" t="s">
        <v>77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>
        <v>3.513263212E9</v>
      </c>
      <c r="H38" s="1" t="s">
        <v>17</v>
      </c>
      <c r="I38" s="1">
        <v>0.0</v>
      </c>
      <c r="J38" s="1">
        <v>0.0</v>
      </c>
      <c r="K38" s="1" t="s">
        <v>17</v>
      </c>
      <c r="L38" s="1">
        <v>0.0</v>
      </c>
      <c r="M38" s="1" t="s">
        <v>17</v>
      </c>
      <c r="N38" s="1" t="s">
        <v>17</v>
      </c>
      <c r="O38" s="3">
        <v>45167.44349537037</v>
      </c>
      <c r="P38" s="3">
        <v>45167.76053240741</v>
      </c>
    </row>
    <row r="39">
      <c r="A39" s="1" t="s">
        <v>78</v>
      </c>
      <c r="B39" s="1" t="s">
        <v>17</v>
      </c>
      <c r="C39" s="1">
        <v>0.0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1">
        <v>0.0</v>
      </c>
      <c r="J39" s="1">
        <v>0.0</v>
      </c>
      <c r="K39" s="1" t="s">
        <v>17</v>
      </c>
      <c r="L39" s="1" t="s">
        <v>17</v>
      </c>
      <c r="M39" s="1" t="s">
        <v>17</v>
      </c>
      <c r="N39" s="1" t="s">
        <v>17</v>
      </c>
      <c r="O39" s="3">
        <v>45171.706458333334</v>
      </c>
      <c r="P39" s="3">
        <v>45171.706458333334</v>
      </c>
    </row>
    <row r="40">
      <c r="A40" s="1" t="s">
        <v>79</v>
      </c>
      <c r="B40" s="1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>
        <v>3.518050103E9</v>
      </c>
      <c r="H40" s="1" t="s">
        <v>17</v>
      </c>
      <c r="I40" s="1">
        <v>0.0</v>
      </c>
      <c r="J40" s="1">
        <v>0.0</v>
      </c>
      <c r="K40" s="1" t="s">
        <v>17</v>
      </c>
      <c r="L40" s="1" t="s">
        <v>17</v>
      </c>
      <c r="M40" s="1" t="s">
        <v>17</v>
      </c>
      <c r="N40" s="1" t="s">
        <v>17</v>
      </c>
      <c r="O40" s="3">
        <v>45171.7090625</v>
      </c>
      <c r="P40" s="3">
        <v>45171.7090625</v>
      </c>
    </row>
    <row r="41">
      <c r="A41" s="1" t="s">
        <v>80</v>
      </c>
      <c r="B41" s="1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17</v>
      </c>
      <c r="H41" s="1" t="s">
        <v>17</v>
      </c>
      <c r="I41" s="1">
        <v>0.0</v>
      </c>
      <c r="J41" s="1">
        <v>0.0</v>
      </c>
      <c r="K41" s="1" t="s">
        <v>17</v>
      </c>
      <c r="L41" s="1">
        <v>0.0</v>
      </c>
      <c r="M41" s="1" t="s">
        <v>17</v>
      </c>
      <c r="N41" s="1" t="s">
        <v>81</v>
      </c>
      <c r="O41" s="3">
        <v>45171.84600694444</v>
      </c>
      <c r="P41" s="3">
        <v>45171.84600694444</v>
      </c>
    </row>
    <row r="42">
      <c r="A42" s="1" t="s">
        <v>82</v>
      </c>
      <c r="B42" s="1">
        <v>96.0</v>
      </c>
      <c r="C42" s="1">
        <v>3.7318329E7</v>
      </c>
      <c r="D42" s="1" t="s">
        <v>17</v>
      </c>
      <c r="E42" s="1" t="s">
        <v>17</v>
      </c>
      <c r="F42" s="1" t="s">
        <v>17</v>
      </c>
      <c r="G42" s="1" t="s">
        <v>83</v>
      </c>
      <c r="H42" s="1" t="s">
        <v>17</v>
      </c>
      <c r="I42" s="1">
        <v>0.0</v>
      </c>
      <c r="J42" s="1">
        <v>0.0</v>
      </c>
      <c r="K42" s="1" t="s">
        <v>17</v>
      </c>
      <c r="L42" s="1">
        <v>35.0</v>
      </c>
      <c r="M42" s="1" t="s">
        <v>84</v>
      </c>
      <c r="N42" s="1" t="s">
        <v>17</v>
      </c>
      <c r="O42" s="3">
        <v>45174.386712962965</v>
      </c>
      <c r="P42" s="3">
        <v>45181.59135416667</v>
      </c>
    </row>
    <row r="43">
      <c r="A43" s="1" t="s">
        <v>85</v>
      </c>
      <c r="B43" s="1" t="s">
        <v>17</v>
      </c>
      <c r="C43" s="1">
        <v>0.0</v>
      </c>
      <c r="D43" s="1" t="s">
        <v>17</v>
      </c>
      <c r="E43" s="1" t="s">
        <v>17</v>
      </c>
      <c r="F43" s="1" t="s">
        <v>17</v>
      </c>
      <c r="G43" s="1">
        <v>3.515285511E9</v>
      </c>
      <c r="H43" s="1" t="s">
        <v>17</v>
      </c>
      <c r="I43" s="1">
        <v>0.0</v>
      </c>
      <c r="J43" s="1">
        <v>0.0</v>
      </c>
      <c r="K43" s="1" t="s">
        <v>17</v>
      </c>
      <c r="L43" s="1" t="s">
        <v>17</v>
      </c>
      <c r="M43" s="1" t="s">
        <v>17</v>
      </c>
      <c r="N43" s="1" t="s">
        <v>17</v>
      </c>
      <c r="O43" s="3">
        <v>45174.61783564815</v>
      </c>
      <c r="P43" s="3">
        <v>45174.61783564815</v>
      </c>
    </row>
    <row r="44">
      <c r="A44" s="1" t="s">
        <v>86</v>
      </c>
      <c r="B44" s="1" t="s">
        <v>17</v>
      </c>
      <c r="C44" s="1">
        <v>0.0</v>
      </c>
      <c r="D44" s="1" t="s">
        <v>17</v>
      </c>
      <c r="E44" s="1" t="s">
        <v>17</v>
      </c>
      <c r="F44" s="1" t="s">
        <v>17</v>
      </c>
      <c r="G44" s="1">
        <v>3.885059273E9</v>
      </c>
      <c r="H44" s="1" t="s">
        <v>17</v>
      </c>
      <c r="I44" s="1">
        <v>0.0</v>
      </c>
      <c r="J44" s="1">
        <v>0.0</v>
      </c>
      <c r="K44" s="1" t="s">
        <v>17</v>
      </c>
      <c r="L44" s="1" t="s">
        <v>17</v>
      </c>
      <c r="M44" s="1" t="s">
        <v>17</v>
      </c>
      <c r="N44" s="1" t="s">
        <v>17</v>
      </c>
      <c r="O44" s="3">
        <v>45176.68728009259</v>
      </c>
      <c r="P44" s="3">
        <v>45176.688680555555</v>
      </c>
    </row>
    <row r="45">
      <c r="A45" s="1" t="s">
        <v>87</v>
      </c>
      <c r="B45" s="1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>
        <v>3.541668903E9</v>
      </c>
      <c r="H45" s="1" t="s">
        <v>17</v>
      </c>
      <c r="I45" s="1">
        <v>0.0</v>
      </c>
      <c r="J45" s="1">
        <v>0.0</v>
      </c>
      <c r="K45" s="1" t="s">
        <v>17</v>
      </c>
      <c r="L45" s="1" t="s">
        <v>17</v>
      </c>
      <c r="M45" s="1" t="s">
        <v>17</v>
      </c>
      <c r="N45" s="1" t="s">
        <v>88</v>
      </c>
      <c r="O45" s="3">
        <v>45177.64548611111</v>
      </c>
      <c r="P45" s="3">
        <v>45211.845243055555</v>
      </c>
    </row>
    <row r="46">
      <c r="A46" s="1" t="s">
        <v>89</v>
      </c>
      <c r="B46" s="1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1">
        <v>0.0</v>
      </c>
      <c r="J46" s="1">
        <v>0.0</v>
      </c>
      <c r="K46" s="1" t="s">
        <v>17</v>
      </c>
      <c r="L46" s="1">
        <v>0.0</v>
      </c>
      <c r="M46" s="1" t="s">
        <v>17</v>
      </c>
      <c r="N46" s="1" t="s">
        <v>17</v>
      </c>
      <c r="O46" s="3">
        <v>45180.53560185185</v>
      </c>
      <c r="P46" s="3">
        <v>45180.53560185185</v>
      </c>
    </row>
    <row r="47">
      <c r="A47" s="1" t="s">
        <v>90</v>
      </c>
      <c r="B47" s="1" t="s">
        <v>17</v>
      </c>
      <c r="C47" s="1">
        <v>0.0</v>
      </c>
      <c r="D47" s="1" t="s">
        <v>17</v>
      </c>
      <c r="E47" s="1" t="s">
        <v>17</v>
      </c>
      <c r="F47" s="1" t="s">
        <v>17</v>
      </c>
      <c r="G47" s="1">
        <v>3.543540742E9</v>
      </c>
      <c r="H47" s="1" t="s">
        <v>17</v>
      </c>
      <c r="I47" s="1">
        <v>0.0</v>
      </c>
      <c r="J47" s="1">
        <v>0.0</v>
      </c>
      <c r="K47" s="1" t="s">
        <v>17</v>
      </c>
      <c r="L47" s="1" t="s">
        <v>17</v>
      </c>
      <c r="M47" s="1" t="s">
        <v>17</v>
      </c>
      <c r="N47" s="1" t="s">
        <v>17</v>
      </c>
      <c r="O47" s="3">
        <v>45183.68439814815</v>
      </c>
      <c r="P47" s="3">
        <v>45183.68439814815</v>
      </c>
    </row>
    <row r="48">
      <c r="A48" s="1" t="s">
        <v>91</v>
      </c>
      <c r="B48" s="1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92</v>
      </c>
      <c r="H48" s="1" t="s">
        <v>17</v>
      </c>
      <c r="I48" s="1">
        <v>0.0</v>
      </c>
      <c r="J48" s="1">
        <v>0.0</v>
      </c>
      <c r="K48" s="1" t="s">
        <v>17</v>
      </c>
      <c r="L48" s="1" t="s">
        <v>17</v>
      </c>
      <c r="M48" s="1" t="s">
        <v>17</v>
      </c>
      <c r="N48" s="1" t="s">
        <v>17</v>
      </c>
      <c r="O48" s="3">
        <v>45187.867581018516</v>
      </c>
      <c r="P48" s="3">
        <v>45187.867581018516</v>
      </c>
    </row>
    <row r="49">
      <c r="A49" s="1" t="s">
        <v>93</v>
      </c>
      <c r="B49" s="1">
        <v>96.0</v>
      </c>
      <c r="C49" s="1">
        <v>4.4805655E7</v>
      </c>
      <c r="D49" s="1" t="s">
        <v>17</v>
      </c>
      <c r="E49" s="1" t="s">
        <v>17</v>
      </c>
      <c r="F49" s="1" t="s">
        <v>17</v>
      </c>
      <c r="G49" s="1">
        <v>3.5108178569E10</v>
      </c>
      <c r="H49" s="1" t="s">
        <v>17</v>
      </c>
      <c r="I49" s="1">
        <v>0.0</v>
      </c>
      <c r="J49" s="1">
        <v>0.0</v>
      </c>
      <c r="K49" s="1" t="s">
        <v>17</v>
      </c>
      <c r="L49" s="1" t="s">
        <v>17</v>
      </c>
      <c r="M49" s="1" t="s">
        <v>17</v>
      </c>
      <c r="N49" s="1" t="s">
        <v>17</v>
      </c>
      <c r="O49" s="3">
        <v>45188.63674768519</v>
      </c>
      <c r="P49" s="3">
        <v>45188.63674768519</v>
      </c>
    </row>
    <row r="50">
      <c r="A50" s="1" t="s">
        <v>94</v>
      </c>
      <c r="B50" s="1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>
        <v>3.512585157E9</v>
      </c>
      <c r="H50" s="1" t="s">
        <v>17</v>
      </c>
      <c r="I50" s="1">
        <v>0.0</v>
      </c>
      <c r="J50" s="1">
        <v>0.0</v>
      </c>
      <c r="K50" s="1" t="s">
        <v>17</v>
      </c>
      <c r="L50" s="1">
        <v>0.0</v>
      </c>
      <c r="M50" s="1" t="s">
        <v>17</v>
      </c>
      <c r="N50" s="1" t="s">
        <v>17</v>
      </c>
      <c r="O50" s="3">
        <v>45194.47613425926</v>
      </c>
      <c r="P50" s="3">
        <v>45194.48351851852</v>
      </c>
    </row>
    <row r="51">
      <c r="A51" s="1" t="s">
        <v>95</v>
      </c>
      <c r="B51" s="1" t="s">
        <v>17</v>
      </c>
      <c r="C51" s="1">
        <v>0.0</v>
      </c>
      <c r="D51" s="1" t="s">
        <v>17</v>
      </c>
      <c r="E51" s="1" t="s">
        <v>17</v>
      </c>
      <c r="F51" s="1" t="s">
        <v>17</v>
      </c>
      <c r="G51" s="1">
        <v>3.515487242E9</v>
      </c>
      <c r="H51" s="1" t="s">
        <v>17</v>
      </c>
      <c r="I51" s="1">
        <v>0.0</v>
      </c>
      <c r="J51" s="1">
        <v>0.0</v>
      </c>
      <c r="K51" s="1" t="s">
        <v>17</v>
      </c>
      <c r="L51" s="1" t="s">
        <v>17</v>
      </c>
      <c r="M51" s="1" t="s">
        <v>17</v>
      </c>
      <c r="N51" s="1" t="s">
        <v>17</v>
      </c>
      <c r="O51" s="3">
        <v>45194.67171296296</v>
      </c>
      <c r="P51" s="3">
        <v>45194.67171296296</v>
      </c>
    </row>
    <row r="52">
      <c r="A52" s="1" t="s">
        <v>96</v>
      </c>
      <c r="B52" s="1" t="s">
        <v>17</v>
      </c>
      <c r="C52" s="1">
        <v>0.0</v>
      </c>
      <c r="D52" s="1" t="s">
        <v>17</v>
      </c>
      <c r="E52" s="1" t="s">
        <v>17</v>
      </c>
      <c r="F52" s="1" t="s">
        <v>17</v>
      </c>
      <c r="G52" s="1" t="s">
        <v>97</v>
      </c>
      <c r="H52" s="1" t="s">
        <v>17</v>
      </c>
      <c r="I52" s="1">
        <v>0.0</v>
      </c>
      <c r="J52" s="1">
        <v>0.0</v>
      </c>
      <c r="K52" s="1" t="s">
        <v>17</v>
      </c>
      <c r="L52" s="1">
        <v>17.0</v>
      </c>
      <c r="M52" s="1">
        <v>8.217571E8</v>
      </c>
      <c r="N52" s="1" t="s">
        <v>17</v>
      </c>
      <c r="O52" s="3">
        <v>45198.66657407407</v>
      </c>
      <c r="P52" s="3">
        <v>45198.66935185185</v>
      </c>
    </row>
    <row r="53">
      <c r="A53" s="1" t="s">
        <v>98</v>
      </c>
      <c r="B53" s="1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>
        <v>3.513484854E9</v>
      </c>
      <c r="H53" s="1" t="s">
        <v>17</v>
      </c>
      <c r="I53" s="1">
        <v>0.0</v>
      </c>
      <c r="J53" s="1">
        <v>0.0</v>
      </c>
      <c r="K53" s="1" t="s">
        <v>17</v>
      </c>
      <c r="L53" s="1" t="s">
        <v>17</v>
      </c>
      <c r="M53" s="1" t="s">
        <v>17</v>
      </c>
      <c r="N53" s="1" t="s">
        <v>17</v>
      </c>
      <c r="O53" s="3">
        <v>45198.76608796296</v>
      </c>
      <c r="P53" s="3">
        <v>45198.76608796296</v>
      </c>
    </row>
    <row r="54">
      <c r="A54" s="1" t="s">
        <v>99</v>
      </c>
      <c r="B54" s="1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17</v>
      </c>
      <c r="H54" s="1" t="s">
        <v>17</v>
      </c>
      <c r="I54" s="1">
        <v>0.0</v>
      </c>
      <c r="J54" s="1">
        <v>0.0</v>
      </c>
      <c r="K54" s="1" t="s">
        <v>17</v>
      </c>
      <c r="L54" s="1" t="s">
        <v>17</v>
      </c>
      <c r="M54" s="1" t="s">
        <v>17</v>
      </c>
      <c r="N54" s="1" t="s">
        <v>17</v>
      </c>
      <c r="O54" s="3">
        <v>45201.78380787037</v>
      </c>
      <c r="P54" s="3">
        <v>45201.78380787037</v>
      </c>
    </row>
    <row r="55">
      <c r="A55" s="1" t="s">
        <v>100</v>
      </c>
      <c r="B55" s="1" t="s">
        <v>17</v>
      </c>
      <c r="C55" s="1">
        <v>0.0</v>
      </c>
      <c r="D55" s="1" t="s">
        <v>17</v>
      </c>
      <c r="E55" s="1" t="s">
        <v>17</v>
      </c>
      <c r="F55" s="1" t="s">
        <v>17</v>
      </c>
      <c r="G55" s="1" t="s">
        <v>101</v>
      </c>
      <c r="H55" s="1" t="s">
        <v>17</v>
      </c>
      <c r="I55" s="1">
        <v>0.0</v>
      </c>
      <c r="J55" s="1">
        <v>0.0</v>
      </c>
      <c r="K55" s="1" t="s">
        <v>17</v>
      </c>
      <c r="L55" s="1" t="s">
        <v>17</v>
      </c>
      <c r="M55" s="1" t="s">
        <v>17</v>
      </c>
      <c r="N55" s="1" t="s">
        <v>17</v>
      </c>
      <c r="O55" s="3">
        <v>45203.70582175926</v>
      </c>
      <c r="P55" s="3">
        <v>45203.70582175926</v>
      </c>
    </row>
    <row r="56">
      <c r="A56" s="1" t="s">
        <v>102</v>
      </c>
      <c r="B56" s="1" t="s">
        <v>17</v>
      </c>
      <c r="C56" s="1">
        <v>0.0</v>
      </c>
      <c r="D56" s="1" t="s">
        <v>17</v>
      </c>
      <c r="E56" s="1" t="s">
        <v>17</v>
      </c>
      <c r="F56" s="1" t="s">
        <v>17</v>
      </c>
      <c r="G56" s="1" t="s">
        <v>17</v>
      </c>
      <c r="H56" s="1" t="s">
        <v>17</v>
      </c>
      <c r="I56" s="1">
        <v>0.0</v>
      </c>
      <c r="J56" s="1">
        <v>0.0</v>
      </c>
      <c r="K56" s="1" t="s">
        <v>17</v>
      </c>
      <c r="L56" s="1" t="s">
        <v>17</v>
      </c>
      <c r="M56" s="1" t="s">
        <v>17</v>
      </c>
      <c r="N56" s="1" t="s">
        <v>17</v>
      </c>
      <c r="O56" s="3">
        <v>45205.51050925926</v>
      </c>
      <c r="P56" s="3">
        <v>45205.51050925926</v>
      </c>
    </row>
    <row r="57">
      <c r="A57" s="1" t="s">
        <v>103</v>
      </c>
      <c r="B57" s="1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104</v>
      </c>
      <c r="H57" s="1" t="s">
        <v>17</v>
      </c>
      <c r="I57" s="1">
        <v>0.0</v>
      </c>
      <c r="J57" s="1">
        <v>0.0</v>
      </c>
      <c r="K57" s="1" t="s">
        <v>17</v>
      </c>
      <c r="L57" s="1">
        <v>0.0</v>
      </c>
      <c r="M57" s="1" t="s">
        <v>17</v>
      </c>
      <c r="N57" s="1" t="s">
        <v>17</v>
      </c>
      <c r="O57" s="3">
        <v>45206.80097222222</v>
      </c>
      <c r="P57" s="3">
        <v>45206.80097222222</v>
      </c>
    </row>
    <row r="58">
      <c r="A58" s="1" t="s">
        <v>105</v>
      </c>
      <c r="B58" s="1" t="s">
        <v>17</v>
      </c>
      <c r="C58" s="1">
        <v>0.0</v>
      </c>
      <c r="D58" s="1" t="s">
        <v>17</v>
      </c>
      <c r="E58" s="1" t="s">
        <v>17</v>
      </c>
      <c r="F58" s="1" t="s">
        <v>17</v>
      </c>
      <c r="G58" s="1" t="s">
        <v>106</v>
      </c>
      <c r="H58" s="1" t="s">
        <v>17</v>
      </c>
      <c r="I58" s="1">
        <v>0.0</v>
      </c>
      <c r="J58" s="1">
        <v>0.0</v>
      </c>
      <c r="K58" s="1" t="s">
        <v>17</v>
      </c>
      <c r="L58" s="1" t="s">
        <v>17</v>
      </c>
      <c r="M58" s="1" t="s">
        <v>17</v>
      </c>
      <c r="N58" s="1" t="s">
        <v>17</v>
      </c>
      <c r="O58" s="3">
        <v>45211.410787037035</v>
      </c>
      <c r="P58" s="3">
        <v>45211.410787037035</v>
      </c>
    </row>
    <row r="59">
      <c r="A59" s="1" t="s">
        <v>107</v>
      </c>
      <c r="B59" s="1" t="s">
        <v>17</v>
      </c>
      <c r="C59" s="1">
        <v>0.0</v>
      </c>
      <c r="D59" s="1" t="s">
        <v>17</v>
      </c>
      <c r="E59" s="1" t="s">
        <v>17</v>
      </c>
      <c r="F59" s="1" t="s">
        <v>17</v>
      </c>
      <c r="G59" s="1" t="s">
        <v>108</v>
      </c>
      <c r="H59" s="1" t="s">
        <v>17</v>
      </c>
      <c r="I59" s="1">
        <v>0.0</v>
      </c>
      <c r="J59" s="1">
        <v>0.0</v>
      </c>
      <c r="K59" s="1" t="s">
        <v>17</v>
      </c>
      <c r="L59" s="1" t="s">
        <v>17</v>
      </c>
      <c r="M59" s="1" t="s">
        <v>17</v>
      </c>
      <c r="N59" s="1" t="s">
        <v>17</v>
      </c>
      <c r="O59" s="3">
        <v>45211.47666666667</v>
      </c>
      <c r="P59" s="3">
        <v>45211.47666666667</v>
      </c>
    </row>
    <row r="60">
      <c r="A60" s="1" t="s">
        <v>109</v>
      </c>
      <c r="B60" s="1" t="s">
        <v>17</v>
      </c>
      <c r="C60" s="1">
        <v>0.0</v>
      </c>
      <c r="D60" s="1" t="s">
        <v>17</v>
      </c>
      <c r="E60" s="1" t="s">
        <v>17</v>
      </c>
      <c r="F60" s="1" t="s">
        <v>17</v>
      </c>
      <c r="G60" s="1" t="s">
        <v>106</v>
      </c>
      <c r="H60" s="1" t="s">
        <v>17</v>
      </c>
      <c r="I60" s="1">
        <v>0.0</v>
      </c>
      <c r="J60" s="1">
        <v>0.0</v>
      </c>
      <c r="K60" s="1" t="s">
        <v>17</v>
      </c>
      <c r="L60" s="1" t="s">
        <v>17</v>
      </c>
      <c r="M60" s="1" t="s">
        <v>17</v>
      </c>
      <c r="N60" s="1" t="s">
        <v>17</v>
      </c>
      <c r="O60" s="3">
        <v>45211.60592592593</v>
      </c>
      <c r="P60" s="3">
        <v>45211.60592592593</v>
      </c>
    </row>
    <row r="61">
      <c r="A61" s="1" t="s">
        <v>110</v>
      </c>
      <c r="B61" s="1" t="s">
        <v>17</v>
      </c>
      <c r="C61" s="1">
        <v>0.0</v>
      </c>
      <c r="D61" s="1" t="s">
        <v>17</v>
      </c>
      <c r="E61" s="1" t="s">
        <v>17</v>
      </c>
      <c r="F61" s="1" t="s">
        <v>17</v>
      </c>
      <c r="G61" s="1" t="s">
        <v>17</v>
      </c>
      <c r="H61" s="1" t="s">
        <v>17</v>
      </c>
      <c r="I61" s="1">
        <v>0.0</v>
      </c>
      <c r="J61" s="1">
        <v>0.0</v>
      </c>
      <c r="K61" s="1" t="s">
        <v>17</v>
      </c>
      <c r="L61" s="1" t="s">
        <v>17</v>
      </c>
      <c r="M61" s="1" t="s">
        <v>17</v>
      </c>
      <c r="N61" s="1" t="s">
        <v>17</v>
      </c>
      <c r="O61" s="3">
        <v>45211.7521875</v>
      </c>
      <c r="P61" s="3">
        <v>45211.7521875</v>
      </c>
    </row>
    <row r="62">
      <c r="A62" s="1" t="s">
        <v>111</v>
      </c>
      <c r="B62" s="1" t="s">
        <v>17</v>
      </c>
      <c r="C62" s="1">
        <v>0.0</v>
      </c>
      <c r="D62" s="1" t="s">
        <v>17</v>
      </c>
      <c r="E62" s="1" t="s">
        <v>17</v>
      </c>
      <c r="F62" s="1" t="s">
        <v>17</v>
      </c>
      <c r="G62" s="1" t="s">
        <v>17</v>
      </c>
      <c r="H62" s="1" t="s">
        <v>17</v>
      </c>
      <c r="I62" s="1">
        <v>0.0</v>
      </c>
      <c r="J62" s="1">
        <v>0.0</v>
      </c>
      <c r="K62" s="1" t="s">
        <v>17</v>
      </c>
      <c r="L62" s="1" t="s">
        <v>17</v>
      </c>
      <c r="M62" s="1" t="s">
        <v>17</v>
      </c>
      <c r="N62" s="1" t="s">
        <v>17</v>
      </c>
      <c r="O62" s="3">
        <v>45211.79599537037</v>
      </c>
      <c r="P62" s="3">
        <v>45211.79599537037</v>
      </c>
    </row>
    <row r="63">
      <c r="A63" s="1" t="s">
        <v>112</v>
      </c>
      <c r="B63" s="1" t="s">
        <v>17</v>
      </c>
      <c r="C63" s="1">
        <v>0.0</v>
      </c>
      <c r="D63" s="1" t="s">
        <v>17</v>
      </c>
      <c r="E63" s="1" t="s">
        <v>17</v>
      </c>
      <c r="F63" s="1" t="s">
        <v>17</v>
      </c>
      <c r="G63" s="1" t="s">
        <v>113</v>
      </c>
      <c r="H63" s="1" t="s">
        <v>17</v>
      </c>
      <c r="I63" s="1">
        <v>0.0</v>
      </c>
      <c r="J63" s="1">
        <v>0.0</v>
      </c>
      <c r="K63" s="1" t="s">
        <v>17</v>
      </c>
      <c r="L63" s="1" t="s">
        <v>17</v>
      </c>
      <c r="M63" s="1" t="s">
        <v>17</v>
      </c>
      <c r="N63" s="1" t="s">
        <v>17</v>
      </c>
      <c r="O63" s="3">
        <v>45211.80496527778</v>
      </c>
      <c r="P63" s="3">
        <v>45211.80496527778</v>
      </c>
    </row>
    <row r="64">
      <c r="A64" s="1" t="s">
        <v>114</v>
      </c>
      <c r="B64" s="1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115</v>
      </c>
      <c r="H64" s="1" t="s">
        <v>17</v>
      </c>
      <c r="I64" s="1">
        <v>0.0</v>
      </c>
      <c r="J64" s="1">
        <v>0.0</v>
      </c>
      <c r="K64" s="1" t="s">
        <v>17</v>
      </c>
      <c r="L64" s="1">
        <v>0.0</v>
      </c>
      <c r="M64" s="1" t="s">
        <v>17</v>
      </c>
      <c r="N64" s="1" t="s">
        <v>17</v>
      </c>
      <c r="O64" s="3">
        <v>45211.8271875</v>
      </c>
      <c r="P64" s="3">
        <v>45211.8271875</v>
      </c>
    </row>
    <row r="65">
      <c r="A65" s="1" t="s">
        <v>116</v>
      </c>
      <c r="B65" s="1" t="s">
        <v>17</v>
      </c>
      <c r="C65" s="1">
        <v>0.0</v>
      </c>
      <c r="D65" s="1" t="s">
        <v>17</v>
      </c>
      <c r="E65" s="1" t="s">
        <v>17</v>
      </c>
      <c r="F65" s="1" t="s">
        <v>17</v>
      </c>
      <c r="G65" s="1" t="s">
        <v>117</v>
      </c>
      <c r="H65" s="1" t="s">
        <v>17</v>
      </c>
      <c r="I65" s="1">
        <v>0.0</v>
      </c>
      <c r="J65" s="1">
        <v>0.0</v>
      </c>
      <c r="K65" s="1" t="s">
        <v>17</v>
      </c>
      <c r="L65" s="1" t="s">
        <v>17</v>
      </c>
      <c r="M65" s="1" t="s">
        <v>17</v>
      </c>
      <c r="N65" s="1" t="s">
        <v>17</v>
      </c>
      <c r="O65" s="3">
        <v>45211.835277777776</v>
      </c>
      <c r="P65" s="3">
        <v>45211.835277777776</v>
      </c>
    </row>
    <row r="66">
      <c r="A66" s="1" t="s">
        <v>118</v>
      </c>
      <c r="B66" s="1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17</v>
      </c>
      <c r="H66" s="1" t="s">
        <v>17</v>
      </c>
      <c r="I66" s="1">
        <v>0.0</v>
      </c>
      <c r="J66" s="1">
        <v>4.0</v>
      </c>
      <c r="K66" s="1" t="s">
        <v>17</v>
      </c>
      <c r="L66" s="1" t="s">
        <v>17</v>
      </c>
      <c r="M66" s="1" t="s">
        <v>17</v>
      </c>
      <c r="N66" s="1" t="s">
        <v>17</v>
      </c>
      <c r="O66" s="3">
        <v>45216.737650462965</v>
      </c>
      <c r="P66" s="3">
        <v>45216.737650462965</v>
      </c>
    </row>
    <row r="67">
      <c r="A67" s="1" t="s">
        <v>119</v>
      </c>
      <c r="B67" s="1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17</v>
      </c>
      <c r="H67" s="1" t="s">
        <v>17</v>
      </c>
      <c r="I67" s="1">
        <v>0.0</v>
      </c>
      <c r="J67" s="1">
        <v>0.0</v>
      </c>
      <c r="K67" s="1" t="s">
        <v>17</v>
      </c>
      <c r="L67" s="1" t="s">
        <v>17</v>
      </c>
      <c r="M67" s="1" t="s">
        <v>17</v>
      </c>
      <c r="N67" s="1" t="s">
        <v>17</v>
      </c>
      <c r="O67" s="3">
        <v>45217.65996527778</v>
      </c>
      <c r="P67" s="3">
        <v>45217.65996527778</v>
      </c>
    </row>
    <row r="68">
      <c r="A68" s="1" t="s">
        <v>120</v>
      </c>
      <c r="B68" s="1" t="s">
        <v>17</v>
      </c>
      <c r="C68" s="1">
        <v>0.0</v>
      </c>
      <c r="D68" s="1" t="s">
        <v>17</v>
      </c>
      <c r="E68" s="1" t="s">
        <v>17</v>
      </c>
      <c r="F68" s="1" t="s">
        <v>17</v>
      </c>
      <c r="G68" s="1" t="s">
        <v>17</v>
      </c>
      <c r="H68" s="1" t="s">
        <v>17</v>
      </c>
      <c r="I68" s="1">
        <v>0.0</v>
      </c>
      <c r="J68" s="1">
        <v>0.0</v>
      </c>
      <c r="K68" s="1" t="s">
        <v>17</v>
      </c>
      <c r="L68" s="1" t="s">
        <v>17</v>
      </c>
      <c r="M68" s="1" t="s">
        <v>17</v>
      </c>
      <c r="N68" s="1" t="s">
        <v>17</v>
      </c>
      <c r="O68" s="3">
        <v>45217.78462962963</v>
      </c>
      <c r="P68" s="3">
        <v>45217.78462962963</v>
      </c>
    </row>
    <row r="69">
      <c r="A69" s="1" t="s">
        <v>121</v>
      </c>
      <c r="B69" s="1" t="s">
        <v>17</v>
      </c>
      <c r="C69" s="1">
        <v>0.0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1">
        <v>0.0</v>
      </c>
      <c r="J69" s="1">
        <v>0.0</v>
      </c>
      <c r="K69" s="1" t="s">
        <v>17</v>
      </c>
      <c r="L69" s="1" t="s">
        <v>17</v>
      </c>
      <c r="M69" s="1" t="s">
        <v>17</v>
      </c>
      <c r="N69" s="1" t="s">
        <v>122</v>
      </c>
      <c r="O69" s="3">
        <v>45218.52761574074</v>
      </c>
      <c r="P69" s="3">
        <v>45218.52761574074</v>
      </c>
    </row>
    <row r="70">
      <c r="A70" s="1" t="s">
        <v>123</v>
      </c>
      <c r="B70" s="1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>
        <v>3.885828206E9</v>
      </c>
      <c r="H70" s="1" t="s">
        <v>17</v>
      </c>
      <c r="I70" s="1">
        <v>0.0</v>
      </c>
      <c r="J70" s="1">
        <v>0.0</v>
      </c>
      <c r="K70" s="1" t="s">
        <v>17</v>
      </c>
      <c r="L70" s="1" t="s">
        <v>17</v>
      </c>
      <c r="M70" s="1" t="s">
        <v>17</v>
      </c>
      <c r="N70" s="1" t="s">
        <v>17</v>
      </c>
      <c r="O70" s="3">
        <v>45218.69136574074</v>
      </c>
      <c r="P70" s="3">
        <v>45218.69136574074</v>
      </c>
    </row>
    <row r="71">
      <c r="A71" s="1" t="s">
        <v>124</v>
      </c>
      <c r="B71" s="1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>
        <v>3.886823895E9</v>
      </c>
      <c r="H71" s="1" t="s">
        <v>17</v>
      </c>
      <c r="I71" s="1">
        <v>0.0</v>
      </c>
      <c r="J71" s="1">
        <v>0.0</v>
      </c>
      <c r="K71" s="1" t="s">
        <v>17</v>
      </c>
      <c r="L71" s="1" t="s">
        <v>17</v>
      </c>
      <c r="M71" s="1" t="s">
        <v>17</v>
      </c>
      <c r="N71" s="1" t="s">
        <v>17</v>
      </c>
      <c r="O71" s="3">
        <v>45218.69672453704</v>
      </c>
      <c r="P71" s="3">
        <v>45218.69672453704</v>
      </c>
    </row>
    <row r="72">
      <c r="A72" s="1" t="s">
        <v>125</v>
      </c>
      <c r="B72" s="1">
        <v>96.0</v>
      </c>
      <c r="C72" s="1">
        <v>2.8476784E7</v>
      </c>
      <c r="D72" s="1" t="s">
        <v>17</v>
      </c>
      <c r="E72" s="1" t="s">
        <v>17</v>
      </c>
      <c r="F72" s="1" t="s">
        <v>17</v>
      </c>
      <c r="G72" s="1">
        <v>3.884348186E9</v>
      </c>
      <c r="H72" s="1" t="s">
        <v>17</v>
      </c>
      <c r="I72" s="1">
        <v>0.0</v>
      </c>
      <c r="J72" s="1">
        <v>0.0</v>
      </c>
      <c r="K72" s="1" t="s">
        <v>17</v>
      </c>
      <c r="L72" s="1" t="s">
        <v>17</v>
      </c>
      <c r="M72" s="1" t="s">
        <v>17</v>
      </c>
      <c r="N72" s="1" t="s">
        <v>17</v>
      </c>
      <c r="O72" s="3">
        <v>45218.70149305555</v>
      </c>
      <c r="P72" s="3">
        <v>45218.70149305555</v>
      </c>
    </row>
    <row r="73">
      <c r="A73" s="1" t="s">
        <v>126</v>
      </c>
      <c r="B73" s="1">
        <v>96.0</v>
      </c>
      <c r="C73" s="1">
        <v>2.8250183E7</v>
      </c>
      <c r="D73" s="1" t="s">
        <v>17</v>
      </c>
      <c r="E73" s="1" t="s">
        <v>17</v>
      </c>
      <c r="F73" s="1" t="s">
        <v>17</v>
      </c>
      <c r="G73" s="1">
        <v>3.88519558E9</v>
      </c>
      <c r="H73" s="1" t="s">
        <v>17</v>
      </c>
      <c r="I73" s="1">
        <v>0.0</v>
      </c>
      <c r="J73" s="1">
        <v>0.0</v>
      </c>
      <c r="K73" s="1" t="s">
        <v>17</v>
      </c>
      <c r="L73" s="1" t="s">
        <v>17</v>
      </c>
      <c r="M73" s="1" t="s">
        <v>17</v>
      </c>
      <c r="N73" s="1" t="s">
        <v>17</v>
      </c>
      <c r="O73" s="3">
        <v>45218.71045138889</v>
      </c>
      <c r="P73" s="3">
        <v>45218.71045138889</v>
      </c>
    </row>
    <row r="74">
      <c r="A74" s="1" t="s">
        <v>127</v>
      </c>
      <c r="B74" s="1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>
        <v>3.517023811E9</v>
      </c>
      <c r="H74" s="1" t="s">
        <v>17</v>
      </c>
      <c r="I74" s="1">
        <v>0.0</v>
      </c>
      <c r="J74" s="1">
        <v>0.0</v>
      </c>
      <c r="K74" s="1" t="s">
        <v>17</v>
      </c>
      <c r="L74" s="1" t="s">
        <v>17</v>
      </c>
      <c r="M74" s="1" t="s">
        <v>17</v>
      </c>
      <c r="N74" s="1" t="s">
        <v>17</v>
      </c>
      <c r="O74" s="3">
        <v>45218.82896990741</v>
      </c>
      <c r="P74" s="3">
        <v>45218.82896990741</v>
      </c>
    </row>
    <row r="75">
      <c r="A75" s="1" t="s">
        <v>128</v>
      </c>
      <c r="B75" s="1">
        <v>96.0</v>
      </c>
      <c r="C75" s="1">
        <v>3.4957485E7</v>
      </c>
      <c r="D75" s="1" t="s">
        <v>17</v>
      </c>
      <c r="E75" s="1" t="s">
        <v>17</v>
      </c>
      <c r="F75" s="1" t="s">
        <v>17</v>
      </c>
      <c r="G75" s="1" t="s">
        <v>17</v>
      </c>
      <c r="H75" s="1" t="s">
        <v>17</v>
      </c>
      <c r="I75" s="1">
        <v>0.0</v>
      </c>
      <c r="J75" s="1">
        <v>0.0</v>
      </c>
      <c r="K75" s="1" t="s">
        <v>17</v>
      </c>
      <c r="L75" s="1" t="s">
        <v>17</v>
      </c>
      <c r="M75" s="1" t="s">
        <v>17</v>
      </c>
      <c r="N75" s="1" t="s">
        <v>17</v>
      </c>
      <c r="O75" s="3">
        <v>45219.46805555555</v>
      </c>
      <c r="P75" s="3">
        <v>45219.46805555555</v>
      </c>
    </row>
    <row r="76">
      <c r="A76" s="1" t="s">
        <v>129</v>
      </c>
      <c r="B76" s="1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17</v>
      </c>
      <c r="H76" s="1" t="s">
        <v>17</v>
      </c>
      <c r="I76" s="1">
        <v>0.0</v>
      </c>
      <c r="J76" s="1">
        <v>0.0</v>
      </c>
      <c r="K76" s="1" t="s">
        <v>17</v>
      </c>
      <c r="L76" s="1" t="s">
        <v>17</v>
      </c>
      <c r="M76" s="1" t="s">
        <v>17</v>
      </c>
      <c r="N76" s="1" t="s">
        <v>17</v>
      </c>
      <c r="O76" s="3">
        <v>45219.47592592592</v>
      </c>
      <c r="P76" s="3">
        <v>45219.47592592592</v>
      </c>
    </row>
    <row r="77">
      <c r="A77" s="1" t="s">
        <v>130</v>
      </c>
      <c r="B77" s="1">
        <v>96.0</v>
      </c>
      <c r="C77" s="1" t="s">
        <v>17</v>
      </c>
      <c r="D77" s="1" t="s">
        <v>17</v>
      </c>
      <c r="E77" s="1" t="s">
        <v>17</v>
      </c>
      <c r="F77" s="1" t="s">
        <v>17</v>
      </c>
      <c r="G77" s="1">
        <v>3.516175792E9</v>
      </c>
      <c r="H77" s="1" t="s">
        <v>17</v>
      </c>
      <c r="I77" s="1">
        <v>0.0</v>
      </c>
      <c r="J77" s="1">
        <v>0.0</v>
      </c>
      <c r="K77" s="1" t="s">
        <v>17</v>
      </c>
      <c r="L77" s="1" t="s">
        <v>17</v>
      </c>
      <c r="M77" s="1" t="s">
        <v>17</v>
      </c>
      <c r="N77" s="1" t="s">
        <v>17</v>
      </c>
      <c r="O77" s="3">
        <v>45220.84030092593</v>
      </c>
      <c r="P77" s="3">
        <v>45220.84069444444</v>
      </c>
    </row>
    <row r="78">
      <c r="A78" s="1" t="s">
        <v>131</v>
      </c>
      <c r="B78" s="1" t="s">
        <v>17</v>
      </c>
      <c r="C78" s="1">
        <v>0.0</v>
      </c>
      <c r="D78" s="1" t="s">
        <v>17</v>
      </c>
      <c r="E78" s="1" t="s">
        <v>17</v>
      </c>
      <c r="F78" s="1" t="s">
        <v>17</v>
      </c>
      <c r="G78" s="1" t="s">
        <v>17</v>
      </c>
      <c r="H78" s="1" t="s">
        <v>17</v>
      </c>
      <c r="I78" s="1">
        <v>0.0</v>
      </c>
      <c r="J78" s="1">
        <v>0.0</v>
      </c>
      <c r="K78" s="1" t="s">
        <v>17</v>
      </c>
      <c r="L78" s="1" t="s">
        <v>17</v>
      </c>
      <c r="M78" s="1" t="s">
        <v>17</v>
      </c>
      <c r="N78" s="1" t="s">
        <v>17</v>
      </c>
      <c r="O78" s="3">
        <v>45230.492256944446</v>
      </c>
      <c r="P78" s="3">
        <v>45230.492256944446</v>
      </c>
    </row>
    <row r="79">
      <c r="A79" s="1" t="s">
        <v>132</v>
      </c>
      <c r="B79" s="1" t="s">
        <v>17</v>
      </c>
      <c r="C79" s="1">
        <v>0.0</v>
      </c>
      <c r="D79" s="1" t="s">
        <v>17</v>
      </c>
      <c r="E79" s="1" t="s">
        <v>17</v>
      </c>
      <c r="F79" s="1" t="s">
        <v>17</v>
      </c>
      <c r="G79" s="1">
        <v>3.883128853E9</v>
      </c>
      <c r="H79" s="1" t="s">
        <v>17</v>
      </c>
      <c r="I79" s="1">
        <v>0.0</v>
      </c>
      <c r="J79" s="1">
        <v>0.0</v>
      </c>
      <c r="K79" s="1" t="s">
        <v>17</v>
      </c>
      <c r="L79" s="1" t="s">
        <v>17</v>
      </c>
      <c r="M79" s="1" t="s">
        <v>17</v>
      </c>
      <c r="N79" s="1" t="s">
        <v>17</v>
      </c>
      <c r="O79" s="3">
        <v>45230.519583333335</v>
      </c>
      <c r="P79" s="3">
        <v>45230.519583333335</v>
      </c>
    </row>
    <row r="80">
      <c r="A80" s="1" t="s">
        <v>133</v>
      </c>
      <c r="B80" s="1" t="s">
        <v>17</v>
      </c>
      <c r="C80" s="1">
        <v>0.0</v>
      </c>
      <c r="D80" s="1" t="s">
        <v>17</v>
      </c>
      <c r="E80" s="1" t="s">
        <v>17</v>
      </c>
      <c r="F80" s="1" t="s">
        <v>17</v>
      </c>
      <c r="G80" s="1" t="s">
        <v>17</v>
      </c>
      <c r="H80" s="1" t="s">
        <v>17</v>
      </c>
      <c r="I80" s="1">
        <v>0.0</v>
      </c>
      <c r="J80" s="1">
        <v>0.0</v>
      </c>
      <c r="K80" s="1" t="s">
        <v>17</v>
      </c>
      <c r="L80" s="1" t="s">
        <v>17</v>
      </c>
      <c r="M80" s="1" t="s">
        <v>17</v>
      </c>
      <c r="N80" s="1" t="s">
        <v>17</v>
      </c>
      <c r="O80" s="3">
        <v>45231.409479166665</v>
      </c>
      <c r="P80" s="3">
        <v>45231.409479166665</v>
      </c>
    </row>
    <row r="81">
      <c r="A81" s="1" t="s">
        <v>134</v>
      </c>
      <c r="B81" s="1" t="s">
        <v>17</v>
      </c>
      <c r="C81" s="1">
        <v>0.0</v>
      </c>
      <c r="D81" s="1" t="s">
        <v>17</v>
      </c>
      <c r="E81" s="1" t="s">
        <v>17</v>
      </c>
      <c r="F81" s="1" t="s">
        <v>17</v>
      </c>
      <c r="G81" s="1" t="s">
        <v>135</v>
      </c>
      <c r="H81" s="1" t="s">
        <v>17</v>
      </c>
      <c r="I81" s="1">
        <v>0.0</v>
      </c>
      <c r="J81" s="1">
        <v>0.0</v>
      </c>
      <c r="K81" s="1" t="s">
        <v>17</v>
      </c>
      <c r="L81" s="1" t="s">
        <v>17</v>
      </c>
      <c r="M81" s="1" t="s">
        <v>17</v>
      </c>
      <c r="N81" s="1" t="s">
        <v>17</v>
      </c>
      <c r="O81" s="3">
        <v>45231.75271990741</v>
      </c>
      <c r="P81" s="3">
        <v>45231.75271990741</v>
      </c>
    </row>
    <row r="82">
      <c r="A82" s="1" t="s">
        <v>136</v>
      </c>
      <c r="B82" s="1" t="s">
        <v>17</v>
      </c>
      <c r="C82" s="1">
        <v>0.0</v>
      </c>
      <c r="D82" s="1" t="s">
        <v>17</v>
      </c>
      <c r="E82" s="1" t="s">
        <v>17</v>
      </c>
      <c r="F82" s="1" t="s">
        <v>17</v>
      </c>
      <c r="G82" s="1" t="s">
        <v>17</v>
      </c>
      <c r="H82" s="1" t="s">
        <v>17</v>
      </c>
      <c r="I82" s="1">
        <v>0.0</v>
      </c>
      <c r="J82" s="1">
        <v>0.0</v>
      </c>
      <c r="K82" s="1" t="s">
        <v>17</v>
      </c>
      <c r="L82" s="1" t="s">
        <v>17</v>
      </c>
      <c r="M82" s="1" t="s">
        <v>17</v>
      </c>
      <c r="N82" s="1" t="s">
        <v>17</v>
      </c>
      <c r="O82" s="3">
        <v>45231.83021990741</v>
      </c>
      <c r="P82" s="3">
        <v>45231.83021990741</v>
      </c>
    </row>
    <row r="83">
      <c r="A83" s="1" t="s">
        <v>137</v>
      </c>
      <c r="B83" s="1" t="s">
        <v>17</v>
      </c>
      <c r="C83" s="1">
        <v>0.0</v>
      </c>
      <c r="D83" s="1" t="s">
        <v>17</v>
      </c>
      <c r="E83" s="1" t="s">
        <v>17</v>
      </c>
      <c r="F83" s="1" t="s">
        <v>17</v>
      </c>
      <c r="G83" s="1" t="s">
        <v>138</v>
      </c>
      <c r="H83" s="1" t="s">
        <v>17</v>
      </c>
      <c r="I83" s="1">
        <v>0.0</v>
      </c>
      <c r="J83" s="1">
        <v>0.0</v>
      </c>
      <c r="K83" s="1" t="s">
        <v>17</v>
      </c>
      <c r="L83" s="1" t="s">
        <v>17</v>
      </c>
      <c r="M83" s="1" t="s">
        <v>17</v>
      </c>
      <c r="N83" s="1" t="s">
        <v>17</v>
      </c>
      <c r="O83" s="3">
        <v>45231.902291666665</v>
      </c>
      <c r="P83" s="3">
        <v>45231.902291666665</v>
      </c>
    </row>
    <row r="84">
      <c r="A84" s="1" t="s">
        <v>139</v>
      </c>
      <c r="B84" s="1" t="s">
        <v>17</v>
      </c>
      <c r="C84" s="1">
        <v>0.0</v>
      </c>
      <c r="D84" s="1" t="s">
        <v>17</v>
      </c>
      <c r="E84" s="1" t="s">
        <v>17</v>
      </c>
      <c r="F84" s="1" t="s">
        <v>17</v>
      </c>
      <c r="G84" s="1" t="s">
        <v>140</v>
      </c>
      <c r="H84" s="1" t="s">
        <v>17</v>
      </c>
      <c r="I84" s="1">
        <v>0.0</v>
      </c>
      <c r="J84" s="1">
        <v>0.0</v>
      </c>
      <c r="K84" s="1" t="s">
        <v>17</v>
      </c>
      <c r="L84" s="1" t="s">
        <v>17</v>
      </c>
      <c r="M84" s="1" t="s">
        <v>17</v>
      </c>
      <c r="N84" s="1" t="s">
        <v>17</v>
      </c>
      <c r="O84" s="3">
        <v>45232.404699074075</v>
      </c>
      <c r="P84" s="3">
        <v>45232.404699074075</v>
      </c>
    </row>
    <row r="85">
      <c r="A85" s="1" t="s">
        <v>141</v>
      </c>
      <c r="B85" s="1" t="s">
        <v>17</v>
      </c>
      <c r="C85" s="1">
        <v>0.0</v>
      </c>
      <c r="D85" s="1" t="s">
        <v>17</v>
      </c>
      <c r="E85" s="1" t="s">
        <v>17</v>
      </c>
      <c r="F85" s="1" t="s">
        <v>17</v>
      </c>
      <c r="G85" s="4" t="str">
        <f>+54 9 3413 19-3000</f>
        <v>#ERROR!</v>
      </c>
      <c r="H85" s="1" t="s">
        <v>17</v>
      </c>
      <c r="I85" s="1">
        <v>0.0</v>
      </c>
      <c r="J85" s="1">
        <v>0.0</v>
      </c>
      <c r="K85" s="1" t="s">
        <v>17</v>
      </c>
      <c r="L85" s="1" t="s">
        <v>17</v>
      </c>
      <c r="M85" s="1" t="s">
        <v>17</v>
      </c>
      <c r="N85" s="1" t="s">
        <v>17</v>
      </c>
      <c r="O85" s="3">
        <v>45232.493483796294</v>
      </c>
      <c r="P85" s="3">
        <v>45232.493483796294</v>
      </c>
    </row>
    <row r="86">
      <c r="A86" s="1" t="s">
        <v>142</v>
      </c>
      <c r="B86" s="1" t="s">
        <v>17</v>
      </c>
      <c r="C86" s="1">
        <v>0.0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17</v>
      </c>
      <c r="I86" s="1">
        <v>0.0</v>
      </c>
      <c r="J86" s="1">
        <v>0.0</v>
      </c>
      <c r="K86" s="1" t="s">
        <v>17</v>
      </c>
      <c r="L86" s="1" t="s">
        <v>17</v>
      </c>
      <c r="M86" s="1" t="s">
        <v>17</v>
      </c>
      <c r="N86" s="1" t="s">
        <v>17</v>
      </c>
      <c r="O86" s="3">
        <v>45232.494675925926</v>
      </c>
      <c r="P86" s="3">
        <v>45232.494675925926</v>
      </c>
    </row>
    <row r="87">
      <c r="A87" s="1" t="s">
        <v>143</v>
      </c>
      <c r="B87" s="1" t="s">
        <v>17</v>
      </c>
      <c r="C87" s="1">
        <v>0.0</v>
      </c>
      <c r="D87" s="1" t="s">
        <v>17</v>
      </c>
      <c r="E87" s="1" t="s">
        <v>17</v>
      </c>
      <c r="F87" s="1" t="s">
        <v>17</v>
      </c>
      <c r="G87" s="1">
        <v>2.473474182E9</v>
      </c>
      <c r="H87" s="1" t="s">
        <v>17</v>
      </c>
      <c r="I87" s="1">
        <v>0.0</v>
      </c>
      <c r="J87" s="1">
        <v>0.0</v>
      </c>
      <c r="K87" s="1" t="s">
        <v>17</v>
      </c>
      <c r="L87" s="1" t="s">
        <v>17</v>
      </c>
      <c r="M87" s="1" t="s">
        <v>17</v>
      </c>
      <c r="N87" s="1" t="s">
        <v>17</v>
      </c>
      <c r="O87" s="3">
        <v>45233.447384259256</v>
      </c>
      <c r="P87" s="3">
        <v>45233.4546875</v>
      </c>
    </row>
    <row r="88">
      <c r="A88" s="1" t="s">
        <v>144</v>
      </c>
      <c r="B88" s="1" t="s">
        <v>17</v>
      </c>
      <c r="C88" s="1">
        <v>0.0</v>
      </c>
      <c r="D88" s="1" t="s">
        <v>17</v>
      </c>
      <c r="E88" s="1" t="s">
        <v>17</v>
      </c>
      <c r="F88" s="1" t="s">
        <v>17</v>
      </c>
      <c r="G88" s="1" t="s">
        <v>17</v>
      </c>
      <c r="H88" s="1" t="s">
        <v>17</v>
      </c>
      <c r="I88" s="1">
        <v>0.0</v>
      </c>
      <c r="J88" s="1">
        <v>0.0</v>
      </c>
      <c r="K88" s="1" t="s">
        <v>17</v>
      </c>
      <c r="L88" s="1" t="s">
        <v>17</v>
      </c>
      <c r="M88" s="1" t="s">
        <v>17</v>
      </c>
      <c r="N88" s="1" t="s">
        <v>17</v>
      </c>
      <c r="O88" s="3">
        <v>45233.52900462963</v>
      </c>
      <c r="P88" s="3">
        <v>45233.52900462963</v>
      </c>
    </row>
    <row r="89">
      <c r="A89" s="1" t="s">
        <v>145</v>
      </c>
      <c r="B89" s="1" t="s">
        <v>17</v>
      </c>
      <c r="C89" s="1">
        <v>0.0</v>
      </c>
      <c r="D89" s="1" t="s">
        <v>17</v>
      </c>
      <c r="E89" s="1" t="s">
        <v>17</v>
      </c>
      <c r="F89" s="1" t="s">
        <v>17</v>
      </c>
      <c r="G89" s="4" t="str">
        <f>+54 9 11 5781-5065</f>
        <v>#ERROR!</v>
      </c>
      <c r="H89" s="1" t="s">
        <v>17</v>
      </c>
      <c r="I89" s="1">
        <v>0.0</v>
      </c>
      <c r="J89" s="1">
        <v>0.0</v>
      </c>
      <c r="K89" s="1" t="s">
        <v>17</v>
      </c>
      <c r="L89" s="1" t="s">
        <v>17</v>
      </c>
      <c r="M89" s="1" t="s">
        <v>17</v>
      </c>
      <c r="N89" s="1" t="s">
        <v>17</v>
      </c>
      <c r="O89" s="3">
        <v>45233.75261574074</v>
      </c>
      <c r="P89" s="3">
        <v>45233.75261574074</v>
      </c>
    </row>
    <row r="90">
      <c r="A90" s="1" t="s">
        <v>146</v>
      </c>
      <c r="B90" s="1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>
        <v>2.926456175E9</v>
      </c>
      <c r="H90" s="1" t="s">
        <v>17</v>
      </c>
      <c r="I90" s="1">
        <v>0.0</v>
      </c>
      <c r="J90" s="1">
        <v>0.0</v>
      </c>
      <c r="K90" s="1" t="s">
        <v>17</v>
      </c>
      <c r="L90" s="1">
        <v>0.0</v>
      </c>
      <c r="M90" s="1" t="s">
        <v>17</v>
      </c>
      <c r="N90" s="1" t="s">
        <v>17</v>
      </c>
      <c r="O90" s="3">
        <v>45234.830972222226</v>
      </c>
      <c r="P90" s="3">
        <v>45234.830972222226</v>
      </c>
    </row>
    <row r="91">
      <c r="A91" s="1" t="s">
        <v>147</v>
      </c>
      <c r="B91" s="1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148</v>
      </c>
      <c r="H91" s="1" t="s">
        <v>17</v>
      </c>
      <c r="I91" s="1">
        <v>0.0</v>
      </c>
      <c r="J91" s="1">
        <v>0.0</v>
      </c>
      <c r="K91" s="1" t="s">
        <v>17</v>
      </c>
      <c r="L91" s="1" t="s">
        <v>17</v>
      </c>
      <c r="M91" s="1" t="s">
        <v>17</v>
      </c>
      <c r="N91" s="1" t="s">
        <v>17</v>
      </c>
      <c r="O91" s="3">
        <v>45234.879155092596</v>
      </c>
      <c r="P91" s="3">
        <v>45234.879155092596</v>
      </c>
    </row>
    <row r="92">
      <c r="A92" s="1" t="s">
        <v>149</v>
      </c>
      <c r="B92" s="1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4" t="str">
        <f>+54 9 3471 61-0753</f>
        <v>#ERROR!</v>
      </c>
      <c r="H92" s="1" t="s">
        <v>17</v>
      </c>
      <c r="I92" s="1">
        <v>0.0</v>
      </c>
      <c r="J92" s="1">
        <v>0.0</v>
      </c>
      <c r="K92" s="1" t="s">
        <v>17</v>
      </c>
      <c r="L92" s="1" t="s">
        <v>17</v>
      </c>
      <c r="M92" s="1" t="s">
        <v>17</v>
      </c>
      <c r="N92" s="1" t="s">
        <v>17</v>
      </c>
      <c r="O92" s="3">
        <v>45236.43770833333</v>
      </c>
      <c r="P92" s="3">
        <v>45236.43770833333</v>
      </c>
    </row>
    <row r="93">
      <c r="A93" s="1" t="s">
        <v>150</v>
      </c>
      <c r="B93" s="1" t="s">
        <v>17</v>
      </c>
      <c r="C93" s="1">
        <v>0.0</v>
      </c>
      <c r="D93" s="1" t="s">
        <v>17</v>
      </c>
      <c r="E93" s="1" t="s">
        <v>17</v>
      </c>
      <c r="F93" s="1" t="s">
        <v>17</v>
      </c>
      <c r="G93" s="4" t="str">
        <f>+54 9 2657 55-6863</f>
        <v>#ERROR!</v>
      </c>
      <c r="H93" s="1" t="s">
        <v>17</v>
      </c>
      <c r="I93" s="1">
        <v>0.0</v>
      </c>
      <c r="J93" s="1">
        <v>0.0</v>
      </c>
      <c r="K93" s="1" t="s">
        <v>17</v>
      </c>
      <c r="L93" s="1" t="s">
        <v>17</v>
      </c>
      <c r="M93" s="1" t="s">
        <v>17</v>
      </c>
      <c r="N93" s="1" t="s">
        <v>17</v>
      </c>
      <c r="O93" s="3">
        <v>45236.48030092593</v>
      </c>
      <c r="P93" s="3">
        <v>45236.48030092593</v>
      </c>
    </row>
    <row r="94">
      <c r="A94" s="1" t="s">
        <v>151</v>
      </c>
      <c r="B94" s="1" t="s">
        <v>17</v>
      </c>
      <c r="C94" s="1">
        <v>0.0</v>
      </c>
      <c r="D94" s="1" t="s">
        <v>17</v>
      </c>
      <c r="E94" s="1" t="s">
        <v>17</v>
      </c>
      <c r="F94" s="1" t="s">
        <v>17</v>
      </c>
      <c r="G94" s="4" t="str">
        <f>+54 9 2657 55-6863</f>
        <v>#ERROR!</v>
      </c>
      <c r="H94" s="1" t="s">
        <v>17</v>
      </c>
      <c r="I94" s="1">
        <v>0.0</v>
      </c>
      <c r="J94" s="1">
        <v>0.0</v>
      </c>
      <c r="K94" s="1" t="s">
        <v>17</v>
      </c>
      <c r="L94" s="1" t="s">
        <v>17</v>
      </c>
      <c r="M94" s="1" t="s">
        <v>17</v>
      </c>
      <c r="N94" s="1" t="s">
        <v>17</v>
      </c>
      <c r="O94" s="3">
        <v>45236.591875</v>
      </c>
      <c r="P94" s="3">
        <v>45236.591875</v>
      </c>
    </row>
    <row r="95">
      <c r="A95" s="1" t="s">
        <v>152</v>
      </c>
      <c r="B95" s="1" t="s">
        <v>17</v>
      </c>
      <c r="C95" s="1">
        <v>0.0</v>
      </c>
      <c r="D95" s="1" t="s">
        <v>17</v>
      </c>
      <c r="E95" s="1" t="s">
        <v>17</v>
      </c>
      <c r="F95" s="1" t="s">
        <v>17</v>
      </c>
      <c r="G95" s="1" t="s">
        <v>153</v>
      </c>
      <c r="H95" s="1" t="s">
        <v>17</v>
      </c>
      <c r="I95" s="1">
        <v>0.0</v>
      </c>
      <c r="J95" s="1">
        <v>0.0</v>
      </c>
      <c r="K95" s="1" t="s">
        <v>17</v>
      </c>
      <c r="L95" s="1" t="s">
        <v>17</v>
      </c>
      <c r="M95" s="1" t="s">
        <v>17</v>
      </c>
      <c r="N95" s="1" t="s">
        <v>17</v>
      </c>
      <c r="O95" s="3">
        <v>45236.83924768519</v>
      </c>
      <c r="P95" s="3">
        <v>45236.83924768519</v>
      </c>
    </row>
    <row r="96">
      <c r="A96" s="1" t="s">
        <v>154</v>
      </c>
      <c r="B96" s="1" t="s">
        <v>17</v>
      </c>
      <c r="C96" s="1">
        <v>0.0</v>
      </c>
      <c r="D96" s="1" t="s">
        <v>17</v>
      </c>
      <c r="E96" s="1" t="s">
        <v>17</v>
      </c>
      <c r="F96" s="1" t="s">
        <v>17</v>
      </c>
      <c r="G96" s="4" t="str">
        <f>+54 9 11 6586-2652</f>
        <v>#ERROR!</v>
      </c>
      <c r="H96" s="1" t="s">
        <v>17</v>
      </c>
      <c r="I96" s="1">
        <v>0.0</v>
      </c>
      <c r="J96" s="1">
        <v>0.0</v>
      </c>
      <c r="K96" s="1" t="s">
        <v>17</v>
      </c>
      <c r="L96" s="1" t="s">
        <v>17</v>
      </c>
      <c r="M96" s="1" t="s">
        <v>17</v>
      </c>
      <c r="N96" s="1" t="s">
        <v>17</v>
      </c>
      <c r="O96" s="3">
        <v>45237.47690972222</v>
      </c>
      <c r="P96" s="3">
        <v>45237.47690972222</v>
      </c>
    </row>
    <row r="97">
      <c r="A97" s="1" t="s">
        <v>155</v>
      </c>
      <c r="B97" s="1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4" t="str">
        <f>+54 9 2975 30-5207</f>
        <v>#ERROR!</v>
      </c>
      <c r="H97" s="1" t="s">
        <v>17</v>
      </c>
      <c r="I97" s="1">
        <v>0.0</v>
      </c>
      <c r="J97" s="1">
        <v>0.0</v>
      </c>
      <c r="K97" s="1" t="s">
        <v>17</v>
      </c>
      <c r="L97" s="1" t="s">
        <v>17</v>
      </c>
      <c r="M97" s="1" t="s">
        <v>17</v>
      </c>
      <c r="N97" s="1" t="s">
        <v>17</v>
      </c>
      <c r="O97" s="3">
        <v>45237.59998842593</v>
      </c>
      <c r="P97" s="3">
        <v>45237.59998842593</v>
      </c>
    </row>
    <row r="98">
      <c r="A98" s="1" t="s">
        <v>156</v>
      </c>
      <c r="B98" s="1" t="s">
        <v>17</v>
      </c>
      <c r="C98" s="1">
        <v>0.0</v>
      </c>
      <c r="D98" s="1" t="s">
        <v>17</v>
      </c>
      <c r="E98" s="1" t="s">
        <v>17</v>
      </c>
      <c r="F98" s="1" t="s">
        <v>17</v>
      </c>
      <c r="G98" s="4" t="str">
        <f>+54 9 2284 50-1385</f>
        <v>#ERROR!</v>
      </c>
      <c r="H98" s="1" t="s">
        <v>17</v>
      </c>
      <c r="I98" s="1">
        <v>0.0</v>
      </c>
      <c r="J98" s="1">
        <v>0.0</v>
      </c>
      <c r="K98" s="1" t="s">
        <v>17</v>
      </c>
      <c r="L98" s="1" t="s">
        <v>17</v>
      </c>
      <c r="M98" s="1" t="s">
        <v>17</v>
      </c>
      <c r="N98" s="1" t="s">
        <v>17</v>
      </c>
      <c r="O98" s="3">
        <v>45238.74285879629</v>
      </c>
      <c r="P98" s="3">
        <v>45238.74285879629</v>
      </c>
    </row>
    <row r="99">
      <c r="A99" s="1" t="s">
        <v>157</v>
      </c>
      <c r="B99" s="1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>
        <v>3.513149454E9</v>
      </c>
      <c r="H99" s="1" t="s">
        <v>17</v>
      </c>
      <c r="I99" s="1">
        <v>0.0</v>
      </c>
      <c r="J99" s="1">
        <v>0.0</v>
      </c>
      <c r="K99" s="1" t="s">
        <v>17</v>
      </c>
      <c r="L99" s="1" t="s">
        <v>17</v>
      </c>
      <c r="M99" s="1" t="s">
        <v>17</v>
      </c>
      <c r="N99" s="1" t="s">
        <v>158</v>
      </c>
      <c r="O99" s="3">
        <v>45238.83243055556</v>
      </c>
      <c r="P99" s="3">
        <v>45238.83243055556</v>
      </c>
    </row>
    <row r="100">
      <c r="A100" s="1" t="s">
        <v>159</v>
      </c>
      <c r="B100" s="1" t="s">
        <v>17</v>
      </c>
      <c r="C100" s="1">
        <v>0.0</v>
      </c>
      <c r="D100" s="1" t="s">
        <v>17</v>
      </c>
      <c r="E100" s="1" t="s">
        <v>17</v>
      </c>
      <c r="F100" s="1" t="s">
        <v>17</v>
      </c>
      <c r="G100" s="1" t="s">
        <v>160</v>
      </c>
      <c r="H100" s="1" t="s">
        <v>17</v>
      </c>
      <c r="I100" s="1">
        <v>0.0</v>
      </c>
      <c r="J100" s="1">
        <v>0.0</v>
      </c>
      <c r="K100" s="1" t="s">
        <v>17</v>
      </c>
      <c r="L100" s="1" t="s">
        <v>17</v>
      </c>
      <c r="M100" s="1" t="s">
        <v>17</v>
      </c>
      <c r="N100" s="1" t="s">
        <v>17</v>
      </c>
      <c r="O100" s="3">
        <v>45239.42055555555</v>
      </c>
      <c r="P100" s="3">
        <v>45239.42055555555</v>
      </c>
    </row>
    <row r="101">
      <c r="A101" s="1" t="s">
        <v>161</v>
      </c>
      <c r="B101" s="1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>
        <v>3.572541035E9</v>
      </c>
      <c r="H101" s="1" t="s">
        <v>17</v>
      </c>
      <c r="I101" s="1">
        <v>0.0</v>
      </c>
      <c r="J101" s="1">
        <v>0.0</v>
      </c>
      <c r="K101" s="1" t="s">
        <v>17</v>
      </c>
      <c r="L101" s="1" t="s">
        <v>17</v>
      </c>
      <c r="M101" s="1" t="s">
        <v>17</v>
      </c>
      <c r="N101" s="1" t="s">
        <v>17</v>
      </c>
      <c r="O101" s="3">
        <v>45239.43137731482</v>
      </c>
      <c r="P101" s="3">
        <v>45239.43137731482</v>
      </c>
    </row>
    <row r="102">
      <c r="A102" s="1" t="s">
        <v>162</v>
      </c>
      <c r="B102" s="1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>
        <v>1.167350157E9</v>
      </c>
      <c r="H102" s="1" t="s">
        <v>17</v>
      </c>
      <c r="I102" s="1">
        <v>0.0</v>
      </c>
      <c r="J102" s="1">
        <v>0.0</v>
      </c>
      <c r="K102" s="1" t="s">
        <v>17</v>
      </c>
      <c r="L102" s="1">
        <v>0.0</v>
      </c>
      <c r="M102" s="1" t="s">
        <v>17</v>
      </c>
      <c r="N102" s="1" t="s">
        <v>17</v>
      </c>
      <c r="O102" s="3">
        <v>45239.45130787037</v>
      </c>
      <c r="P102" s="3">
        <v>45239.45130787037</v>
      </c>
    </row>
    <row r="103">
      <c r="A103" s="1" t="s">
        <v>163</v>
      </c>
      <c r="B103" s="1" t="s">
        <v>17</v>
      </c>
      <c r="C103" s="1">
        <v>0.0</v>
      </c>
      <c r="D103" s="1" t="s">
        <v>17</v>
      </c>
      <c r="E103" s="1" t="s">
        <v>17</v>
      </c>
      <c r="F103" s="1" t="s">
        <v>17</v>
      </c>
      <c r="G103" s="1">
        <v>2.974196421E9</v>
      </c>
      <c r="H103" s="1" t="s">
        <v>17</v>
      </c>
      <c r="I103" s="1">
        <v>0.0</v>
      </c>
      <c r="J103" s="1">
        <v>0.0</v>
      </c>
      <c r="K103" s="1" t="s">
        <v>17</v>
      </c>
      <c r="L103" s="1" t="s">
        <v>17</v>
      </c>
      <c r="M103" s="1" t="s">
        <v>17</v>
      </c>
      <c r="N103" s="1" t="s">
        <v>17</v>
      </c>
      <c r="O103" s="3">
        <v>45239.78858796296</v>
      </c>
      <c r="P103" s="3">
        <v>45239.78858796296</v>
      </c>
    </row>
    <row r="104">
      <c r="A104" s="1" t="s">
        <v>164</v>
      </c>
      <c r="B104" s="1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>
        <v>3.51788826E9</v>
      </c>
      <c r="H104" s="1" t="s">
        <v>17</v>
      </c>
      <c r="I104" s="1">
        <v>0.0</v>
      </c>
      <c r="J104" s="1">
        <v>0.0</v>
      </c>
      <c r="K104" s="1" t="s">
        <v>17</v>
      </c>
      <c r="L104" s="1" t="s">
        <v>17</v>
      </c>
      <c r="M104" s="1" t="s">
        <v>17</v>
      </c>
      <c r="N104" s="1" t="s">
        <v>17</v>
      </c>
      <c r="O104" s="3">
        <v>45239.83329861111</v>
      </c>
      <c r="P104" s="3">
        <v>45239.83329861111</v>
      </c>
    </row>
    <row r="105">
      <c r="A105" s="1" t="s">
        <v>165</v>
      </c>
      <c r="B105" s="1" t="s">
        <v>17</v>
      </c>
      <c r="C105" s="1">
        <v>0.0</v>
      </c>
      <c r="D105" s="1" t="s">
        <v>17</v>
      </c>
      <c r="E105" s="1" t="s">
        <v>17</v>
      </c>
      <c r="F105" s="1" t="s">
        <v>17</v>
      </c>
      <c r="G105" s="1" t="s">
        <v>166</v>
      </c>
      <c r="H105" s="1" t="s">
        <v>17</v>
      </c>
      <c r="I105" s="1">
        <v>0.0</v>
      </c>
      <c r="J105" s="1">
        <v>0.0</v>
      </c>
      <c r="K105" s="1" t="s">
        <v>17</v>
      </c>
      <c r="L105" s="1" t="s">
        <v>17</v>
      </c>
      <c r="M105" s="1" t="s">
        <v>17</v>
      </c>
      <c r="N105" s="1" t="s">
        <v>17</v>
      </c>
      <c r="O105" s="3">
        <v>45240.40825231482</v>
      </c>
      <c r="P105" s="3">
        <v>45240.40825231482</v>
      </c>
    </row>
    <row r="106">
      <c r="A106" s="1" t="s">
        <v>167</v>
      </c>
      <c r="B106" s="1" t="s">
        <v>17</v>
      </c>
      <c r="C106" s="1">
        <v>0.0</v>
      </c>
      <c r="D106" s="1" t="s">
        <v>17</v>
      </c>
      <c r="E106" s="1" t="s">
        <v>17</v>
      </c>
      <c r="F106" s="1" t="s">
        <v>17</v>
      </c>
      <c r="G106" s="1" t="s">
        <v>168</v>
      </c>
      <c r="H106" s="1" t="s">
        <v>17</v>
      </c>
      <c r="I106" s="1">
        <v>0.0</v>
      </c>
      <c r="J106" s="1">
        <v>0.0</v>
      </c>
      <c r="K106" s="1" t="s">
        <v>17</v>
      </c>
      <c r="L106" s="1" t="s">
        <v>17</v>
      </c>
      <c r="M106" s="1" t="s">
        <v>17</v>
      </c>
      <c r="N106" s="1" t="s">
        <v>17</v>
      </c>
      <c r="O106" s="3">
        <v>45240.53008101852</v>
      </c>
      <c r="P106" s="3">
        <v>45240.53008101852</v>
      </c>
    </row>
    <row r="107">
      <c r="A107" s="1" t="s">
        <v>169</v>
      </c>
      <c r="B107" s="1" t="s">
        <v>17</v>
      </c>
      <c r="C107" s="1">
        <v>0.0</v>
      </c>
      <c r="D107" s="1" t="s">
        <v>17</v>
      </c>
      <c r="E107" s="1" t="s">
        <v>17</v>
      </c>
      <c r="F107" s="1" t="s">
        <v>17</v>
      </c>
      <c r="G107" s="4" t="str">
        <f>+54 9 3825 52-8771</f>
        <v>#ERROR!</v>
      </c>
      <c r="H107" s="1" t="s">
        <v>17</v>
      </c>
      <c r="I107" s="1">
        <v>0.0</v>
      </c>
      <c r="J107" s="1">
        <v>0.0</v>
      </c>
      <c r="K107" s="1" t="s">
        <v>17</v>
      </c>
      <c r="L107" s="1" t="s">
        <v>17</v>
      </c>
      <c r="M107" s="1" t="s">
        <v>17</v>
      </c>
      <c r="N107" s="1" t="s">
        <v>17</v>
      </c>
      <c r="O107" s="3">
        <v>45240.67700231481</v>
      </c>
      <c r="P107" s="3">
        <v>45240.67700231481</v>
      </c>
    </row>
    <row r="108">
      <c r="A108" s="1" t="s">
        <v>170</v>
      </c>
      <c r="B108" s="1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>
        <v>3.515214185E9</v>
      </c>
      <c r="H108" s="1" t="s">
        <v>17</v>
      </c>
      <c r="I108" s="1">
        <v>0.0</v>
      </c>
      <c r="J108" s="1">
        <v>0.0</v>
      </c>
      <c r="K108" s="1" t="s">
        <v>17</v>
      </c>
      <c r="L108" s="1">
        <v>0.0</v>
      </c>
      <c r="M108" s="1" t="s">
        <v>17</v>
      </c>
      <c r="N108" s="1" t="s">
        <v>17</v>
      </c>
      <c r="O108" s="3">
        <v>45240.72153935185</v>
      </c>
      <c r="P108" s="3">
        <v>45240.72153935185</v>
      </c>
    </row>
    <row r="109">
      <c r="A109" s="1" t="s">
        <v>171</v>
      </c>
      <c r="B109" s="1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172</v>
      </c>
      <c r="H109" s="1" t="s">
        <v>17</v>
      </c>
      <c r="I109" s="1">
        <v>0.0</v>
      </c>
      <c r="J109" s="1">
        <v>0.0</v>
      </c>
      <c r="K109" s="1" t="s">
        <v>17</v>
      </c>
      <c r="L109" s="1">
        <v>0.0</v>
      </c>
      <c r="M109" s="1" t="s">
        <v>17</v>
      </c>
      <c r="N109" s="1" t="s">
        <v>17</v>
      </c>
      <c r="O109" s="3">
        <v>45241.72356481481</v>
      </c>
      <c r="P109" s="3">
        <v>45241.72356481481</v>
      </c>
    </row>
    <row r="110">
      <c r="A110" s="1" t="s">
        <v>173</v>
      </c>
      <c r="B110" s="1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174</v>
      </c>
      <c r="H110" s="1" t="s">
        <v>17</v>
      </c>
      <c r="I110" s="1">
        <v>0.0</v>
      </c>
      <c r="J110" s="1">
        <v>0.0</v>
      </c>
      <c r="K110" s="1" t="s">
        <v>17</v>
      </c>
      <c r="L110" s="1">
        <v>0.0</v>
      </c>
      <c r="M110" s="1" t="s">
        <v>17</v>
      </c>
      <c r="N110" s="1" t="s">
        <v>17</v>
      </c>
      <c r="O110" s="3">
        <v>45241.74561342593</v>
      </c>
      <c r="P110" s="3">
        <v>45241.74561342593</v>
      </c>
    </row>
    <row r="111">
      <c r="A111" s="1" t="s">
        <v>175</v>
      </c>
      <c r="B111" s="1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176</v>
      </c>
      <c r="H111" s="1" t="s">
        <v>17</v>
      </c>
      <c r="I111" s="1">
        <v>0.0</v>
      </c>
      <c r="J111" s="1">
        <v>0.0</v>
      </c>
      <c r="K111" s="1" t="s">
        <v>17</v>
      </c>
      <c r="L111" s="1">
        <v>0.0</v>
      </c>
      <c r="M111" s="1" t="s">
        <v>17</v>
      </c>
      <c r="N111" s="1" t="s">
        <v>17</v>
      </c>
      <c r="O111" s="3">
        <v>45243.480208333334</v>
      </c>
      <c r="P111" s="3">
        <v>45243.480208333334</v>
      </c>
    </row>
    <row r="112">
      <c r="A112" s="1" t="s">
        <v>177</v>
      </c>
      <c r="B112" s="1" t="s">
        <v>17</v>
      </c>
      <c r="C112" s="1">
        <v>0.0</v>
      </c>
      <c r="D112" s="1" t="s">
        <v>17</v>
      </c>
      <c r="E112" s="1" t="s">
        <v>17</v>
      </c>
      <c r="F112" s="1" t="s">
        <v>17</v>
      </c>
      <c r="G112" s="1" t="s">
        <v>178</v>
      </c>
      <c r="H112" s="1" t="s">
        <v>17</v>
      </c>
      <c r="I112" s="1">
        <v>0.0</v>
      </c>
      <c r="J112" s="1">
        <v>0.0</v>
      </c>
      <c r="K112" s="1" t="s">
        <v>17</v>
      </c>
      <c r="L112" s="1" t="s">
        <v>17</v>
      </c>
      <c r="M112" s="1" t="s">
        <v>17</v>
      </c>
      <c r="N112" s="1" t="s">
        <v>17</v>
      </c>
      <c r="O112" s="3">
        <v>45243.52983796296</v>
      </c>
      <c r="P112" s="3">
        <v>45243.52983796296</v>
      </c>
    </row>
    <row r="113">
      <c r="A113" s="1" t="s">
        <v>179</v>
      </c>
      <c r="B113" s="1" t="s">
        <v>17</v>
      </c>
      <c r="C113" s="1">
        <v>0.0</v>
      </c>
      <c r="D113" s="1" t="s">
        <v>17</v>
      </c>
      <c r="E113" s="1" t="s">
        <v>17</v>
      </c>
      <c r="F113" s="1" t="s">
        <v>17</v>
      </c>
      <c r="G113" s="1" t="s">
        <v>180</v>
      </c>
      <c r="H113" s="1" t="s">
        <v>17</v>
      </c>
      <c r="I113" s="1">
        <v>0.0</v>
      </c>
      <c r="J113" s="1">
        <v>0.0</v>
      </c>
      <c r="K113" s="1" t="s">
        <v>17</v>
      </c>
      <c r="L113" s="1" t="s">
        <v>17</v>
      </c>
      <c r="M113" s="1" t="s">
        <v>17</v>
      </c>
      <c r="N113" s="1" t="s">
        <v>17</v>
      </c>
      <c r="O113" s="3">
        <v>45244.39003472222</v>
      </c>
      <c r="P113" s="3">
        <v>45244.39003472222</v>
      </c>
    </row>
    <row r="114">
      <c r="A114" s="1" t="s">
        <v>181</v>
      </c>
      <c r="B114" s="1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4" t="str">
        <f>+54 9 2657 28-2226</f>
        <v>#ERROR!</v>
      </c>
      <c r="H114" s="1" t="s">
        <v>17</v>
      </c>
      <c r="I114" s="1">
        <v>0.0</v>
      </c>
      <c r="J114" s="1">
        <v>0.0</v>
      </c>
      <c r="K114" s="1" t="s">
        <v>17</v>
      </c>
      <c r="L114" s="1" t="s">
        <v>17</v>
      </c>
      <c r="M114" s="1" t="s">
        <v>17</v>
      </c>
      <c r="N114" s="1" t="s">
        <v>17</v>
      </c>
      <c r="O114" s="3">
        <v>45244.735</v>
      </c>
      <c r="P114" s="3">
        <v>45244.735</v>
      </c>
    </row>
    <row r="115">
      <c r="A115" s="1" t="s">
        <v>182</v>
      </c>
      <c r="B115" s="1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>
        <v>3.512585157E9</v>
      </c>
      <c r="H115" s="1" t="s">
        <v>17</v>
      </c>
      <c r="I115" s="1">
        <v>0.0</v>
      </c>
      <c r="J115" s="1">
        <v>0.0</v>
      </c>
      <c r="K115" s="1" t="s">
        <v>17</v>
      </c>
      <c r="L115" s="1">
        <v>0.0</v>
      </c>
      <c r="M115" s="1" t="s">
        <v>17</v>
      </c>
      <c r="N115" s="1" t="s">
        <v>17</v>
      </c>
      <c r="O115" s="3">
        <v>45246.703055555554</v>
      </c>
      <c r="P115" s="3">
        <v>45246.703356481485</v>
      </c>
    </row>
    <row r="116">
      <c r="A116" s="1" t="s">
        <v>183</v>
      </c>
      <c r="B116" s="1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>
        <v>3.51255113E9</v>
      </c>
      <c r="H116" s="1" t="s">
        <v>17</v>
      </c>
      <c r="I116" s="1">
        <v>0.0</v>
      </c>
      <c r="J116" s="1">
        <v>0.0</v>
      </c>
      <c r="K116" s="1" t="s">
        <v>17</v>
      </c>
      <c r="L116" s="1" t="s">
        <v>17</v>
      </c>
      <c r="M116" s="1" t="s">
        <v>17</v>
      </c>
      <c r="N116" s="1" t="s">
        <v>17</v>
      </c>
      <c r="O116" s="3">
        <v>45246.723032407404</v>
      </c>
      <c r="P116" s="3">
        <v>45246.723032407404</v>
      </c>
    </row>
    <row r="117">
      <c r="A117" s="1" t="s">
        <v>181</v>
      </c>
      <c r="B117" s="1" t="s">
        <v>17</v>
      </c>
      <c r="C117" s="1" t="s">
        <v>17</v>
      </c>
      <c r="D117" s="1" t="s">
        <v>17</v>
      </c>
      <c r="E117" s="1" t="s">
        <v>17</v>
      </c>
      <c r="F117" s="1" t="s">
        <v>17</v>
      </c>
      <c r="G117" s="1" t="s">
        <v>184</v>
      </c>
      <c r="H117" s="1" t="s">
        <v>17</v>
      </c>
      <c r="I117" s="1">
        <v>0.0</v>
      </c>
      <c r="J117" s="1">
        <v>0.0</v>
      </c>
      <c r="K117" s="1" t="s">
        <v>17</v>
      </c>
      <c r="L117" s="1" t="s">
        <v>17</v>
      </c>
      <c r="M117" s="1" t="s">
        <v>17</v>
      </c>
      <c r="N117" s="1" t="s">
        <v>17</v>
      </c>
      <c r="O117" s="3">
        <v>45247.45527777778</v>
      </c>
      <c r="P117" s="3">
        <v>45247.45527777778</v>
      </c>
    </row>
    <row r="118">
      <c r="A118" s="1" t="s">
        <v>185</v>
      </c>
      <c r="B118" s="1" t="s">
        <v>17</v>
      </c>
      <c r="C118" s="1">
        <v>0.0</v>
      </c>
      <c r="D118" s="1" t="s">
        <v>17</v>
      </c>
      <c r="E118" s="1" t="s">
        <v>17</v>
      </c>
      <c r="F118" s="1" t="s">
        <v>17</v>
      </c>
      <c r="G118" s="1">
        <v>3.516889808E9</v>
      </c>
      <c r="H118" s="1" t="s">
        <v>17</v>
      </c>
      <c r="I118" s="1">
        <v>0.0</v>
      </c>
      <c r="J118" s="1">
        <v>0.0</v>
      </c>
      <c r="K118" s="1" t="s">
        <v>17</v>
      </c>
      <c r="L118" s="1" t="s">
        <v>17</v>
      </c>
      <c r="M118" s="1" t="s">
        <v>17</v>
      </c>
      <c r="N118" s="1" t="s">
        <v>17</v>
      </c>
      <c r="O118" s="3">
        <v>45247.90078703704</v>
      </c>
      <c r="P118" s="3">
        <v>45247.90078703704</v>
      </c>
    </row>
    <row r="119">
      <c r="A119" s="1" t="s">
        <v>186</v>
      </c>
      <c r="B119" s="1" t="s">
        <v>17</v>
      </c>
      <c r="C119" s="1">
        <v>0.0</v>
      </c>
      <c r="D119" s="1" t="s">
        <v>17</v>
      </c>
      <c r="E119" s="1" t="s">
        <v>17</v>
      </c>
      <c r="F119" s="1" t="s">
        <v>17</v>
      </c>
      <c r="G119" s="1">
        <v>3.517592628E9</v>
      </c>
      <c r="H119" s="1" t="s">
        <v>17</v>
      </c>
      <c r="I119" s="1">
        <v>0.0</v>
      </c>
      <c r="J119" s="1">
        <v>0.0</v>
      </c>
      <c r="K119" s="1" t="s">
        <v>17</v>
      </c>
      <c r="L119" s="1" t="s">
        <v>17</v>
      </c>
      <c r="M119" s="1" t="s">
        <v>17</v>
      </c>
      <c r="N119" s="1" t="s">
        <v>17</v>
      </c>
      <c r="O119" s="3">
        <v>45253.693032407406</v>
      </c>
      <c r="P119" s="3">
        <v>45253.693032407406</v>
      </c>
    </row>
    <row r="120">
      <c r="A120" s="1" t="s">
        <v>187</v>
      </c>
      <c r="B120" s="1">
        <v>96.0</v>
      </c>
      <c r="C120" s="1">
        <v>1.4299635E7</v>
      </c>
      <c r="D120" s="1" t="s">
        <v>17</v>
      </c>
      <c r="E120" s="1" t="s">
        <v>17</v>
      </c>
      <c r="F120" s="1" t="s">
        <v>17</v>
      </c>
      <c r="G120" s="1">
        <v>3.516167159E9</v>
      </c>
      <c r="H120" s="1" t="s">
        <v>17</v>
      </c>
      <c r="I120" s="1">
        <v>0.0</v>
      </c>
      <c r="J120" s="1">
        <v>0.0</v>
      </c>
      <c r="K120" s="1" t="s">
        <v>17</v>
      </c>
      <c r="L120" s="1" t="s">
        <v>17</v>
      </c>
      <c r="M120" s="1" t="s">
        <v>17</v>
      </c>
      <c r="N120" s="1" t="s">
        <v>17</v>
      </c>
      <c r="O120" s="3">
        <v>45255.727800925924</v>
      </c>
      <c r="P120" s="3">
        <v>45255.727800925924</v>
      </c>
    </row>
    <row r="121">
      <c r="A121" s="1" t="s">
        <v>188</v>
      </c>
      <c r="B121" s="1">
        <v>96.0</v>
      </c>
      <c r="C121" s="1">
        <v>3.490903E7</v>
      </c>
      <c r="D121" s="1" t="s">
        <v>17</v>
      </c>
      <c r="E121" s="2">
        <v>32853.0</v>
      </c>
      <c r="F121" s="1" t="s">
        <v>189</v>
      </c>
      <c r="G121" s="1">
        <v>3.513452026E9</v>
      </c>
      <c r="H121" s="1" t="s">
        <v>17</v>
      </c>
      <c r="I121" s="1">
        <v>127.0</v>
      </c>
      <c r="J121" s="1">
        <v>4.0</v>
      </c>
      <c r="K121" s="1" t="s">
        <v>17</v>
      </c>
      <c r="L121" s="1" t="s">
        <v>17</v>
      </c>
      <c r="M121" s="1" t="s">
        <v>17</v>
      </c>
      <c r="N121" s="1" t="s">
        <v>17</v>
      </c>
      <c r="O121" s="3">
        <v>45264.77340277778</v>
      </c>
      <c r="P121" s="3">
        <v>45264.77340277778</v>
      </c>
    </row>
    <row r="122">
      <c r="A122" s="1" t="s">
        <v>190</v>
      </c>
      <c r="B122" s="1">
        <v>96.0</v>
      </c>
      <c r="C122" s="1">
        <v>2.034691E7</v>
      </c>
      <c r="D122" s="1" t="s">
        <v>17</v>
      </c>
      <c r="E122" s="1" t="s">
        <v>17</v>
      </c>
      <c r="F122" s="1" t="s">
        <v>17</v>
      </c>
      <c r="G122" s="1">
        <v>3.516899699E9</v>
      </c>
      <c r="H122" s="1" t="s">
        <v>17</v>
      </c>
      <c r="I122" s="1">
        <v>0.0</v>
      </c>
      <c r="J122" s="1">
        <v>4.0</v>
      </c>
      <c r="K122" s="1" t="s">
        <v>17</v>
      </c>
      <c r="L122" s="1">
        <v>0.0</v>
      </c>
      <c r="M122" s="1" t="s">
        <v>17</v>
      </c>
      <c r="N122" s="1" t="s">
        <v>17</v>
      </c>
      <c r="O122" s="3">
        <v>45266.43408564815</v>
      </c>
      <c r="P122" s="3">
        <v>45266.43408564815</v>
      </c>
    </row>
    <row r="123">
      <c r="A123" s="1" t="s">
        <v>191</v>
      </c>
      <c r="B123" s="1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>
        <v>3.51245411E9</v>
      </c>
      <c r="H123" s="1" t="s">
        <v>17</v>
      </c>
      <c r="I123" s="1">
        <v>0.0</v>
      </c>
      <c r="J123" s="1">
        <v>4.0</v>
      </c>
      <c r="K123" s="1" t="s">
        <v>17</v>
      </c>
      <c r="L123" s="1" t="s">
        <v>17</v>
      </c>
      <c r="M123" s="1" t="s">
        <v>17</v>
      </c>
      <c r="N123" s="1" t="s">
        <v>17</v>
      </c>
      <c r="O123" s="3">
        <v>45275.76594907408</v>
      </c>
      <c r="P123" s="3">
        <v>45275.76594907408</v>
      </c>
    </row>
    <row r="124">
      <c r="A124" s="1" t="s">
        <v>192</v>
      </c>
      <c r="B124" s="1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>
        <v>2.994739134E9</v>
      </c>
      <c r="H124" s="1" t="s">
        <v>17</v>
      </c>
      <c r="I124" s="1">
        <v>0.0</v>
      </c>
      <c r="J124" s="1">
        <v>0.0</v>
      </c>
      <c r="K124" s="1" t="s">
        <v>17</v>
      </c>
      <c r="L124" s="1" t="s">
        <v>17</v>
      </c>
      <c r="M124" s="1" t="s">
        <v>17</v>
      </c>
      <c r="N124" s="1" t="s">
        <v>193</v>
      </c>
      <c r="O124" s="3">
        <v>45280.503912037035</v>
      </c>
      <c r="P124" s="3">
        <v>45280.503912037035</v>
      </c>
    </row>
    <row r="125">
      <c r="A125" s="1" t="s">
        <v>194</v>
      </c>
      <c r="B125" s="1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>
        <v>3.518187348E9</v>
      </c>
      <c r="H125" s="1" t="s">
        <v>17</v>
      </c>
      <c r="I125" s="1">
        <v>0.0</v>
      </c>
      <c r="J125" s="1">
        <v>0.0</v>
      </c>
      <c r="K125" s="1" t="s">
        <v>17</v>
      </c>
      <c r="L125" s="1" t="s">
        <v>17</v>
      </c>
      <c r="M125" s="1" t="s">
        <v>17</v>
      </c>
      <c r="N125" s="1" t="s">
        <v>17</v>
      </c>
      <c r="O125" s="3">
        <v>45282.77081018518</v>
      </c>
      <c r="P125" s="3">
        <v>45282.77081018518</v>
      </c>
    </row>
    <row r="126">
      <c r="A126" s="1" t="s">
        <v>195</v>
      </c>
      <c r="B126" s="1">
        <v>96.0</v>
      </c>
      <c r="C126" s="1">
        <v>1.3152973E7</v>
      </c>
      <c r="D126" s="1" t="s">
        <v>17</v>
      </c>
      <c r="E126" s="1" t="s">
        <v>17</v>
      </c>
      <c r="F126" s="1" t="s">
        <v>17</v>
      </c>
      <c r="G126" s="1" t="s">
        <v>17</v>
      </c>
      <c r="H126" s="1" t="s">
        <v>17</v>
      </c>
      <c r="I126" s="1">
        <v>0.0</v>
      </c>
      <c r="J126" s="1">
        <v>0.0</v>
      </c>
      <c r="K126" s="1" t="s">
        <v>17</v>
      </c>
      <c r="L126" s="1" t="s">
        <v>17</v>
      </c>
      <c r="M126" s="1" t="s">
        <v>17</v>
      </c>
      <c r="N126" s="1" t="s">
        <v>17</v>
      </c>
      <c r="O126" s="3">
        <v>45283.81984953704</v>
      </c>
      <c r="P126" s="3">
        <v>45283.81984953704</v>
      </c>
    </row>
    <row r="127">
      <c r="A127" s="1" t="s">
        <v>196</v>
      </c>
      <c r="B127" s="1">
        <v>96.0</v>
      </c>
      <c r="C127" s="1">
        <v>3.8730071E7</v>
      </c>
      <c r="D127" s="1" t="s">
        <v>17</v>
      </c>
      <c r="E127" s="1" t="s">
        <v>17</v>
      </c>
      <c r="F127" s="1" t="s">
        <v>17</v>
      </c>
      <c r="G127" s="1">
        <v>3.56462948E9</v>
      </c>
      <c r="H127" s="1" t="s">
        <v>17</v>
      </c>
      <c r="I127" s="1">
        <v>0.0</v>
      </c>
      <c r="J127" s="1">
        <v>0.0</v>
      </c>
      <c r="K127" s="1" t="s">
        <v>17</v>
      </c>
      <c r="L127" s="1" t="s">
        <v>17</v>
      </c>
      <c r="M127" s="1" t="s">
        <v>17</v>
      </c>
      <c r="N127" s="1" t="s">
        <v>17</v>
      </c>
      <c r="O127" s="3">
        <v>45289.45167824074</v>
      </c>
      <c r="P127" s="3">
        <v>45289.45167824074</v>
      </c>
    </row>
    <row r="128">
      <c r="A128" s="1" t="s">
        <v>197</v>
      </c>
      <c r="B128" s="1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>
        <v>3.513778979E9</v>
      </c>
      <c r="H128" s="1" t="s">
        <v>17</v>
      </c>
      <c r="I128" s="1">
        <v>0.0</v>
      </c>
      <c r="J128" s="1">
        <v>4.0</v>
      </c>
      <c r="K128" s="1" t="s">
        <v>17</v>
      </c>
      <c r="L128" s="1" t="s">
        <v>17</v>
      </c>
      <c r="M128" s="1" t="s">
        <v>17</v>
      </c>
      <c r="N128" s="1" t="s">
        <v>17</v>
      </c>
      <c r="O128" s="3">
        <v>45290.79709490741</v>
      </c>
      <c r="P128" s="3">
        <v>45290.79709490741</v>
      </c>
    </row>
    <row r="129">
      <c r="A129" s="1" t="s">
        <v>198</v>
      </c>
      <c r="B129" s="1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>
        <v>3.516662232E9</v>
      </c>
      <c r="H129" s="1" t="s">
        <v>17</v>
      </c>
      <c r="I129" s="1">
        <v>0.0</v>
      </c>
      <c r="J129" s="1">
        <v>0.0</v>
      </c>
      <c r="K129" s="1" t="s">
        <v>17</v>
      </c>
      <c r="L129" s="1" t="s">
        <v>17</v>
      </c>
      <c r="M129" s="1" t="s">
        <v>17</v>
      </c>
      <c r="N129" s="1" t="s">
        <v>17</v>
      </c>
      <c r="O129" s="3">
        <v>45290.797314814816</v>
      </c>
      <c r="P129" s="3">
        <v>45290.797314814816</v>
      </c>
    </row>
    <row r="130">
      <c r="A130" s="1" t="s">
        <v>199</v>
      </c>
      <c r="B130" s="1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>
        <v>3.515959199E9</v>
      </c>
      <c r="H130" s="1" t="s">
        <v>17</v>
      </c>
      <c r="I130" s="1">
        <v>0.0</v>
      </c>
      <c r="J130" s="1">
        <v>0.0</v>
      </c>
      <c r="K130" s="1" t="s">
        <v>17</v>
      </c>
      <c r="L130" s="1" t="s">
        <v>17</v>
      </c>
      <c r="M130" s="1" t="s">
        <v>17</v>
      </c>
      <c r="N130" s="1" t="s">
        <v>17</v>
      </c>
      <c r="O130" s="3">
        <v>45290.79751157408</v>
      </c>
      <c r="P130" s="3">
        <v>45290.79751157408</v>
      </c>
    </row>
    <row r="131">
      <c r="A131" s="1" t="s">
        <v>200</v>
      </c>
      <c r="B131" s="1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>
        <v>3.513887687E9</v>
      </c>
      <c r="H131" s="1" t="s">
        <v>17</v>
      </c>
      <c r="I131" s="1">
        <v>0.0</v>
      </c>
      <c r="J131" s="1">
        <v>0.0</v>
      </c>
      <c r="K131" s="1" t="s">
        <v>17</v>
      </c>
      <c r="L131" s="1" t="s">
        <v>17</v>
      </c>
      <c r="M131" s="1" t="s">
        <v>17</v>
      </c>
      <c r="N131" s="1" t="s">
        <v>17</v>
      </c>
      <c r="O131" s="3">
        <v>45290.79783564815</v>
      </c>
      <c r="P131" s="3">
        <v>45290.79783564815</v>
      </c>
    </row>
    <row r="132">
      <c r="A132" s="1" t="s">
        <v>201</v>
      </c>
      <c r="B132" s="1" t="s">
        <v>17</v>
      </c>
      <c r="C132" s="1" t="s">
        <v>17</v>
      </c>
      <c r="D132" s="1" t="s">
        <v>17</v>
      </c>
      <c r="E132" s="1" t="s">
        <v>17</v>
      </c>
      <c r="F132" s="1" t="s">
        <v>17</v>
      </c>
      <c r="G132" s="1">
        <v>3.517595231E9</v>
      </c>
      <c r="H132" s="1" t="s">
        <v>17</v>
      </c>
      <c r="I132" s="1">
        <v>0.0</v>
      </c>
      <c r="J132" s="1">
        <v>0.0</v>
      </c>
      <c r="K132" s="1" t="s">
        <v>17</v>
      </c>
      <c r="L132" s="1" t="s">
        <v>17</v>
      </c>
      <c r="M132" s="1" t="s">
        <v>17</v>
      </c>
      <c r="N132" s="1" t="s">
        <v>17</v>
      </c>
      <c r="O132" s="3">
        <v>45290.79813657407</v>
      </c>
      <c r="P132" s="3">
        <v>45290.79813657407</v>
      </c>
    </row>
    <row r="133">
      <c r="A133" s="1" t="s">
        <v>202</v>
      </c>
      <c r="B133" s="1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>
        <v>3.515937953E9</v>
      </c>
      <c r="H133" s="1" t="s">
        <v>17</v>
      </c>
      <c r="I133" s="1">
        <v>0.0</v>
      </c>
      <c r="J133" s="1">
        <v>0.0</v>
      </c>
      <c r="K133" s="1" t="s">
        <v>17</v>
      </c>
      <c r="L133" s="1" t="s">
        <v>17</v>
      </c>
      <c r="M133" s="1" t="s">
        <v>17</v>
      </c>
      <c r="N133" s="1" t="s">
        <v>17</v>
      </c>
      <c r="O133" s="3">
        <v>45290.798425925925</v>
      </c>
      <c r="P133" s="3">
        <v>45290.798425925925</v>
      </c>
    </row>
    <row r="134">
      <c r="A134" s="1" t="s">
        <v>203</v>
      </c>
      <c r="B134" s="1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>
        <v>3.516004243E9</v>
      </c>
      <c r="H134" s="1" t="s">
        <v>17</v>
      </c>
      <c r="I134" s="1">
        <v>0.0</v>
      </c>
      <c r="J134" s="1">
        <v>0.0</v>
      </c>
      <c r="K134" s="1" t="s">
        <v>17</v>
      </c>
      <c r="L134" s="1" t="s">
        <v>17</v>
      </c>
      <c r="M134" s="1" t="s">
        <v>17</v>
      </c>
      <c r="N134" s="1" t="s">
        <v>17</v>
      </c>
      <c r="O134" s="3">
        <v>45290.79869212963</v>
      </c>
      <c r="P134" s="3">
        <v>45290.79869212963</v>
      </c>
    </row>
    <row r="135">
      <c r="A135" s="1" t="s">
        <v>204</v>
      </c>
      <c r="B135" s="1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>
        <v>3.516472467E9</v>
      </c>
      <c r="H135" s="1" t="s">
        <v>17</v>
      </c>
      <c r="I135" s="1">
        <v>0.0</v>
      </c>
      <c r="J135" s="1">
        <v>0.0</v>
      </c>
      <c r="K135" s="1" t="s">
        <v>17</v>
      </c>
      <c r="L135" s="1" t="s">
        <v>17</v>
      </c>
      <c r="M135" s="1" t="s">
        <v>17</v>
      </c>
      <c r="N135" s="1" t="s">
        <v>17</v>
      </c>
      <c r="O135" s="3">
        <v>45290.79890046296</v>
      </c>
      <c r="P135" s="3">
        <v>45290.79890046296</v>
      </c>
    </row>
    <row r="136">
      <c r="A136" s="1" t="s">
        <v>205</v>
      </c>
      <c r="B136" s="1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>
        <v>3.515060714E9</v>
      </c>
      <c r="H136" s="1" t="s">
        <v>17</v>
      </c>
      <c r="I136" s="1">
        <v>0.0</v>
      </c>
      <c r="J136" s="1">
        <v>0.0</v>
      </c>
      <c r="K136" s="1" t="s">
        <v>17</v>
      </c>
      <c r="L136" s="1" t="s">
        <v>17</v>
      </c>
      <c r="M136" s="1" t="s">
        <v>17</v>
      </c>
      <c r="N136" s="1" t="s">
        <v>17</v>
      </c>
      <c r="O136" s="3">
        <v>45290.799155092594</v>
      </c>
      <c r="P136" s="3">
        <v>45290.799155092594</v>
      </c>
    </row>
    <row r="137">
      <c r="A137" s="1" t="s">
        <v>206</v>
      </c>
      <c r="B137" s="1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>
        <v>3.512914791E9</v>
      </c>
      <c r="H137" s="1" t="s">
        <v>17</v>
      </c>
      <c r="I137" s="1">
        <v>0.0</v>
      </c>
      <c r="J137" s="1">
        <v>0.0</v>
      </c>
      <c r="K137" s="1" t="s">
        <v>17</v>
      </c>
      <c r="L137" s="1" t="s">
        <v>17</v>
      </c>
      <c r="M137" s="1" t="s">
        <v>17</v>
      </c>
      <c r="N137" s="1" t="s">
        <v>17</v>
      </c>
      <c r="O137" s="3">
        <v>45293.67212962963</v>
      </c>
      <c r="P137" s="3">
        <v>45293.67212962963</v>
      </c>
    </row>
    <row r="138">
      <c r="A138" s="1" t="s">
        <v>207</v>
      </c>
      <c r="B138" s="1" t="s">
        <v>17</v>
      </c>
      <c r="C138" s="1" t="s">
        <v>17</v>
      </c>
      <c r="D138" s="1" t="s">
        <v>17</v>
      </c>
      <c r="E138" s="1" t="s">
        <v>17</v>
      </c>
      <c r="F138" s="1" t="s">
        <v>17</v>
      </c>
      <c r="G138" s="1" t="s">
        <v>208</v>
      </c>
      <c r="H138" s="1" t="s">
        <v>17</v>
      </c>
      <c r="I138" s="1">
        <v>0.0</v>
      </c>
      <c r="J138" s="1">
        <v>0.0</v>
      </c>
      <c r="K138" s="1" t="s">
        <v>17</v>
      </c>
      <c r="L138" s="1" t="s">
        <v>17</v>
      </c>
      <c r="M138" s="1" t="s">
        <v>17</v>
      </c>
      <c r="N138" s="1" t="s">
        <v>17</v>
      </c>
      <c r="O138" s="3">
        <v>45296.40121527778</v>
      </c>
      <c r="P138" s="3">
        <v>45296.40121527778</v>
      </c>
    </row>
    <row r="139">
      <c r="A139" s="1" t="s">
        <v>209</v>
      </c>
      <c r="B139" s="1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>
        <v>3.515105086E9</v>
      </c>
      <c r="H139" s="1" t="s">
        <v>17</v>
      </c>
      <c r="I139" s="1">
        <v>0.0</v>
      </c>
      <c r="J139" s="1">
        <v>0.0</v>
      </c>
      <c r="K139" s="1" t="s">
        <v>17</v>
      </c>
      <c r="L139" s="1">
        <v>0.0</v>
      </c>
      <c r="M139" s="1" t="s">
        <v>17</v>
      </c>
      <c r="N139" s="1" t="s">
        <v>17</v>
      </c>
      <c r="O139" s="3">
        <v>45296.85465277778</v>
      </c>
      <c r="P139" s="3">
        <v>45296.85465277778</v>
      </c>
    </row>
    <row r="140">
      <c r="A140" s="1" t="s">
        <v>210</v>
      </c>
      <c r="B140" s="1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>
        <v>3.517058529E9</v>
      </c>
      <c r="H140" s="1" t="s">
        <v>17</v>
      </c>
      <c r="I140" s="1">
        <v>0.0</v>
      </c>
      <c r="J140" s="1">
        <v>0.0</v>
      </c>
      <c r="K140" s="1" t="s">
        <v>17</v>
      </c>
      <c r="L140" s="1" t="s">
        <v>17</v>
      </c>
      <c r="M140" s="1" t="s">
        <v>17</v>
      </c>
      <c r="N140" s="1" t="s">
        <v>17</v>
      </c>
      <c r="O140" s="3">
        <v>45301.44287037037</v>
      </c>
      <c r="P140" s="3">
        <v>45301.44287037037</v>
      </c>
    </row>
    <row r="141">
      <c r="A141" s="1" t="s">
        <v>211</v>
      </c>
      <c r="B141" s="1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>
        <v>3.513279223E9</v>
      </c>
      <c r="H141" s="1" t="s">
        <v>17</v>
      </c>
      <c r="I141" s="1">
        <v>0.0</v>
      </c>
      <c r="J141" s="1">
        <v>0.0</v>
      </c>
      <c r="K141" s="1" t="s">
        <v>17</v>
      </c>
      <c r="L141" s="1" t="s">
        <v>17</v>
      </c>
      <c r="M141" s="1" t="s">
        <v>17</v>
      </c>
      <c r="N141" s="1" t="s">
        <v>17</v>
      </c>
      <c r="O141" s="3">
        <v>45309.78486111111</v>
      </c>
      <c r="P141" s="3">
        <v>45309.78486111111</v>
      </c>
    </row>
    <row r="142">
      <c r="A142" s="1" t="s">
        <v>212</v>
      </c>
      <c r="B142" s="1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>
        <v>3.515191225E9</v>
      </c>
      <c r="H142" s="1" t="s">
        <v>17</v>
      </c>
      <c r="I142" s="1">
        <v>0.0</v>
      </c>
      <c r="J142" s="1">
        <v>0.0</v>
      </c>
      <c r="K142" s="1" t="s">
        <v>17</v>
      </c>
      <c r="L142" s="1" t="s">
        <v>17</v>
      </c>
      <c r="M142" s="1" t="s">
        <v>17</v>
      </c>
      <c r="N142" s="1" t="s">
        <v>17</v>
      </c>
      <c r="O142" s="3">
        <v>45317.48527777778</v>
      </c>
      <c r="P142" s="3">
        <v>45317.48527777778</v>
      </c>
    </row>
    <row r="143">
      <c r="A143" s="1" t="s">
        <v>213</v>
      </c>
      <c r="B143" s="1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17</v>
      </c>
      <c r="H143" s="1" t="s">
        <v>17</v>
      </c>
      <c r="I143" s="1">
        <v>0.0</v>
      </c>
      <c r="J143" s="1">
        <v>0.0</v>
      </c>
      <c r="K143" s="1" t="s">
        <v>17</v>
      </c>
      <c r="L143" s="1" t="s">
        <v>17</v>
      </c>
      <c r="M143" s="1" t="s">
        <v>17</v>
      </c>
      <c r="N143" s="1" t="s">
        <v>17</v>
      </c>
      <c r="O143" s="3">
        <v>45317.51961805556</v>
      </c>
      <c r="P143" s="3">
        <v>45317.51961805556</v>
      </c>
    </row>
    <row r="144">
      <c r="A144" s="1" t="s">
        <v>214</v>
      </c>
      <c r="B144" s="1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>
        <v>3.515191225E9</v>
      </c>
      <c r="H144" s="1" t="s">
        <v>17</v>
      </c>
      <c r="I144" s="1">
        <v>0.0</v>
      </c>
      <c r="J144" s="1">
        <v>0.0</v>
      </c>
      <c r="K144" s="1" t="s">
        <v>17</v>
      </c>
      <c r="L144" s="1" t="s">
        <v>17</v>
      </c>
      <c r="M144" s="1" t="s">
        <v>17</v>
      </c>
      <c r="N144" s="1" t="s">
        <v>17</v>
      </c>
      <c r="O144" s="3">
        <v>45317.51981481481</v>
      </c>
      <c r="P144" s="3">
        <v>45317.51981481481</v>
      </c>
    </row>
    <row r="145">
      <c r="A145" s="1" t="s">
        <v>215</v>
      </c>
      <c r="B145" s="1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>
        <v>3.512166421E9</v>
      </c>
      <c r="H145" s="1" t="s">
        <v>17</v>
      </c>
      <c r="I145" s="1">
        <v>0.0</v>
      </c>
      <c r="J145" s="1">
        <v>0.0</v>
      </c>
      <c r="K145" s="1" t="s">
        <v>17</v>
      </c>
      <c r="L145" s="1" t="s">
        <v>17</v>
      </c>
      <c r="M145" s="1" t="s">
        <v>17</v>
      </c>
      <c r="N145" s="1" t="s">
        <v>17</v>
      </c>
      <c r="O145" s="3">
        <v>45317.75796296296</v>
      </c>
      <c r="P145" s="3">
        <v>45317.75796296296</v>
      </c>
    </row>
    <row r="146">
      <c r="A146" s="1" t="s">
        <v>216</v>
      </c>
      <c r="B146" s="1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>
        <v>3.513994079E9</v>
      </c>
      <c r="H146" s="1" t="s">
        <v>17</v>
      </c>
      <c r="I146" s="1">
        <v>0.0</v>
      </c>
      <c r="J146" s="1">
        <v>0.0</v>
      </c>
      <c r="K146" s="1" t="s">
        <v>17</v>
      </c>
      <c r="L146" s="1" t="s">
        <v>17</v>
      </c>
      <c r="M146" s="1" t="s">
        <v>17</v>
      </c>
      <c r="N146" s="1" t="s">
        <v>17</v>
      </c>
      <c r="O146" s="3">
        <v>45317.78875</v>
      </c>
      <c r="P146" s="3">
        <v>45317.78875</v>
      </c>
    </row>
    <row r="147">
      <c r="A147" s="1" t="s">
        <v>217</v>
      </c>
      <c r="B147" s="1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17</v>
      </c>
      <c r="H147" s="1" t="s">
        <v>17</v>
      </c>
      <c r="I147" s="1">
        <v>0.0</v>
      </c>
      <c r="J147" s="1">
        <v>0.0</v>
      </c>
      <c r="K147" s="1" t="s">
        <v>17</v>
      </c>
      <c r="L147" s="1" t="s">
        <v>17</v>
      </c>
      <c r="M147" s="1" t="s">
        <v>17</v>
      </c>
      <c r="N147" s="1" t="s">
        <v>17</v>
      </c>
      <c r="O147" s="3">
        <v>45328.43990740741</v>
      </c>
      <c r="P147" s="3">
        <v>45328.43990740741</v>
      </c>
    </row>
    <row r="148">
      <c r="A148" s="1" t="s">
        <v>218</v>
      </c>
      <c r="B148" s="1" t="s">
        <v>17</v>
      </c>
      <c r="C148" s="1" t="s">
        <v>17</v>
      </c>
      <c r="D148" s="1" t="s">
        <v>17</v>
      </c>
      <c r="E148" s="1" t="s">
        <v>17</v>
      </c>
      <c r="F148" s="1" t="s">
        <v>17</v>
      </c>
      <c r="G148" s="1">
        <v>3.512786486E9</v>
      </c>
      <c r="H148" s="1" t="s">
        <v>17</v>
      </c>
      <c r="I148" s="1">
        <v>0.0</v>
      </c>
      <c r="J148" s="1">
        <v>0.0</v>
      </c>
      <c r="K148" s="1" t="s">
        <v>17</v>
      </c>
      <c r="L148" s="1" t="s">
        <v>17</v>
      </c>
      <c r="M148" s="1" t="s">
        <v>17</v>
      </c>
      <c r="N148" s="1" t="s">
        <v>17</v>
      </c>
      <c r="O148" s="3">
        <v>45334.497881944444</v>
      </c>
      <c r="P148" s="3">
        <v>45334.497881944444</v>
      </c>
    </row>
    <row r="149">
      <c r="A149" s="1" t="s">
        <v>219</v>
      </c>
      <c r="B149" s="1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>
        <v>3.513517589E9</v>
      </c>
      <c r="H149" s="1" t="s">
        <v>17</v>
      </c>
      <c r="I149" s="1">
        <v>0.0</v>
      </c>
      <c r="J149" s="1">
        <v>0.0</v>
      </c>
      <c r="K149" s="1" t="s">
        <v>17</v>
      </c>
      <c r="L149" s="1" t="s">
        <v>17</v>
      </c>
      <c r="M149" s="1" t="s">
        <v>17</v>
      </c>
      <c r="N149" s="1" t="s">
        <v>17</v>
      </c>
      <c r="O149" s="3">
        <v>45335.7728125</v>
      </c>
      <c r="P149" s="3">
        <v>45335.7728125</v>
      </c>
    </row>
    <row r="150">
      <c r="A150" s="1" t="s">
        <v>220</v>
      </c>
      <c r="B150" s="1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17</v>
      </c>
      <c r="H150" s="1" t="s">
        <v>17</v>
      </c>
      <c r="I150" s="1">
        <v>0.0</v>
      </c>
      <c r="J150" s="1">
        <v>0.0</v>
      </c>
      <c r="K150" s="1" t="s">
        <v>17</v>
      </c>
      <c r="L150" s="1" t="s">
        <v>17</v>
      </c>
      <c r="M150" s="1" t="s">
        <v>17</v>
      </c>
      <c r="N150" s="1" t="s">
        <v>17</v>
      </c>
      <c r="O150" s="3">
        <v>45336.7325462963</v>
      </c>
      <c r="P150" s="3">
        <v>45336.7325462963</v>
      </c>
    </row>
    <row r="151">
      <c r="A151" s="1" t="s">
        <v>221</v>
      </c>
      <c r="B151" s="1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>
        <v>2.974718366E9</v>
      </c>
      <c r="H151" s="1" t="s">
        <v>17</v>
      </c>
      <c r="I151" s="1">
        <v>0.0</v>
      </c>
      <c r="J151" s="1">
        <v>0.0</v>
      </c>
      <c r="K151" s="1" t="s">
        <v>17</v>
      </c>
      <c r="L151" s="1" t="s">
        <v>17</v>
      </c>
      <c r="M151" s="1" t="s">
        <v>17</v>
      </c>
      <c r="N151" s="1" t="s">
        <v>17</v>
      </c>
      <c r="O151" s="3">
        <v>45344.74618055556</v>
      </c>
      <c r="P151" s="3">
        <v>45344.74618055556</v>
      </c>
    </row>
    <row r="152">
      <c r="A152" s="1" t="s">
        <v>222</v>
      </c>
      <c r="B152" s="1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>
        <v>2.974718366E9</v>
      </c>
      <c r="H152" s="1" t="s">
        <v>17</v>
      </c>
      <c r="I152" s="1">
        <v>0.0</v>
      </c>
      <c r="J152" s="1">
        <v>0.0</v>
      </c>
      <c r="K152" s="1" t="s">
        <v>17</v>
      </c>
      <c r="L152" s="1" t="s">
        <v>17</v>
      </c>
      <c r="M152" s="1" t="s">
        <v>17</v>
      </c>
      <c r="N152" s="1" t="s">
        <v>17</v>
      </c>
      <c r="O152" s="3">
        <v>45344.754953703705</v>
      </c>
      <c r="P152" s="3">
        <v>45344.75611111111</v>
      </c>
    </row>
    <row r="153">
      <c r="A153" s="1" t="s">
        <v>223</v>
      </c>
      <c r="B153" s="1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>
        <v>3.513131287E9</v>
      </c>
      <c r="H153" s="1" t="s">
        <v>17</v>
      </c>
      <c r="I153" s="1">
        <v>0.0</v>
      </c>
      <c r="J153" s="1">
        <v>0.0</v>
      </c>
      <c r="K153" s="1" t="s">
        <v>17</v>
      </c>
      <c r="L153" s="1" t="s">
        <v>17</v>
      </c>
      <c r="M153" s="1" t="s">
        <v>17</v>
      </c>
      <c r="N153" s="1" t="s">
        <v>224</v>
      </c>
      <c r="O153" s="3">
        <v>45349.54</v>
      </c>
      <c r="P153" s="3">
        <v>45349.54</v>
      </c>
    </row>
    <row r="154">
      <c r="A154" s="1" t="s">
        <v>225</v>
      </c>
      <c r="B154" s="1" t="s">
        <v>17</v>
      </c>
      <c r="C154" s="1">
        <v>0.0</v>
      </c>
      <c r="D154" s="1" t="s">
        <v>17</v>
      </c>
      <c r="E154" s="1" t="s">
        <v>17</v>
      </c>
      <c r="F154" s="1" t="s">
        <v>17</v>
      </c>
      <c r="G154" s="1" t="s">
        <v>17</v>
      </c>
      <c r="H154" s="1" t="s">
        <v>17</v>
      </c>
      <c r="I154" s="1">
        <v>0.0</v>
      </c>
      <c r="J154" s="1">
        <v>0.0</v>
      </c>
      <c r="K154" s="1" t="s">
        <v>17</v>
      </c>
      <c r="L154" s="1" t="s">
        <v>17</v>
      </c>
      <c r="M154" s="1" t="s">
        <v>17</v>
      </c>
      <c r="N154" s="1" t="s">
        <v>17</v>
      </c>
      <c r="O154" s="3">
        <v>45351.821608796294</v>
      </c>
      <c r="P154" s="3">
        <v>45351.821608796294</v>
      </c>
    </row>
    <row r="155">
      <c r="A155" s="1" t="s">
        <v>226</v>
      </c>
      <c r="B155" s="1" t="s">
        <v>17</v>
      </c>
      <c r="C155" s="1">
        <v>0.0</v>
      </c>
      <c r="D155" s="1" t="s">
        <v>17</v>
      </c>
      <c r="E155" s="1" t="s">
        <v>17</v>
      </c>
      <c r="F155" s="1" t="s">
        <v>17</v>
      </c>
      <c r="G155" s="1">
        <v>3.543642437E9</v>
      </c>
      <c r="H155" s="1" t="s">
        <v>17</v>
      </c>
      <c r="I155" s="1">
        <v>0.0</v>
      </c>
      <c r="J155" s="1">
        <v>0.0</v>
      </c>
      <c r="K155" s="1" t="s">
        <v>17</v>
      </c>
      <c r="L155" s="1" t="s">
        <v>17</v>
      </c>
      <c r="M155" s="1" t="s">
        <v>17</v>
      </c>
      <c r="N155" s="1" t="s">
        <v>17</v>
      </c>
      <c r="O155" s="3">
        <v>45353.75928240741</v>
      </c>
      <c r="P155" s="3">
        <v>45353.75928240741</v>
      </c>
    </row>
    <row r="156">
      <c r="A156" s="1" t="s">
        <v>227</v>
      </c>
      <c r="B156" s="1" t="s">
        <v>17</v>
      </c>
      <c r="C156" s="1">
        <v>0.0</v>
      </c>
      <c r="D156" s="1" t="s">
        <v>17</v>
      </c>
      <c r="E156" s="1" t="s">
        <v>17</v>
      </c>
      <c r="F156" s="1" t="s">
        <v>17</v>
      </c>
      <c r="G156" s="1">
        <v>3.517584204E9</v>
      </c>
      <c r="H156" s="1" t="s">
        <v>17</v>
      </c>
      <c r="I156" s="1">
        <v>0.0</v>
      </c>
      <c r="J156" s="1">
        <v>0.0</v>
      </c>
      <c r="K156" s="1" t="s">
        <v>17</v>
      </c>
      <c r="L156" s="1" t="s">
        <v>17</v>
      </c>
      <c r="M156" s="1" t="s">
        <v>17</v>
      </c>
      <c r="N156" s="1" t="s">
        <v>17</v>
      </c>
      <c r="O156" s="3">
        <v>45355.833136574074</v>
      </c>
      <c r="P156" s="3">
        <v>45355.833136574074</v>
      </c>
    </row>
    <row r="157">
      <c r="A157" s="1" t="s">
        <v>228</v>
      </c>
      <c r="B157" s="1" t="s">
        <v>17</v>
      </c>
      <c r="C157" s="1">
        <v>0.0</v>
      </c>
      <c r="D157" s="1" t="s">
        <v>17</v>
      </c>
      <c r="E157" s="1" t="s">
        <v>17</v>
      </c>
      <c r="F157" s="1" t="s">
        <v>17</v>
      </c>
      <c r="G157" s="1">
        <v>3.51223128E9</v>
      </c>
      <c r="H157" s="1" t="s">
        <v>17</v>
      </c>
      <c r="I157" s="1">
        <v>0.0</v>
      </c>
      <c r="J157" s="1">
        <v>0.0</v>
      </c>
      <c r="K157" s="1" t="s">
        <v>17</v>
      </c>
      <c r="L157" s="1" t="s">
        <v>17</v>
      </c>
      <c r="M157" s="1" t="s">
        <v>17</v>
      </c>
      <c r="N157" s="1" t="s">
        <v>17</v>
      </c>
      <c r="O157" s="3">
        <v>45357.79275462963</v>
      </c>
      <c r="P157" s="3">
        <v>45357.79275462963</v>
      </c>
    </row>
    <row r="158">
      <c r="A158" s="1" t="s">
        <v>229</v>
      </c>
      <c r="B158" s="1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>
        <v>2.974194573E9</v>
      </c>
      <c r="H158" s="1" t="s">
        <v>17</v>
      </c>
      <c r="I158" s="1">
        <v>0.0</v>
      </c>
      <c r="J158" s="1">
        <v>0.0</v>
      </c>
      <c r="K158" s="1" t="s">
        <v>17</v>
      </c>
      <c r="L158" s="1" t="s">
        <v>17</v>
      </c>
      <c r="M158" s="1" t="s">
        <v>17</v>
      </c>
      <c r="N158" s="1" t="s">
        <v>17</v>
      </c>
      <c r="O158" s="3">
        <v>45359.432222222225</v>
      </c>
      <c r="P158" s="3">
        <v>45359.432222222225</v>
      </c>
    </row>
    <row r="159">
      <c r="A159" s="1" t="s">
        <v>230</v>
      </c>
      <c r="B159" s="1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>
        <v>2.995163381E9</v>
      </c>
      <c r="H159" s="1" t="s">
        <v>17</v>
      </c>
      <c r="I159" s="1">
        <v>0.0</v>
      </c>
      <c r="J159" s="1">
        <v>0.0</v>
      </c>
      <c r="K159" s="1" t="s">
        <v>17</v>
      </c>
      <c r="L159" s="1" t="s">
        <v>17</v>
      </c>
      <c r="M159" s="1" t="s">
        <v>17</v>
      </c>
      <c r="N159" s="1" t="s">
        <v>17</v>
      </c>
      <c r="O159" s="3">
        <v>45363.490694444445</v>
      </c>
      <c r="P159" s="3">
        <v>45363.490694444445</v>
      </c>
    </row>
    <row r="160">
      <c r="A160" s="1" t="s">
        <v>231</v>
      </c>
      <c r="B160" s="1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>
        <v>3.52025585E8</v>
      </c>
      <c r="H160" s="1" t="s">
        <v>17</v>
      </c>
      <c r="I160" s="1">
        <v>0.0</v>
      </c>
      <c r="J160" s="1">
        <v>0.0</v>
      </c>
      <c r="K160" s="1" t="s">
        <v>17</v>
      </c>
      <c r="L160" s="1">
        <v>0.0</v>
      </c>
      <c r="M160" s="1" t="s">
        <v>17</v>
      </c>
      <c r="N160" s="1" t="s">
        <v>17</v>
      </c>
      <c r="O160" s="3">
        <v>45369.556076388886</v>
      </c>
      <c r="P160" s="3">
        <v>45369.556076388886</v>
      </c>
    </row>
    <row r="161">
      <c r="A161" s="1" t="s">
        <v>232</v>
      </c>
      <c r="B161" s="1" t="s">
        <v>17</v>
      </c>
      <c r="C161" s="1">
        <v>0.0</v>
      </c>
      <c r="D161" s="1" t="s">
        <v>17</v>
      </c>
      <c r="E161" s="1" t="s">
        <v>17</v>
      </c>
      <c r="F161" s="1" t="s">
        <v>17</v>
      </c>
      <c r="G161" s="1">
        <v>3.541563448E9</v>
      </c>
      <c r="H161" s="1" t="s">
        <v>17</v>
      </c>
      <c r="I161" s="1">
        <v>0.0</v>
      </c>
      <c r="J161" s="1">
        <v>0.0</v>
      </c>
      <c r="K161" s="1" t="s">
        <v>17</v>
      </c>
      <c r="L161" s="1" t="s">
        <v>17</v>
      </c>
      <c r="M161" s="1" t="s">
        <v>17</v>
      </c>
      <c r="N161" s="1" t="s">
        <v>17</v>
      </c>
      <c r="O161" s="3">
        <v>45370.46763888889</v>
      </c>
      <c r="P161" s="3">
        <v>45370.46763888889</v>
      </c>
    </row>
    <row r="162">
      <c r="A162" s="1" t="s">
        <v>233</v>
      </c>
      <c r="B162" s="1" t="s">
        <v>17</v>
      </c>
      <c r="C162" s="1">
        <v>0.0</v>
      </c>
      <c r="D162" s="1" t="s">
        <v>17</v>
      </c>
      <c r="E162" s="1" t="s">
        <v>17</v>
      </c>
      <c r="F162" s="1" t="s">
        <v>17</v>
      </c>
      <c r="G162" s="1">
        <v>3.516353684E9</v>
      </c>
      <c r="H162" s="1" t="s">
        <v>17</v>
      </c>
      <c r="I162" s="1">
        <v>0.0</v>
      </c>
      <c r="J162" s="1">
        <v>0.0</v>
      </c>
      <c r="K162" s="1" t="s">
        <v>17</v>
      </c>
      <c r="L162" s="1" t="s">
        <v>17</v>
      </c>
      <c r="M162" s="1" t="s">
        <v>17</v>
      </c>
      <c r="N162" s="1" t="s">
        <v>17</v>
      </c>
      <c r="O162" s="3">
        <v>45370.76802083333</v>
      </c>
      <c r="P162" s="3">
        <v>45370.76802083333</v>
      </c>
    </row>
    <row r="163">
      <c r="A163" s="1" t="s">
        <v>234</v>
      </c>
      <c r="B163" s="1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>
        <v>3.515150894E9</v>
      </c>
      <c r="H163" s="1" t="s">
        <v>17</v>
      </c>
      <c r="I163" s="1">
        <v>0.0</v>
      </c>
      <c r="J163" s="1">
        <v>0.0</v>
      </c>
      <c r="K163" s="1" t="s">
        <v>17</v>
      </c>
      <c r="L163" s="1" t="s">
        <v>17</v>
      </c>
      <c r="M163" s="1" t="s">
        <v>17</v>
      </c>
      <c r="N163" s="1" t="s">
        <v>17</v>
      </c>
      <c r="O163" s="3">
        <v>45370.77034722222</v>
      </c>
      <c r="P163" s="3">
        <v>45370.77034722222</v>
      </c>
    </row>
    <row r="164">
      <c r="A164" s="1" t="s">
        <v>235</v>
      </c>
      <c r="B164" s="1" t="s">
        <v>17</v>
      </c>
      <c r="C164" s="1">
        <v>0.0</v>
      </c>
      <c r="D164" s="1" t="s">
        <v>17</v>
      </c>
      <c r="E164" s="1" t="s">
        <v>17</v>
      </c>
      <c r="F164" s="1" t="s">
        <v>17</v>
      </c>
      <c r="G164" s="1">
        <v>3.518091878E9</v>
      </c>
      <c r="H164" s="1" t="s">
        <v>17</v>
      </c>
      <c r="I164" s="1">
        <v>0.0</v>
      </c>
      <c r="J164" s="1">
        <v>0.0</v>
      </c>
      <c r="K164" s="1" t="s">
        <v>17</v>
      </c>
      <c r="L164" s="1" t="s">
        <v>17</v>
      </c>
      <c r="M164" s="1" t="s">
        <v>17</v>
      </c>
      <c r="N164" s="1" t="s">
        <v>17</v>
      </c>
      <c r="O164" s="3">
        <v>45371.50356481481</v>
      </c>
      <c r="P164" s="3">
        <v>45371.50356481481</v>
      </c>
    </row>
    <row r="165">
      <c r="A165" s="1" t="s">
        <v>236</v>
      </c>
      <c r="B165" s="1" t="s">
        <v>17</v>
      </c>
      <c r="C165" s="1">
        <v>0.0</v>
      </c>
      <c r="D165" s="1" t="s">
        <v>17</v>
      </c>
      <c r="E165" s="1" t="s">
        <v>17</v>
      </c>
      <c r="F165" s="1" t="s">
        <v>17</v>
      </c>
      <c r="G165" s="1">
        <v>3.516468039E9</v>
      </c>
      <c r="H165" s="1" t="s">
        <v>17</v>
      </c>
      <c r="I165" s="1">
        <v>0.0</v>
      </c>
      <c r="J165" s="1">
        <v>0.0</v>
      </c>
      <c r="K165" s="1" t="s">
        <v>17</v>
      </c>
      <c r="L165" s="1" t="s">
        <v>17</v>
      </c>
      <c r="M165" s="1" t="s">
        <v>17</v>
      </c>
      <c r="N165" s="1" t="s">
        <v>17</v>
      </c>
      <c r="O165" s="3">
        <v>45377.48909722222</v>
      </c>
      <c r="P165" s="3">
        <v>45377.48909722222</v>
      </c>
    </row>
    <row r="166">
      <c r="A166" s="1" t="s">
        <v>237</v>
      </c>
      <c r="B166" s="1" t="s">
        <v>17</v>
      </c>
      <c r="C166" s="1">
        <v>0.0</v>
      </c>
      <c r="D166" s="1" t="s">
        <v>17</v>
      </c>
      <c r="E166" s="1" t="s">
        <v>17</v>
      </c>
      <c r="F166" s="1" t="s">
        <v>17</v>
      </c>
      <c r="G166" s="1">
        <v>3.512094206E9</v>
      </c>
      <c r="H166" s="1" t="s">
        <v>17</v>
      </c>
      <c r="I166" s="1">
        <v>0.0</v>
      </c>
      <c r="J166" s="1">
        <v>0.0</v>
      </c>
      <c r="K166" s="1" t="s">
        <v>17</v>
      </c>
      <c r="L166" s="1" t="s">
        <v>17</v>
      </c>
      <c r="M166" s="1" t="s">
        <v>17</v>
      </c>
      <c r="N166" s="1" t="s">
        <v>17</v>
      </c>
      <c r="O166" s="3">
        <v>45378.74806712963</v>
      </c>
      <c r="P166" s="3">
        <v>45378.74806712963</v>
      </c>
    </row>
    <row r="167">
      <c r="A167" s="1" t="s">
        <v>238</v>
      </c>
      <c r="B167" s="1" t="s">
        <v>17</v>
      </c>
      <c r="C167" s="1" t="s">
        <v>17</v>
      </c>
      <c r="D167" s="1" t="s">
        <v>17</v>
      </c>
      <c r="E167" s="1" t="s">
        <v>17</v>
      </c>
      <c r="F167" s="1" t="s">
        <v>17</v>
      </c>
      <c r="G167" s="1">
        <v>3.515916716E9</v>
      </c>
      <c r="H167" s="1" t="s">
        <v>17</v>
      </c>
      <c r="I167" s="1">
        <v>0.0</v>
      </c>
      <c r="J167" s="1">
        <v>0.0</v>
      </c>
      <c r="K167" s="1" t="s">
        <v>17</v>
      </c>
      <c r="L167" s="1" t="s">
        <v>17</v>
      </c>
      <c r="M167" s="1" t="s">
        <v>17</v>
      </c>
      <c r="N167" s="1" t="s">
        <v>17</v>
      </c>
      <c r="O167" s="3">
        <v>45386.3846412037</v>
      </c>
      <c r="P167" s="3">
        <v>45386.3846412037</v>
      </c>
    </row>
    <row r="168">
      <c r="A168" s="1" t="s">
        <v>239</v>
      </c>
      <c r="B168" s="1" t="s">
        <v>17</v>
      </c>
      <c r="C168" s="1" t="s">
        <v>17</v>
      </c>
      <c r="D168" s="1" t="s">
        <v>17</v>
      </c>
      <c r="E168" s="1" t="s">
        <v>17</v>
      </c>
      <c r="F168" s="1" t="s">
        <v>240</v>
      </c>
      <c r="G168" s="1">
        <v>2.213141873E9</v>
      </c>
      <c r="H168" s="1" t="s">
        <v>241</v>
      </c>
      <c r="I168" s="1">
        <v>29.0</v>
      </c>
      <c r="J168" s="1">
        <v>2.0</v>
      </c>
      <c r="K168" s="1" t="s">
        <v>17</v>
      </c>
      <c r="L168" s="1" t="s">
        <v>17</v>
      </c>
      <c r="M168" s="1" t="s">
        <v>17</v>
      </c>
      <c r="N168" s="1" t="s">
        <v>17</v>
      </c>
      <c r="O168" s="3">
        <v>45386.38982638889</v>
      </c>
      <c r="P168" s="3">
        <v>45386.38982638889</v>
      </c>
    </row>
    <row r="169">
      <c r="A169" s="1" t="s">
        <v>242</v>
      </c>
      <c r="B169" s="1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>
        <v>3.873456671E9</v>
      </c>
      <c r="H169" s="1" t="s">
        <v>17</v>
      </c>
      <c r="I169" s="1">
        <v>127.0</v>
      </c>
      <c r="J169" s="1">
        <v>10.0</v>
      </c>
      <c r="K169" s="1" t="s">
        <v>243</v>
      </c>
      <c r="L169" s="1" t="s">
        <v>17</v>
      </c>
      <c r="M169" s="1" t="s">
        <v>17</v>
      </c>
      <c r="N169" s="1" t="s">
        <v>17</v>
      </c>
      <c r="O169" s="3">
        <v>45386.39363425926</v>
      </c>
      <c r="P169" s="3">
        <v>45386.39363425926</v>
      </c>
    </row>
    <row r="170">
      <c r="A170" s="1" t="s">
        <v>244</v>
      </c>
      <c r="B170" s="1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>
        <v>3.517590124E9</v>
      </c>
      <c r="H170" s="1" t="s">
        <v>17</v>
      </c>
      <c r="I170" s="1">
        <v>0.0</v>
      </c>
      <c r="J170" s="1">
        <v>0.0</v>
      </c>
      <c r="K170" s="1" t="s">
        <v>17</v>
      </c>
      <c r="L170" s="1" t="s">
        <v>17</v>
      </c>
      <c r="M170" s="1" t="s">
        <v>17</v>
      </c>
      <c r="N170" s="1" t="s">
        <v>17</v>
      </c>
      <c r="O170" s="3">
        <v>45387.814837962964</v>
      </c>
      <c r="P170" s="3">
        <v>45387.814837962964</v>
      </c>
    </row>
    <row r="171">
      <c r="A171" s="1" t="s">
        <v>245</v>
      </c>
      <c r="B171" s="1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>
        <v>3.543581273E9</v>
      </c>
      <c r="H171" s="1" t="s">
        <v>17</v>
      </c>
      <c r="I171" s="1">
        <v>0.0</v>
      </c>
      <c r="J171" s="1">
        <v>0.0</v>
      </c>
      <c r="K171" s="1" t="s">
        <v>17</v>
      </c>
      <c r="L171" s="1" t="s">
        <v>17</v>
      </c>
      <c r="M171" s="1" t="s">
        <v>17</v>
      </c>
      <c r="N171" s="1" t="s">
        <v>17</v>
      </c>
      <c r="O171" s="3">
        <v>45387.822592592594</v>
      </c>
      <c r="P171" s="3">
        <v>45387.822592592594</v>
      </c>
    </row>
    <row r="172">
      <c r="A172" s="1" t="s">
        <v>246</v>
      </c>
      <c r="B172" s="1" t="s">
        <v>17</v>
      </c>
      <c r="C172" s="1" t="s">
        <v>17</v>
      </c>
      <c r="D172" s="1" t="s">
        <v>17</v>
      </c>
      <c r="E172" s="1" t="s">
        <v>17</v>
      </c>
      <c r="F172" s="1" t="s">
        <v>17</v>
      </c>
      <c r="G172" s="1">
        <v>3.543581273E9</v>
      </c>
      <c r="H172" s="1" t="s">
        <v>17</v>
      </c>
      <c r="I172" s="1">
        <v>0.0</v>
      </c>
      <c r="J172" s="1">
        <v>0.0</v>
      </c>
      <c r="K172" s="1" t="s">
        <v>17</v>
      </c>
      <c r="L172" s="1" t="s">
        <v>17</v>
      </c>
      <c r="M172" s="1" t="s">
        <v>17</v>
      </c>
      <c r="N172" s="1" t="s">
        <v>17</v>
      </c>
      <c r="O172" s="3">
        <v>45387.822743055556</v>
      </c>
      <c r="P172" s="3">
        <v>45387.822743055556</v>
      </c>
    </row>
    <row r="173">
      <c r="A173" s="1" t="s">
        <v>247</v>
      </c>
      <c r="B173" s="1" t="s">
        <v>17</v>
      </c>
      <c r="C173" s="1">
        <v>0.0</v>
      </c>
      <c r="D173" s="1" t="s">
        <v>17</v>
      </c>
      <c r="E173" s="1" t="s">
        <v>17</v>
      </c>
      <c r="F173" s="1" t="s">
        <v>17</v>
      </c>
      <c r="G173" s="4" t="str">
        <f>+54 9 3517 47-3210</f>
        <v>#ERROR!</v>
      </c>
      <c r="H173" s="1" t="s">
        <v>17</v>
      </c>
      <c r="I173" s="1">
        <v>0.0</v>
      </c>
      <c r="J173" s="1">
        <v>0.0</v>
      </c>
      <c r="K173" s="1" t="s">
        <v>17</v>
      </c>
      <c r="L173" s="1" t="s">
        <v>17</v>
      </c>
      <c r="M173" s="1" t="s">
        <v>17</v>
      </c>
      <c r="N173" s="1" t="s">
        <v>17</v>
      </c>
      <c r="O173" s="3">
        <v>45391.80541666667</v>
      </c>
      <c r="P173" s="3">
        <v>45391.80541666667</v>
      </c>
    </row>
    <row r="174">
      <c r="A174" s="1" t="s">
        <v>248</v>
      </c>
      <c r="B174" s="1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>
        <v>3.513720434E9</v>
      </c>
      <c r="H174" s="1" t="s">
        <v>17</v>
      </c>
      <c r="I174" s="1">
        <v>0.0</v>
      </c>
      <c r="J174" s="1">
        <v>0.0</v>
      </c>
      <c r="K174" s="1" t="s">
        <v>17</v>
      </c>
      <c r="L174" s="1" t="s">
        <v>17</v>
      </c>
      <c r="M174" s="1" t="s">
        <v>17</v>
      </c>
      <c r="N174" s="1" t="s">
        <v>17</v>
      </c>
      <c r="O174" s="3">
        <v>45392.71909722222</v>
      </c>
      <c r="P174" s="3">
        <v>45392.71909722222</v>
      </c>
    </row>
    <row r="175">
      <c r="A175" s="1" t="s">
        <v>249</v>
      </c>
      <c r="B175" s="1" t="s">
        <v>17</v>
      </c>
      <c r="C175" s="1">
        <v>0.0</v>
      </c>
      <c r="D175" s="1" t="s">
        <v>17</v>
      </c>
      <c r="E175" s="1" t="s">
        <v>17</v>
      </c>
      <c r="F175" s="1" t="s">
        <v>17</v>
      </c>
      <c r="G175" s="1">
        <v>3.516516445E9</v>
      </c>
      <c r="H175" s="1" t="s">
        <v>17</v>
      </c>
      <c r="I175" s="1">
        <v>0.0</v>
      </c>
      <c r="J175" s="1">
        <v>0.0</v>
      </c>
      <c r="K175" s="1" t="s">
        <v>17</v>
      </c>
      <c r="L175" s="1" t="s">
        <v>17</v>
      </c>
      <c r="M175" s="1" t="s">
        <v>17</v>
      </c>
      <c r="N175" s="1" t="s">
        <v>17</v>
      </c>
      <c r="O175" s="3">
        <v>45393.39162037037</v>
      </c>
      <c r="P175" s="3">
        <v>45393.39162037037</v>
      </c>
    </row>
    <row r="176">
      <c r="A176" s="1" t="s">
        <v>250</v>
      </c>
      <c r="B176" s="1" t="s">
        <v>17</v>
      </c>
      <c r="C176" s="1" t="s">
        <v>17</v>
      </c>
      <c r="D176" s="1" t="s">
        <v>17</v>
      </c>
      <c r="E176" s="1" t="s">
        <v>17</v>
      </c>
      <c r="F176" s="1" t="s">
        <v>17</v>
      </c>
      <c r="G176" s="1">
        <v>3.517545029E9</v>
      </c>
      <c r="H176" s="1" t="s">
        <v>17</v>
      </c>
      <c r="I176" s="1">
        <v>0.0</v>
      </c>
      <c r="J176" s="1">
        <v>0.0</v>
      </c>
      <c r="K176" s="1" t="s">
        <v>17</v>
      </c>
      <c r="L176" s="1" t="s">
        <v>17</v>
      </c>
      <c r="M176" s="1" t="s">
        <v>17</v>
      </c>
      <c r="N176" s="1" t="s">
        <v>17</v>
      </c>
      <c r="O176" s="3">
        <v>45393.40760416666</v>
      </c>
      <c r="P176" s="3">
        <v>45393.40760416666</v>
      </c>
    </row>
    <row r="177">
      <c r="A177" s="1" t="s">
        <v>251</v>
      </c>
      <c r="B177" s="1" t="s">
        <v>17</v>
      </c>
      <c r="C177" s="1">
        <v>0.0</v>
      </c>
      <c r="D177" s="1" t="s">
        <v>17</v>
      </c>
      <c r="E177" s="1" t="s">
        <v>17</v>
      </c>
      <c r="F177" s="1" t="s">
        <v>17</v>
      </c>
      <c r="G177" s="1">
        <v>3.515994361E9</v>
      </c>
      <c r="H177" s="1" t="s">
        <v>17</v>
      </c>
      <c r="I177" s="1">
        <v>0.0</v>
      </c>
      <c r="J177" s="1">
        <v>0.0</v>
      </c>
      <c r="K177" s="1" t="s">
        <v>17</v>
      </c>
      <c r="L177" s="1" t="s">
        <v>17</v>
      </c>
      <c r="M177" s="1" t="s">
        <v>17</v>
      </c>
      <c r="N177" s="1" t="s">
        <v>17</v>
      </c>
      <c r="O177" s="3">
        <v>45393.65400462963</v>
      </c>
      <c r="P177" s="3">
        <v>45393.65400462963</v>
      </c>
    </row>
    <row r="178">
      <c r="A178" s="1" t="s">
        <v>252</v>
      </c>
      <c r="B178" s="1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4" t="str">
        <f>+54 9 3875 76-8877</f>
        <v>#ERROR!</v>
      </c>
      <c r="H178" s="1" t="s">
        <v>17</v>
      </c>
      <c r="I178" s="1">
        <v>0.0</v>
      </c>
      <c r="J178" s="1">
        <v>0.0</v>
      </c>
      <c r="K178" s="1" t="s">
        <v>17</v>
      </c>
      <c r="L178" s="1">
        <v>0.0</v>
      </c>
      <c r="M178" s="1" t="s">
        <v>17</v>
      </c>
      <c r="N178" s="1" t="s">
        <v>17</v>
      </c>
      <c r="O178" s="3">
        <v>45394.61251157407</v>
      </c>
      <c r="P178" s="3">
        <v>45394.61251157407</v>
      </c>
    </row>
    <row r="179">
      <c r="A179" s="1" t="s">
        <v>253</v>
      </c>
      <c r="B179" s="1" t="s">
        <v>17</v>
      </c>
      <c r="C179" s="1" t="s">
        <v>17</v>
      </c>
      <c r="D179" s="1" t="s">
        <v>17</v>
      </c>
      <c r="E179" s="1" t="s">
        <v>17</v>
      </c>
      <c r="F179" s="1" t="s">
        <v>17</v>
      </c>
      <c r="G179" s="4" t="str">
        <f>+54 9 3512 78-3668</f>
        <v>#ERROR!</v>
      </c>
      <c r="H179" s="1" t="s">
        <v>17</v>
      </c>
      <c r="I179" s="1">
        <v>0.0</v>
      </c>
      <c r="J179" s="1">
        <v>0.0</v>
      </c>
      <c r="K179" s="1" t="s">
        <v>17</v>
      </c>
      <c r="L179" s="1" t="s">
        <v>17</v>
      </c>
      <c r="M179" s="1" t="s">
        <v>17</v>
      </c>
      <c r="N179" s="1" t="s">
        <v>17</v>
      </c>
      <c r="O179" s="3">
        <v>45399.46613425926</v>
      </c>
      <c r="P179" s="3">
        <v>45399.46613425926</v>
      </c>
    </row>
    <row r="180">
      <c r="A180" s="1" t="s">
        <v>254</v>
      </c>
      <c r="B180" s="1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4" t="str">
        <f>+54 9 11 3377-7979</f>
        <v>#ERROR!</v>
      </c>
      <c r="H180" s="1" t="s">
        <v>17</v>
      </c>
      <c r="I180" s="1">
        <v>0.0</v>
      </c>
      <c r="J180" s="1">
        <v>0.0</v>
      </c>
      <c r="K180" s="1" t="s">
        <v>17</v>
      </c>
      <c r="L180" s="1" t="s">
        <v>17</v>
      </c>
      <c r="M180" s="1" t="s">
        <v>17</v>
      </c>
      <c r="N180" s="1" t="s">
        <v>17</v>
      </c>
      <c r="O180" s="3">
        <v>45401.456354166665</v>
      </c>
      <c r="P180" s="3">
        <v>45401.456354166665</v>
      </c>
    </row>
    <row r="181">
      <c r="A181" s="1" t="s">
        <v>255</v>
      </c>
      <c r="B181" s="1" t="s">
        <v>17</v>
      </c>
      <c r="C181" s="1" t="s">
        <v>17</v>
      </c>
      <c r="D181" s="1" t="s">
        <v>17</v>
      </c>
      <c r="E181" s="1" t="s">
        <v>17</v>
      </c>
      <c r="F181" s="1" t="s">
        <v>17</v>
      </c>
      <c r="G181" s="4" t="str">
        <f>+54 9 11 6585-7808</f>
        <v>#ERROR!</v>
      </c>
      <c r="H181" s="1" t="s">
        <v>17</v>
      </c>
      <c r="I181" s="1">
        <v>0.0</v>
      </c>
      <c r="J181" s="1">
        <v>0.0</v>
      </c>
      <c r="K181" s="1" t="s">
        <v>17</v>
      </c>
      <c r="L181" s="1" t="s">
        <v>17</v>
      </c>
      <c r="M181" s="1" t="s">
        <v>17</v>
      </c>
      <c r="N181" s="1" t="s">
        <v>17</v>
      </c>
      <c r="O181" s="3">
        <v>45404.73768518519</v>
      </c>
      <c r="P181" s="3">
        <v>45404.73768518519</v>
      </c>
    </row>
    <row r="182">
      <c r="A182" s="1" t="s">
        <v>256</v>
      </c>
      <c r="B182" s="1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4" t="str">
        <f>+54 9 3512 70-6969</f>
        <v>#ERROR!</v>
      </c>
      <c r="H182" s="1" t="s">
        <v>17</v>
      </c>
      <c r="I182" s="1">
        <v>0.0</v>
      </c>
      <c r="J182" s="1">
        <v>0.0</v>
      </c>
      <c r="K182" s="1" t="s">
        <v>17</v>
      </c>
      <c r="L182" s="1" t="s">
        <v>17</v>
      </c>
      <c r="M182" s="1" t="s">
        <v>17</v>
      </c>
      <c r="N182" s="1" t="s">
        <v>17</v>
      </c>
      <c r="O182" s="3">
        <v>45407.40314814815</v>
      </c>
      <c r="P182" s="3">
        <v>45407.40314814815</v>
      </c>
    </row>
    <row r="183">
      <c r="A183" s="1" t="s">
        <v>257</v>
      </c>
      <c r="B183" s="1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4" t="str">
        <f>+54 9 3512 28-0604</f>
        <v>#ERROR!</v>
      </c>
      <c r="H183" s="1" t="s">
        <v>17</v>
      </c>
      <c r="I183" s="1">
        <v>0.0</v>
      </c>
      <c r="J183" s="1">
        <v>0.0</v>
      </c>
      <c r="K183" s="1" t="s">
        <v>17</v>
      </c>
      <c r="L183" s="1" t="s">
        <v>17</v>
      </c>
      <c r="M183" s="1" t="s">
        <v>17</v>
      </c>
      <c r="N183" s="1" t="s">
        <v>17</v>
      </c>
      <c r="O183" s="3">
        <v>45408.54574074074</v>
      </c>
      <c r="P183" s="3">
        <v>45408.54574074074</v>
      </c>
    </row>
    <row r="184">
      <c r="A184" s="1" t="s">
        <v>258</v>
      </c>
      <c r="B184" s="1" t="s">
        <v>17</v>
      </c>
      <c r="C184" s="1" t="s">
        <v>17</v>
      </c>
      <c r="D184" s="1" t="s">
        <v>17</v>
      </c>
      <c r="E184" s="1" t="s">
        <v>17</v>
      </c>
      <c r="F184" s="1" t="s">
        <v>17</v>
      </c>
      <c r="G184" s="4">
        <f>+34615239299</f>
        <v>34615239299</v>
      </c>
      <c r="H184" s="1" t="s">
        <v>17</v>
      </c>
      <c r="I184" s="1">
        <v>0.0</v>
      </c>
      <c r="J184" s="1">
        <v>0.0</v>
      </c>
      <c r="K184" s="1" t="s">
        <v>17</v>
      </c>
      <c r="L184" s="1">
        <v>0.0</v>
      </c>
      <c r="M184" s="1" t="s">
        <v>17</v>
      </c>
      <c r="N184" s="1" t="s">
        <v>17</v>
      </c>
      <c r="O184" s="3">
        <v>45409.511342592596</v>
      </c>
      <c r="P184" s="3">
        <v>45409.511342592596</v>
      </c>
    </row>
    <row r="185">
      <c r="A185" s="1" t="s">
        <v>259</v>
      </c>
      <c r="B185" s="1" t="s">
        <v>17</v>
      </c>
      <c r="C185" s="1" t="s">
        <v>17</v>
      </c>
      <c r="D185" s="1" t="s">
        <v>17</v>
      </c>
      <c r="E185" s="1" t="s">
        <v>17</v>
      </c>
      <c r="F185" s="1" t="s">
        <v>17</v>
      </c>
      <c r="G185" s="4" t="str">
        <f>+54 9 3513 84-8367</f>
        <v>#ERROR!</v>
      </c>
      <c r="H185" s="1" t="s">
        <v>17</v>
      </c>
      <c r="I185" s="1">
        <v>0.0</v>
      </c>
      <c r="J185" s="1">
        <v>0.0</v>
      </c>
      <c r="K185" s="1" t="s">
        <v>17</v>
      </c>
      <c r="L185" s="1" t="s">
        <v>17</v>
      </c>
      <c r="M185" s="1" t="s">
        <v>17</v>
      </c>
      <c r="N185" s="1" t="s">
        <v>17</v>
      </c>
      <c r="O185" s="3">
        <v>45411.733611111114</v>
      </c>
      <c r="P185" s="3">
        <v>45411.733611111114</v>
      </c>
    </row>
    <row r="186">
      <c r="A186" s="1" t="s">
        <v>260</v>
      </c>
      <c r="B186" s="1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>
        <v>3.512351015E9</v>
      </c>
      <c r="H186" s="1" t="s">
        <v>17</v>
      </c>
      <c r="I186" s="1">
        <v>0.0</v>
      </c>
      <c r="J186" s="1">
        <v>0.0</v>
      </c>
      <c r="K186" s="1" t="s">
        <v>17</v>
      </c>
      <c r="L186" s="1" t="s">
        <v>17</v>
      </c>
      <c r="M186" s="1" t="s">
        <v>17</v>
      </c>
      <c r="N186" s="1" t="s">
        <v>17</v>
      </c>
      <c r="O186" s="3">
        <v>45415.62076388889</v>
      </c>
      <c r="P186" s="3">
        <v>45415.62076388889</v>
      </c>
    </row>
    <row r="187">
      <c r="A187" s="1" t="s">
        <v>261</v>
      </c>
      <c r="B187" s="1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4" t="str">
        <f>+54 9 3518 05-9823</f>
        <v>#ERROR!</v>
      </c>
      <c r="H187" s="1" t="s">
        <v>17</v>
      </c>
      <c r="I187" s="1">
        <v>0.0</v>
      </c>
      <c r="J187" s="1">
        <v>0.0</v>
      </c>
      <c r="K187" s="1" t="s">
        <v>17</v>
      </c>
      <c r="L187" s="1" t="s">
        <v>17</v>
      </c>
      <c r="M187" s="1" t="s">
        <v>17</v>
      </c>
      <c r="N187" s="1" t="s">
        <v>17</v>
      </c>
      <c r="O187" s="3">
        <v>45415.66179398148</v>
      </c>
      <c r="P187" s="3">
        <v>45415.66179398148</v>
      </c>
    </row>
    <row r="188">
      <c r="A188" s="1" t="s">
        <v>262</v>
      </c>
      <c r="B188" s="1" t="s">
        <v>17</v>
      </c>
      <c r="C188" s="1" t="s">
        <v>17</v>
      </c>
      <c r="D188" s="1" t="s">
        <v>17</v>
      </c>
      <c r="E188" s="1" t="s">
        <v>17</v>
      </c>
      <c r="F188" s="1" t="s">
        <v>17</v>
      </c>
      <c r="G188" s="1">
        <v>3.51595245E9</v>
      </c>
      <c r="H188" s="1" t="s">
        <v>17</v>
      </c>
      <c r="I188" s="1">
        <v>0.0</v>
      </c>
      <c r="J188" s="1">
        <v>0.0</v>
      </c>
      <c r="K188" s="1" t="s">
        <v>17</v>
      </c>
      <c r="L188" s="1" t="s">
        <v>17</v>
      </c>
      <c r="M188" s="1" t="s">
        <v>17</v>
      </c>
      <c r="N188" s="1" t="s">
        <v>17</v>
      </c>
      <c r="O188" s="3">
        <v>45415.694548611114</v>
      </c>
      <c r="P188" s="3">
        <v>45415.694548611114</v>
      </c>
    </row>
    <row r="189">
      <c r="A189" s="1" t="s">
        <v>263</v>
      </c>
      <c r="B189" s="1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4" t="str">
        <f>+54 9 3518 03-5866</f>
        <v>#ERROR!</v>
      </c>
      <c r="H189" s="1" t="s">
        <v>17</v>
      </c>
      <c r="I189" s="1">
        <v>0.0</v>
      </c>
      <c r="J189" s="1">
        <v>0.0</v>
      </c>
      <c r="K189" s="1" t="s">
        <v>17</v>
      </c>
      <c r="L189" s="1" t="s">
        <v>17</v>
      </c>
      <c r="M189" s="1" t="s">
        <v>17</v>
      </c>
      <c r="N189" s="1" t="s">
        <v>17</v>
      </c>
      <c r="O189" s="3">
        <v>45416.54515046296</v>
      </c>
      <c r="P189" s="3">
        <v>45416.54515046296</v>
      </c>
    </row>
    <row r="190">
      <c r="A190" s="1" t="s">
        <v>264</v>
      </c>
      <c r="B190" s="1" t="s">
        <v>17</v>
      </c>
      <c r="C190" s="1" t="s">
        <v>17</v>
      </c>
      <c r="D190" s="1" t="s">
        <v>17</v>
      </c>
      <c r="E190" s="1" t="s">
        <v>17</v>
      </c>
      <c r="F190" s="1" t="s">
        <v>17</v>
      </c>
      <c r="G190" s="4" t="str">
        <f>+54 9 3512 19-6786</f>
        <v>#ERROR!</v>
      </c>
      <c r="H190" s="1" t="s">
        <v>17</v>
      </c>
      <c r="I190" s="1">
        <v>0.0</v>
      </c>
      <c r="J190" s="1">
        <v>0.0</v>
      </c>
      <c r="K190" s="1" t="s">
        <v>17</v>
      </c>
      <c r="L190" s="1" t="s">
        <v>17</v>
      </c>
      <c r="M190" s="1" t="s">
        <v>17</v>
      </c>
      <c r="N190" s="1" t="s">
        <v>17</v>
      </c>
      <c r="O190" s="3">
        <v>45419.711122685185</v>
      </c>
      <c r="P190" s="3">
        <v>45419.711122685185</v>
      </c>
    </row>
    <row r="191">
      <c r="A191" s="1" t="s">
        <v>265</v>
      </c>
      <c r="B191" s="1" t="s">
        <v>17</v>
      </c>
      <c r="C191" s="1" t="s">
        <v>17</v>
      </c>
      <c r="D191" s="1" t="s">
        <v>17</v>
      </c>
      <c r="E191" s="1" t="s">
        <v>17</v>
      </c>
      <c r="F191" s="1" t="s">
        <v>17</v>
      </c>
      <c r="G191" s="1">
        <v>3.517572404E9</v>
      </c>
      <c r="H191" s="1" t="s">
        <v>17</v>
      </c>
      <c r="I191" s="1">
        <v>0.0</v>
      </c>
      <c r="J191" s="1">
        <v>0.0</v>
      </c>
      <c r="K191" s="1" t="s">
        <v>17</v>
      </c>
      <c r="L191" s="1">
        <v>0.0</v>
      </c>
      <c r="M191" s="1" t="s">
        <v>17</v>
      </c>
      <c r="N191" s="1" t="s">
        <v>17</v>
      </c>
      <c r="O191" s="3">
        <v>45421.58482638889</v>
      </c>
      <c r="P191" s="3">
        <v>45421.58482638889</v>
      </c>
    </row>
    <row r="192">
      <c r="A192" s="1" t="s">
        <v>266</v>
      </c>
      <c r="B192" s="1" t="s">
        <v>17</v>
      </c>
      <c r="C192" s="1" t="s">
        <v>17</v>
      </c>
      <c r="D192" s="1" t="s">
        <v>17</v>
      </c>
      <c r="E192" s="1" t="s">
        <v>17</v>
      </c>
      <c r="F192" s="1" t="s">
        <v>17</v>
      </c>
      <c r="G192" s="1">
        <v>3.516852137E9</v>
      </c>
      <c r="H192" s="1" t="s">
        <v>17</v>
      </c>
      <c r="I192" s="1">
        <v>0.0</v>
      </c>
      <c r="J192" s="1">
        <v>0.0</v>
      </c>
      <c r="K192" s="1" t="s">
        <v>17</v>
      </c>
      <c r="L192" s="1">
        <v>0.0</v>
      </c>
      <c r="M192" s="1" t="s">
        <v>17</v>
      </c>
      <c r="N192" s="1" t="s">
        <v>17</v>
      </c>
      <c r="O192" s="3">
        <v>45423.49407407407</v>
      </c>
      <c r="P192" s="3">
        <v>45423.49407407407</v>
      </c>
    </row>
    <row r="193">
      <c r="A193" s="1" t="s">
        <v>267</v>
      </c>
      <c r="B193" s="1" t="s">
        <v>17</v>
      </c>
      <c r="C193" s="1" t="s">
        <v>17</v>
      </c>
      <c r="D193" s="1" t="s">
        <v>17</v>
      </c>
      <c r="E193" s="1" t="s">
        <v>17</v>
      </c>
      <c r="F193" s="1" t="s">
        <v>17</v>
      </c>
      <c r="G193" s="4" t="str">
        <f>+54 9 3517 48-0709</f>
        <v>#ERROR!</v>
      </c>
      <c r="H193" s="1" t="s">
        <v>17</v>
      </c>
      <c r="I193" s="1">
        <v>0.0</v>
      </c>
      <c r="J193" s="1">
        <v>0.0</v>
      </c>
      <c r="K193" s="1" t="s">
        <v>17</v>
      </c>
      <c r="L193" s="1" t="s">
        <v>17</v>
      </c>
      <c r="M193" s="1" t="s">
        <v>17</v>
      </c>
      <c r="N193" s="1" t="s">
        <v>17</v>
      </c>
      <c r="O193" s="3">
        <v>45426.449016203704</v>
      </c>
      <c r="P193" s="3">
        <v>45426.449016203704</v>
      </c>
    </row>
    <row r="194">
      <c r="A194" s="1" t="s">
        <v>268</v>
      </c>
      <c r="B194" s="1" t="s">
        <v>17</v>
      </c>
      <c r="C194" s="1" t="s">
        <v>17</v>
      </c>
      <c r="D194" s="1" t="s">
        <v>17</v>
      </c>
      <c r="E194" s="1" t="s">
        <v>17</v>
      </c>
      <c r="F194" s="1" t="s">
        <v>17</v>
      </c>
      <c r="G194" s="4" t="str">
        <f>+54 9 3517 47-6995</f>
        <v>#ERROR!</v>
      </c>
      <c r="H194" s="1" t="s">
        <v>17</v>
      </c>
      <c r="I194" s="1">
        <v>0.0</v>
      </c>
      <c r="J194" s="1">
        <v>0.0</v>
      </c>
      <c r="K194" s="1" t="s">
        <v>17</v>
      </c>
      <c r="L194" s="1" t="s">
        <v>17</v>
      </c>
      <c r="M194" s="1" t="s">
        <v>17</v>
      </c>
      <c r="N194" s="1" t="s">
        <v>17</v>
      </c>
      <c r="O194" s="3">
        <v>45427.68226851852</v>
      </c>
      <c r="P194" s="3">
        <v>45427.68226851852</v>
      </c>
    </row>
    <row r="195">
      <c r="A195" s="1" t="s">
        <v>269</v>
      </c>
      <c r="B195" s="1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>
        <v>3.542619062E9</v>
      </c>
      <c r="H195" s="1" t="s">
        <v>17</v>
      </c>
      <c r="I195" s="1">
        <v>0.0</v>
      </c>
      <c r="J195" s="1">
        <v>0.0</v>
      </c>
      <c r="K195" s="1" t="s">
        <v>17</v>
      </c>
      <c r="L195" s="1" t="s">
        <v>17</v>
      </c>
      <c r="M195" s="1" t="s">
        <v>17</v>
      </c>
      <c r="N195" s="1" t="s">
        <v>17</v>
      </c>
      <c r="O195" s="3">
        <v>45434.50144675926</v>
      </c>
      <c r="P195" s="3">
        <v>45434.50144675926</v>
      </c>
    </row>
    <row r="196">
      <c r="A196" s="1" t="s">
        <v>270</v>
      </c>
      <c r="B196" s="1" t="s">
        <v>17</v>
      </c>
      <c r="C196" s="1" t="s">
        <v>17</v>
      </c>
      <c r="D196" s="1" t="s">
        <v>17</v>
      </c>
      <c r="E196" s="1" t="s">
        <v>17</v>
      </c>
      <c r="F196" s="1" t="s">
        <v>17</v>
      </c>
      <c r="G196" s="1">
        <v>3.513466227E9</v>
      </c>
      <c r="H196" s="1" t="s">
        <v>17</v>
      </c>
      <c r="I196" s="1">
        <v>0.0</v>
      </c>
      <c r="J196" s="1">
        <v>0.0</v>
      </c>
      <c r="K196" s="1" t="s">
        <v>17</v>
      </c>
      <c r="L196" s="1" t="s">
        <v>17</v>
      </c>
      <c r="M196" s="1" t="s">
        <v>17</v>
      </c>
      <c r="N196" s="1" t="s">
        <v>17</v>
      </c>
      <c r="O196" s="3">
        <v>45435.41011574074</v>
      </c>
      <c r="P196" s="3">
        <v>45435.41011574074</v>
      </c>
    </row>
    <row r="197">
      <c r="A197" s="1" t="s">
        <v>271</v>
      </c>
      <c r="B197" s="1" t="s">
        <v>17</v>
      </c>
      <c r="C197" s="1" t="s">
        <v>17</v>
      </c>
      <c r="D197" s="1" t="s">
        <v>17</v>
      </c>
      <c r="E197" s="1" t="s">
        <v>17</v>
      </c>
      <c r="F197" s="1" t="s">
        <v>17</v>
      </c>
      <c r="G197" s="4" t="str">
        <f>+54 9 3513 46-6227</f>
        <v>#ERROR!</v>
      </c>
      <c r="H197" s="1" t="s">
        <v>17</v>
      </c>
      <c r="I197" s="1">
        <v>0.0</v>
      </c>
      <c r="J197" s="1">
        <v>0.0</v>
      </c>
      <c r="K197" s="1" t="s">
        <v>17</v>
      </c>
      <c r="L197" s="1" t="s">
        <v>17</v>
      </c>
      <c r="M197" s="1" t="s">
        <v>17</v>
      </c>
      <c r="N197" s="1" t="s">
        <v>17</v>
      </c>
      <c r="O197" s="3">
        <v>45435.41085648148</v>
      </c>
      <c r="P197" s="3">
        <v>45435.41085648148</v>
      </c>
    </row>
    <row r="198">
      <c r="A198" s="1" t="s">
        <v>272</v>
      </c>
      <c r="B198" s="1" t="s">
        <v>17</v>
      </c>
      <c r="C198" s="1" t="s">
        <v>17</v>
      </c>
      <c r="D198" s="1" t="s">
        <v>17</v>
      </c>
      <c r="E198" s="1" t="s">
        <v>17</v>
      </c>
      <c r="F198" s="1" t="s">
        <v>17</v>
      </c>
      <c r="G198" s="4" t="str">
        <f>+54 9 3513 78-0074</f>
        <v>#ERROR!</v>
      </c>
      <c r="H198" s="1" t="s">
        <v>17</v>
      </c>
      <c r="I198" s="1">
        <v>0.0</v>
      </c>
      <c r="J198" s="1">
        <v>0.0</v>
      </c>
      <c r="K198" s="1" t="s">
        <v>17</v>
      </c>
      <c r="L198" s="1" t="s">
        <v>17</v>
      </c>
      <c r="M198" s="1" t="s">
        <v>17</v>
      </c>
      <c r="N198" s="1" t="s">
        <v>17</v>
      </c>
      <c r="O198" s="3">
        <v>45436.56355324074</v>
      </c>
      <c r="P198" s="3">
        <v>45436.56355324074</v>
      </c>
    </row>
    <row r="199">
      <c r="A199" s="1" t="s">
        <v>273</v>
      </c>
      <c r="B199" s="1" t="s">
        <v>17</v>
      </c>
      <c r="C199" s="1" t="s">
        <v>17</v>
      </c>
      <c r="D199" s="1" t="s">
        <v>17</v>
      </c>
      <c r="E199" s="1" t="s">
        <v>17</v>
      </c>
      <c r="F199" s="1" t="s">
        <v>17</v>
      </c>
      <c r="G199" s="1" t="s">
        <v>17</v>
      </c>
      <c r="H199" s="1" t="s">
        <v>17</v>
      </c>
      <c r="I199" s="1">
        <v>0.0</v>
      </c>
      <c r="J199" s="1">
        <v>0.0</v>
      </c>
      <c r="K199" s="1" t="s">
        <v>17</v>
      </c>
      <c r="L199" s="1" t="s">
        <v>17</v>
      </c>
      <c r="M199" s="1" t="s">
        <v>17</v>
      </c>
      <c r="N199" s="1" t="s">
        <v>17</v>
      </c>
      <c r="O199" s="3">
        <v>45439.72452546296</v>
      </c>
      <c r="P199" s="3">
        <v>45439.72452546296</v>
      </c>
    </row>
    <row r="200">
      <c r="A200" s="1" t="s">
        <v>274</v>
      </c>
      <c r="B200" s="1" t="s">
        <v>17</v>
      </c>
      <c r="C200" s="1" t="s">
        <v>17</v>
      </c>
      <c r="D200" s="1" t="s">
        <v>17</v>
      </c>
      <c r="E200" s="1" t="s">
        <v>17</v>
      </c>
      <c r="F200" s="1" t="s">
        <v>17</v>
      </c>
      <c r="G200" s="4" t="str">
        <f>+54 9 3513 46-6227</f>
        <v>#ERROR!</v>
      </c>
      <c r="H200" s="1" t="s">
        <v>17</v>
      </c>
      <c r="I200" s="1">
        <v>0.0</v>
      </c>
      <c r="J200" s="1">
        <v>0.0</v>
      </c>
      <c r="K200" s="1" t="s">
        <v>17</v>
      </c>
      <c r="L200" s="1" t="s">
        <v>17</v>
      </c>
      <c r="M200" s="1" t="s">
        <v>17</v>
      </c>
      <c r="N200" s="1" t="s">
        <v>17</v>
      </c>
      <c r="O200" s="3">
        <v>45439.760416666664</v>
      </c>
      <c r="P200" s="3">
        <v>45439.760416666664</v>
      </c>
    </row>
    <row r="201">
      <c r="A201" s="1" t="s">
        <v>275</v>
      </c>
      <c r="B201" s="1" t="s">
        <v>17</v>
      </c>
      <c r="C201" s="1" t="s">
        <v>17</v>
      </c>
      <c r="D201" s="1" t="s">
        <v>17</v>
      </c>
      <c r="E201" s="1" t="s">
        <v>17</v>
      </c>
      <c r="F201" s="1" t="s">
        <v>17</v>
      </c>
      <c r="G201" s="1">
        <v>3.513895989E9</v>
      </c>
      <c r="H201" s="1" t="s">
        <v>17</v>
      </c>
      <c r="I201" s="1">
        <v>0.0</v>
      </c>
      <c r="J201" s="1">
        <v>0.0</v>
      </c>
      <c r="K201" s="1" t="s">
        <v>17</v>
      </c>
      <c r="L201" s="1" t="s">
        <v>17</v>
      </c>
      <c r="M201" s="1" t="s">
        <v>17</v>
      </c>
      <c r="N201" s="1" t="s">
        <v>17</v>
      </c>
      <c r="O201" s="3">
        <v>45441.406851851854</v>
      </c>
      <c r="P201" s="3">
        <v>45441.406851851854</v>
      </c>
    </row>
    <row r="202">
      <c r="A202" s="1" t="s">
        <v>276</v>
      </c>
      <c r="B202" s="1" t="s">
        <v>17</v>
      </c>
      <c r="C202" s="1" t="s">
        <v>17</v>
      </c>
      <c r="D202" s="1" t="s">
        <v>17</v>
      </c>
      <c r="E202" s="1" t="s">
        <v>17</v>
      </c>
      <c r="F202" s="1" t="s">
        <v>17</v>
      </c>
      <c r="G202" s="4" t="str">
        <f>+54 9 3513 89-5989</f>
        <v>#ERROR!</v>
      </c>
      <c r="H202" s="1" t="s">
        <v>17</v>
      </c>
      <c r="I202" s="1">
        <v>0.0</v>
      </c>
      <c r="J202" s="1">
        <v>0.0</v>
      </c>
      <c r="K202" s="1" t="s">
        <v>17</v>
      </c>
      <c r="L202" s="1" t="s">
        <v>17</v>
      </c>
      <c r="M202" s="1" t="s">
        <v>17</v>
      </c>
      <c r="N202" s="1" t="s">
        <v>17</v>
      </c>
      <c r="O202" s="3">
        <v>45441.417962962965</v>
      </c>
      <c r="P202" s="3">
        <v>45441.417962962965</v>
      </c>
    </row>
    <row r="203">
      <c r="A203" s="1" t="s">
        <v>277</v>
      </c>
      <c r="B203" s="1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4" t="str">
        <f>+54 9 3874 64-6573</f>
        <v>#ERROR!</v>
      </c>
      <c r="H203" s="1" t="s">
        <v>17</v>
      </c>
      <c r="I203" s="1">
        <v>0.0</v>
      </c>
      <c r="J203" s="1">
        <v>0.0</v>
      </c>
      <c r="K203" s="1" t="s">
        <v>17</v>
      </c>
      <c r="L203" s="1" t="s">
        <v>17</v>
      </c>
      <c r="M203" s="1" t="s">
        <v>17</v>
      </c>
      <c r="N203" s="1" t="s">
        <v>17</v>
      </c>
      <c r="O203" s="3">
        <v>45441.441724537035</v>
      </c>
      <c r="P203" s="3">
        <v>45441.441724537035</v>
      </c>
    </row>
    <row r="204">
      <c r="A204" s="1" t="s">
        <v>278</v>
      </c>
      <c r="B204" s="1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4" t="str">
        <f>+54 9 2644 59-4257</f>
        <v>#ERROR!</v>
      </c>
      <c r="H204" s="1" t="s">
        <v>17</v>
      </c>
      <c r="I204" s="1">
        <v>0.0</v>
      </c>
      <c r="J204" s="1">
        <v>0.0</v>
      </c>
      <c r="K204" s="1" t="s">
        <v>17</v>
      </c>
      <c r="L204" s="1" t="s">
        <v>17</v>
      </c>
      <c r="M204" s="1" t="s">
        <v>17</v>
      </c>
      <c r="N204" s="1" t="s">
        <v>17</v>
      </c>
      <c r="O204" s="3">
        <v>45443.73175925926</v>
      </c>
      <c r="P204" s="3">
        <v>45443.73175925926</v>
      </c>
    </row>
    <row r="205">
      <c r="A205" s="1" t="s">
        <v>279</v>
      </c>
      <c r="B205" s="1" t="s">
        <v>17</v>
      </c>
      <c r="C205" s="1" t="s">
        <v>17</v>
      </c>
      <c r="D205" s="1" t="s">
        <v>17</v>
      </c>
      <c r="E205" s="1" t="s">
        <v>17</v>
      </c>
      <c r="F205" s="1" t="s">
        <v>17</v>
      </c>
      <c r="G205" s="4" t="str">
        <f>+54 9 3516 71-6500</f>
        <v>#ERROR!</v>
      </c>
      <c r="H205" s="1" t="s">
        <v>17</v>
      </c>
      <c r="I205" s="1">
        <v>0.0</v>
      </c>
      <c r="J205" s="1">
        <v>0.0</v>
      </c>
      <c r="K205" s="1" t="s">
        <v>17</v>
      </c>
      <c r="L205" s="1" t="s">
        <v>17</v>
      </c>
      <c r="M205" s="1" t="s">
        <v>17</v>
      </c>
      <c r="N205" s="1" t="s">
        <v>17</v>
      </c>
      <c r="O205" s="3">
        <v>45443.74081018518</v>
      </c>
      <c r="P205" s="3">
        <v>45443.74081018518</v>
      </c>
    </row>
    <row r="206">
      <c r="A206" s="1" t="s">
        <v>280</v>
      </c>
      <c r="B206" s="1" t="s">
        <v>17</v>
      </c>
      <c r="C206" s="1" t="s">
        <v>17</v>
      </c>
      <c r="D206" s="1" t="s">
        <v>17</v>
      </c>
      <c r="E206" s="1" t="s">
        <v>17</v>
      </c>
      <c r="F206" s="1" t="s">
        <v>17</v>
      </c>
      <c r="G206" s="4" t="str">
        <f>+54 9 3516 85-2137</f>
        <v>#ERROR!</v>
      </c>
      <c r="H206" s="1" t="s">
        <v>17</v>
      </c>
      <c r="I206" s="1">
        <v>0.0</v>
      </c>
      <c r="J206" s="1">
        <v>0.0</v>
      </c>
      <c r="K206" s="1" t="s">
        <v>17</v>
      </c>
      <c r="L206" s="1" t="s">
        <v>17</v>
      </c>
      <c r="M206" s="1" t="s">
        <v>17</v>
      </c>
      <c r="N206" s="1" t="s">
        <v>17</v>
      </c>
      <c r="O206" s="3">
        <v>45443.74679398148</v>
      </c>
      <c r="P206" s="3">
        <v>45443.74679398148</v>
      </c>
    </row>
    <row r="207">
      <c r="A207" s="1" t="s">
        <v>281</v>
      </c>
      <c r="B207" s="1" t="s">
        <v>17</v>
      </c>
      <c r="C207" s="1" t="s">
        <v>17</v>
      </c>
      <c r="D207" s="1" t="s">
        <v>17</v>
      </c>
      <c r="E207" s="1" t="s">
        <v>17</v>
      </c>
      <c r="F207" s="1" t="s">
        <v>17</v>
      </c>
      <c r="G207" s="4" t="str">
        <f>+54 9 3434 28-1534</f>
        <v>#ERROR!</v>
      </c>
      <c r="H207" s="1" t="s">
        <v>17</v>
      </c>
      <c r="I207" s="1">
        <v>0.0</v>
      </c>
      <c r="J207" s="1">
        <v>0.0</v>
      </c>
      <c r="K207" s="1" t="s">
        <v>17</v>
      </c>
      <c r="L207" s="1" t="s">
        <v>17</v>
      </c>
      <c r="M207" s="1" t="s">
        <v>17</v>
      </c>
      <c r="N207" s="1" t="s">
        <v>17</v>
      </c>
      <c r="O207" s="3">
        <v>45446.518275462964</v>
      </c>
      <c r="P207" s="3">
        <v>45446.518275462964</v>
      </c>
    </row>
    <row r="208">
      <c r="A208" s="1" t="s">
        <v>282</v>
      </c>
      <c r="B208" s="1" t="s">
        <v>17</v>
      </c>
      <c r="C208" s="1" t="s">
        <v>17</v>
      </c>
      <c r="D208" s="1" t="s">
        <v>17</v>
      </c>
      <c r="E208" s="1" t="s">
        <v>17</v>
      </c>
      <c r="F208" s="1" t="s">
        <v>17</v>
      </c>
      <c r="G208" s="4" t="str">
        <f>+54 9 3513 24-8496</f>
        <v>#ERROR!</v>
      </c>
      <c r="H208" s="1" t="s">
        <v>17</v>
      </c>
      <c r="I208" s="1">
        <v>0.0</v>
      </c>
      <c r="J208" s="1">
        <v>0.0</v>
      </c>
      <c r="K208" s="1" t="s">
        <v>17</v>
      </c>
      <c r="L208" s="1" t="s">
        <v>17</v>
      </c>
      <c r="M208" s="1" t="s">
        <v>17</v>
      </c>
      <c r="N208" s="1" t="s">
        <v>17</v>
      </c>
      <c r="O208" s="3">
        <v>45449.42130787037</v>
      </c>
      <c r="P208" s="3">
        <v>45449.42130787037</v>
      </c>
    </row>
    <row r="209">
      <c r="A209" s="1" t="s">
        <v>283</v>
      </c>
      <c r="B209" s="1" t="s">
        <v>17</v>
      </c>
      <c r="C209" s="1" t="s">
        <v>17</v>
      </c>
      <c r="D209" s="1" t="s">
        <v>17</v>
      </c>
      <c r="E209" s="1" t="s">
        <v>17</v>
      </c>
      <c r="F209" s="1" t="s">
        <v>17</v>
      </c>
      <c r="G209" s="4" t="str">
        <f>+54 9 3493 41-5315</f>
        <v>#ERROR!</v>
      </c>
      <c r="H209" s="1" t="s">
        <v>17</v>
      </c>
      <c r="I209" s="1">
        <v>0.0</v>
      </c>
      <c r="J209" s="1">
        <v>0.0</v>
      </c>
      <c r="K209" s="1" t="s">
        <v>17</v>
      </c>
      <c r="L209" s="1" t="s">
        <v>17</v>
      </c>
      <c r="M209" s="1" t="s">
        <v>17</v>
      </c>
      <c r="N209" s="1" t="s">
        <v>17</v>
      </c>
      <c r="O209" s="3">
        <v>45449.49765046296</v>
      </c>
      <c r="P209" s="3">
        <v>45449.49765046296</v>
      </c>
    </row>
    <row r="210">
      <c r="A210" s="1" t="s">
        <v>284</v>
      </c>
      <c r="B210" s="1" t="s">
        <v>17</v>
      </c>
      <c r="C210" s="1" t="s">
        <v>17</v>
      </c>
      <c r="D210" s="1" t="s">
        <v>17</v>
      </c>
      <c r="E210" s="1" t="s">
        <v>17</v>
      </c>
      <c r="F210" s="1" t="s">
        <v>17</v>
      </c>
      <c r="G210" s="1">
        <v>3.5415072117E10</v>
      </c>
      <c r="H210" s="1" t="s">
        <v>17</v>
      </c>
      <c r="I210" s="1">
        <v>0.0</v>
      </c>
      <c r="J210" s="1">
        <v>0.0</v>
      </c>
      <c r="K210" s="1" t="s">
        <v>17</v>
      </c>
      <c r="L210" s="1">
        <v>0.0</v>
      </c>
      <c r="M210" s="1" t="s">
        <v>17</v>
      </c>
      <c r="N210" s="1" t="s">
        <v>17</v>
      </c>
      <c r="O210" s="3">
        <v>45454.63266203704</v>
      </c>
      <c r="P210" s="3">
        <v>45454.63266203704</v>
      </c>
    </row>
    <row r="211">
      <c r="A211" s="1" t="s">
        <v>285</v>
      </c>
      <c r="B211" s="1" t="s">
        <v>17</v>
      </c>
      <c r="C211" s="1" t="s">
        <v>17</v>
      </c>
      <c r="D211" s="1" t="s">
        <v>17</v>
      </c>
      <c r="E211" s="1" t="s">
        <v>17</v>
      </c>
      <c r="F211" s="1" t="s">
        <v>17</v>
      </c>
      <c r="G211" s="1">
        <v>3.515529705E9</v>
      </c>
      <c r="H211" s="1" t="s">
        <v>17</v>
      </c>
      <c r="I211" s="1">
        <v>0.0</v>
      </c>
      <c r="J211" s="1">
        <v>0.0</v>
      </c>
      <c r="K211" s="1" t="s">
        <v>17</v>
      </c>
      <c r="L211" s="1" t="s">
        <v>17</v>
      </c>
      <c r="M211" s="1" t="s">
        <v>17</v>
      </c>
      <c r="N211" s="1" t="s">
        <v>17</v>
      </c>
      <c r="O211" s="3">
        <v>45455.427708333336</v>
      </c>
      <c r="P211" s="3">
        <v>45455.427708333336</v>
      </c>
    </row>
    <row r="212">
      <c r="A212" s="1" t="s">
        <v>286</v>
      </c>
      <c r="B212" s="1" t="s">
        <v>17</v>
      </c>
      <c r="C212" s="1" t="s">
        <v>17</v>
      </c>
      <c r="D212" s="1" t="s">
        <v>17</v>
      </c>
      <c r="E212" s="1" t="s">
        <v>17</v>
      </c>
      <c r="F212" s="1" t="s">
        <v>17</v>
      </c>
      <c r="G212" s="1">
        <v>3.513207274E9</v>
      </c>
      <c r="H212" s="1" t="s">
        <v>17</v>
      </c>
      <c r="I212" s="1">
        <v>0.0</v>
      </c>
      <c r="J212" s="1">
        <v>0.0</v>
      </c>
      <c r="K212" s="1" t="s">
        <v>17</v>
      </c>
      <c r="L212" s="1" t="s">
        <v>17</v>
      </c>
      <c r="M212" s="1" t="s">
        <v>17</v>
      </c>
      <c r="N212" s="1" t="s">
        <v>17</v>
      </c>
      <c r="O212" s="3">
        <v>45455.76724537037</v>
      </c>
      <c r="P212" s="3">
        <v>45455.76724537037</v>
      </c>
    </row>
    <row r="213">
      <c r="A213" s="1" t="s">
        <v>287</v>
      </c>
      <c r="B213" s="1" t="s">
        <v>17</v>
      </c>
      <c r="C213" s="1" t="s">
        <v>17</v>
      </c>
      <c r="D213" s="1" t="s">
        <v>17</v>
      </c>
      <c r="E213" s="1" t="s">
        <v>17</v>
      </c>
      <c r="F213" s="1" t="s">
        <v>17</v>
      </c>
      <c r="G213" s="1">
        <v>3.516842481E9</v>
      </c>
      <c r="H213" s="1" t="s">
        <v>17</v>
      </c>
      <c r="I213" s="1">
        <v>0.0</v>
      </c>
      <c r="J213" s="1">
        <v>0.0</v>
      </c>
      <c r="K213" s="1" t="s">
        <v>17</v>
      </c>
      <c r="L213" s="1" t="s">
        <v>17</v>
      </c>
      <c r="M213" s="1" t="s">
        <v>17</v>
      </c>
      <c r="N213" s="1" t="s">
        <v>17</v>
      </c>
      <c r="O213" s="3">
        <v>45457.38119212963</v>
      </c>
      <c r="P213" s="3">
        <v>45457.38119212963</v>
      </c>
    </row>
    <row r="214">
      <c r="A214" s="1" t="s">
        <v>288</v>
      </c>
      <c r="B214" s="1" t="s">
        <v>17</v>
      </c>
      <c r="C214" s="1" t="s">
        <v>17</v>
      </c>
      <c r="D214" s="1" t="s">
        <v>17</v>
      </c>
      <c r="E214" s="1" t="s">
        <v>17</v>
      </c>
      <c r="F214" s="1" t="s">
        <v>17</v>
      </c>
      <c r="G214" s="4" t="str">
        <f>+54 9 3515 95-7641</f>
        <v>#ERROR!</v>
      </c>
      <c r="H214" s="1" t="s">
        <v>17</v>
      </c>
      <c r="I214" s="1">
        <v>0.0</v>
      </c>
      <c r="J214" s="1">
        <v>0.0</v>
      </c>
      <c r="K214" s="1" t="s">
        <v>17</v>
      </c>
      <c r="L214" s="1" t="s">
        <v>17</v>
      </c>
      <c r="M214" s="1" t="s">
        <v>17</v>
      </c>
      <c r="N214" s="1" t="s">
        <v>17</v>
      </c>
      <c r="O214" s="3">
        <v>45457.63613425926</v>
      </c>
      <c r="P214" s="3">
        <v>45457.63613425926</v>
      </c>
    </row>
    <row r="215">
      <c r="A215" s="1" t="s">
        <v>289</v>
      </c>
      <c r="B215" s="1" t="s">
        <v>17</v>
      </c>
      <c r="C215" s="1" t="s">
        <v>17</v>
      </c>
      <c r="D215" s="1" t="s">
        <v>17</v>
      </c>
      <c r="E215" s="1" t="s">
        <v>17</v>
      </c>
      <c r="F215" s="1" t="s">
        <v>17</v>
      </c>
      <c r="G215" s="4" t="str">
        <f>+54 9 3513 20-7274</f>
        <v>#ERROR!</v>
      </c>
      <c r="H215" s="1" t="s">
        <v>17</v>
      </c>
      <c r="I215" s="1">
        <v>0.0</v>
      </c>
      <c r="J215" s="1">
        <v>0.0</v>
      </c>
      <c r="K215" s="1" t="s">
        <v>17</v>
      </c>
      <c r="L215" s="1" t="s">
        <v>17</v>
      </c>
      <c r="M215" s="1" t="s">
        <v>17</v>
      </c>
      <c r="N215" s="1" t="s">
        <v>17</v>
      </c>
      <c r="O215" s="3">
        <v>45457.646516203706</v>
      </c>
      <c r="P215" s="3">
        <v>45457.646516203706</v>
      </c>
    </row>
    <row r="216">
      <c r="A216" s="1" t="s">
        <v>290</v>
      </c>
      <c r="B216" s="1" t="s">
        <v>17</v>
      </c>
      <c r="C216" s="1" t="s">
        <v>17</v>
      </c>
      <c r="D216" s="1" t="s">
        <v>17</v>
      </c>
      <c r="E216" s="1" t="s">
        <v>17</v>
      </c>
      <c r="F216" s="1" t="s">
        <v>17</v>
      </c>
      <c r="G216" s="4" t="str">
        <f>+54 9 3515 07-2117</f>
        <v>#ERROR!</v>
      </c>
      <c r="H216" s="1" t="s">
        <v>17</v>
      </c>
      <c r="I216" s="1">
        <v>0.0</v>
      </c>
      <c r="J216" s="1">
        <v>0.0</v>
      </c>
      <c r="K216" s="1" t="s">
        <v>17</v>
      </c>
      <c r="L216" s="1" t="s">
        <v>17</v>
      </c>
      <c r="M216" s="1" t="s">
        <v>17</v>
      </c>
      <c r="N216" s="1" t="s">
        <v>17</v>
      </c>
      <c r="O216" s="3">
        <v>45457.653958333336</v>
      </c>
      <c r="P216" s="3">
        <v>45457.653958333336</v>
      </c>
    </row>
    <row r="217">
      <c r="A217" s="1" t="s">
        <v>291</v>
      </c>
      <c r="B217" s="1" t="s">
        <v>17</v>
      </c>
      <c r="C217" s="1" t="s">
        <v>17</v>
      </c>
      <c r="D217" s="1" t="s">
        <v>17</v>
      </c>
      <c r="E217" s="1" t="s">
        <v>17</v>
      </c>
      <c r="F217" s="1" t="s">
        <v>17</v>
      </c>
      <c r="G217" s="4" t="str">
        <f>+54 9 3515 52-9705</f>
        <v>#ERROR!</v>
      </c>
      <c r="H217" s="1" t="s">
        <v>17</v>
      </c>
      <c r="I217" s="1">
        <v>0.0</v>
      </c>
      <c r="J217" s="1">
        <v>0.0</v>
      </c>
      <c r="K217" s="1" t="s">
        <v>17</v>
      </c>
      <c r="L217" s="1" t="s">
        <v>17</v>
      </c>
      <c r="M217" s="1" t="s">
        <v>17</v>
      </c>
      <c r="N217" s="1" t="s">
        <v>17</v>
      </c>
      <c r="O217" s="3">
        <v>45457.667858796296</v>
      </c>
      <c r="P217" s="3">
        <v>45457.667858796296</v>
      </c>
    </row>
    <row r="218">
      <c r="A218" s="1" t="s">
        <v>292</v>
      </c>
      <c r="B218" s="1" t="s">
        <v>17</v>
      </c>
      <c r="C218" s="1" t="s">
        <v>17</v>
      </c>
      <c r="D218" s="1" t="s">
        <v>17</v>
      </c>
      <c r="E218" s="1" t="s">
        <v>17</v>
      </c>
      <c r="F218" s="1" t="s">
        <v>17</v>
      </c>
      <c r="G218" s="4" t="str">
        <f>+54 9 2216 69-9436</f>
        <v>#ERROR!</v>
      </c>
      <c r="H218" s="1" t="s">
        <v>17</v>
      </c>
      <c r="I218" s="1">
        <v>0.0</v>
      </c>
      <c r="J218" s="1">
        <v>0.0</v>
      </c>
      <c r="K218" s="1" t="s">
        <v>17</v>
      </c>
      <c r="L218" s="1" t="s">
        <v>17</v>
      </c>
      <c r="M218" s="1" t="s">
        <v>17</v>
      </c>
      <c r="N218" s="1" t="s">
        <v>17</v>
      </c>
      <c r="O218" s="3">
        <v>45457.68435185185</v>
      </c>
      <c r="P218" s="3">
        <v>45457.68435185185</v>
      </c>
    </row>
    <row r="219">
      <c r="A219" s="1" t="s">
        <v>293</v>
      </c>
      <c r="B219" s="1" t="s">
        <v>17</v>
      </c>
      <c r="C219" s="1" t="s">
        <v>17</v>
      </c>
      <c r="D219" s="1" t="s">
        <v>17</v>
      </c>
      <c r="E219" s="1" t="s">
        <v>17</v>
      </c>
      <c r="F219" s="1" t="s">
        <v>17</v>
      </c>
      <c r="G219" s="4" t="str">
        <f>+54 9 2216 69-9436</f>
        <v>#ERROR!</v>
      </c>
      <c r="H219" s="1" t="s">
        <v>17</v>
      </c>
      <c r="I219" s="1">
        <v>0.0</v>
      </c>
      <c r="J219" s="1">
        <v>0.0</v>
      </c>
      <c r="K219" s="1" t="s">
        <v>17</v>
      </c>
      <c r="L219" s="1" t="s">
        <v>17</v>
      </c>
      <c r="M219" s="1" t="s">
        <v>17</v>
      </c>
      <c r="N219" s="1" t="s">
        <v>17</v>
      </c>
      <c r="O219" s="3">
        <v>45457.68515046296</v>
      </c>
      <c r="P219" s="3">
        <v>45457.68515046296</v>
      </c>
    </row>
    <row r="220">
      <c r="A220" s="1" t="s">
        <v>294</v>
      </c>
      <c r="B220" s="1" t="s">
        <v>17</v>
      </c>
      <c r="C220" s="1" t="s">
        <v>17</v>
      </c>
      <c r="D220" s="1" t="s">
        <v>17</v>
      </c>
      <c r="E220" s="1" t="s">
        <v>17</v>
      </c>
      <c r="F220" s="1" t="s">
        <v>17</v>
      </c>
      <c r="G220" s="4" t="str">
        <f>+54 9 3491 41-1245</f>
        <v>#ERROR!</v>
      </c>
      <c r="H220" s="1" t="s">
        <v>17</v>
      </c>
      <c r="I220" s="1">
        <v>0.0</v>
      </c>
      <c r="J220" s="1">
        <v>0.0</v>
      </c>
      <c r="K220" s="1" t="s">
        <v>17</v>
      </c>
      <c r="L220" s="1" t="s">
        <v>17</v>
      </c>
      <c r="M220" s="1" t="s">
        <v>17</v>
      </c>
      <c r="N220" s="1" t="s">
        <v>17</v>
      </c>
      <c r="O220" s="3">
        <v>45457.691875</v>
      </c>
      <c r="P220" s="3">
        <v>45457.691875</v>
      </c>
    </row>
    <row r="221">
      <c r="A221" s="1" t="s">
        <v>295</v>
      </c>
      <c r="B221" s="1" t="s">
        <v>17</v>
      </c>
      <c r="C221" s="1" t="s">
        <v>17</v>
      </c>
      <c r="D221" s="1" t="s">
        <v>17</v>
      </c>
      <c r="E221" s="1" t="s">
        <v>17</v>
      </c>
      <c r="F221" s="1" t="s">
        <v>17</v>
      </c>
      <c r="G221" s="4" t="str">
        <f>+54 9 3524 43-1100</f>
        <v>#ERROR!</v>
      </c>
      <c r="H221" s="1" t="s">
        <v>17</v>
      </c>
      <c r="I221" s="1">
        <v>0.0</v>
      </c>
      <c r="J221" s="1">
        <v>0.0</v>
      </c>
      <c r="K221" s="1" t="s">
        <v>17</v>
      </c>
      <c r="L221" s="1" t="s">
        <v>17</v>
      </c>
      <c r="M221" s="1" t="s">
        <v>17</v>
      </c>
      <c r="N221" s="1" t="s">
        <v>17</v>
      </c>
      <c r="O221" s="3">
        <v>45462.76060185185</v>
      </c>
      <c r="P221" s="3">
        <v>45462.76060185185</v>
      </c>
    </row>
    <row r="222">
      <c r="A222" s="1" t="s">
        <v>296</v>
      </c>
      <c r="B222" s="1" t="s">
        <v>17</v>
      </c>
      <c r="C222" s="1" t="s">
        <v>17</v>
      </c>
      <c r="D222" s="1" t="s">
        <v>17</v>
      </c>
      <c r="E222" s="1" t="s">
        <v>17</v>
      </c>
      <c r="F222" s="1" t="s">
        <v>17</v>
      </c>
      <c r="G222" s="1">
        <v>3.513874103E9</v>
      </c>
      <c r="H222" s="1" t="s">
        <v>17</v>
      </c>
      <c r="I222" s="1">
        <v>0.0</v>
      </c>
      <c r="J222" s="1">
        <v>0.0</v>
      </c>
      <c r="K222" s="1" t="s">
        <v>17</v>
      </c>
      <c r="L222" s="1" t="s">
        <v>17</v>
      </c>
      <c r="M222" s="1" t="s">
        <v>17</v>
      </c>
      <c r="N222" s="1" t="s">
        <v>17</v>
      </c>
      <c r="O222" s="3">
        <v>45464.64289351852</v>
      </c>
      <c r="P222" s="3">
        <v>45464.64289351852</v>
      </c>
    </row>
    <row r="223">
      <c r="A223" s="1" t="s">
        <v>297</v>
      </c>
      <c r="B223" s="1" t="s">
        <v>17</v>
      </c>
      <c r="C223" s="1" t="s">
        <v>17</v>
      </c>
      <c r="D223" s="1" t="s">
        <v>17</v>
      </c>
      <c r="E223" s="1" t="s">
        <v>17</v>
      </c>
      <c r="F223" s="1" t="s">
        <v>17</v>
      </c>
      <c r="G223" s="4" t="str">
        <f>+54 9 3874 42-6600</f>
        <v>#ERROR!</v>
      </c>
      <c r="H223" s="1" t="s">
        <v>17</v>
      </c>
      <c r="I223" s="1">
        <v>0.0</v>
      </c>
      <c r="J223" s="1">
        <v>0.0</v>
      </c>
      <c r="K223" s="1" t="s">
        <v>17</v>
      </c>
      <c r="L223" s="1" t="s">
        <v>17</v>
      </c>
      <c r="M223" s="1" t="s">
        <v>17</v>
      </c>
      <c r="N223" s="1" t="s">
        <v>17</v>
      </c>
      <c r="O223" s="3">
        <v>45465.51335648148</v>
      </c>
      <c r="P223" s="3">
        <v>45465.51335648148</v>
      </c>
    </row>
    <row r="224">
      <c r="A224" s="1" t="s">
        <v>298</v>
      </c>
      <c r="B224" s="1" t="s">
        <v>17</v>
      </c>
      <c r="C224" s="1" t="s">
        <v>17</v>
      </c>
      <c r="D224" s="1" t="s">
        <v>17</v>
      </c>
      <c r="E224" s="1" t="s">
        <v>17</v>
      </c>
      <c r="F224" s="1" t="s">
        <v>17</v>
      </c>
      <c r="G224" s="4" t="str">
        <f>+54 9 11 3588-3910</f>
        <v>#ERROR!</v>
      </c>
      <c r="H224" s="1" t="s">
        <v>17</v>
      </c>
      <c r="I224" s="1">
        <v>0.0</v>
      </c>
      <c r="J224" s="1">
        <v>0.0</v>
      </c>
      <c r="K224" s="1" t="s">
        <v>17</v>
      </c>
      <c r="L224" s="1" t="s">
        <v>17</v>
      </c>
      <c r="M224" s="1" t="s">
        <v>17</v>
      </c>
      <c r="N224" s="1" t="s">
        <v>17</v>
      </c>
      <c r="O224" s="3">
        <v>45465.52122685185</v>
      </c>
      <c r="P224" s="3">
        <v>45465.52122685185</v>
      </c>
    </row>
    <row r="225">
      <c r="A225" s="1" t="s">
        <v>299</v>
      </c>
      <c r="B225" s="1" t="s">
        <v>17</v>
      </c>
      <c r="C225" s="1" t="s">
        <v>17</v>
      </c>
      <c r="D225" s="1" t="s">
        <v>17</v>
      </c>
      <c r="E225" s="1" t="s">
        <v>17</v>
      </c>
      <c r="F225" s="1" t="s">
        <v>17</v>
      </c>
      <c r="G225" s="4" t="str">
        <f>+54 9 2604 66-9125</f>
        <v>#ERROR!</v>
      </c>
      <c r="H225" s="1" t="s">
        <v>17</v>
      </c>
      <c r="I225" s="1">
        <v>0.0</v>
      </c>
      <c r="J225" s="1">
        <v>0.0</v>
      </c>
      <c r="K225" s="1" t="s">
        <v>17</v>
      </c>
      <c r="L225" s="1" t="s">
        <v>17</v>
      </c>
      <c r="M225" s="1" t="s">
        <v>17</v>
      </c>
      <c r="N225" s="1" t="s">
        <v>17</v>
      </c>
      <c r="O225" s="3">
        <v>45469.74711805556</v>
      </c>
      <c r="P225" s="3">
        <v>45469.74711805556</v>
      </c>
    </row>
    <row r="226">
      <c r="A226" s="1" t="s">
        <v>300</v>
      </c>
      <c r="B226" s="1" t="s">
        <v>17</v>
      </c>
      <c r="C226" s="1" t="s">
        <v>17</v>
      </c>
      <c r="D226" s="1" t="s">
        <v>17</v>
      </c>
      <c r="E226" s="1" t="s">
        <v>17</v>
      </c>
      <c r="F226" s="1" t="s">
        <v>17</v>
      </c>
      <c r="G226" s="4" t="str">
        <f>+54 9 3751 66-4188</f>
        <v>#ERROR!</v>
      </c>
      <c r="H226" s="1" t="s">
        <v>17</v>
      </c>
      <c r="I226" s="1">
        <v>0.0</v>
      </c>
      <c r="J226" s="1">
        <v>0.0</v>
      </c>
      <c r="K226" s="1" t="s">
        <v>17</v>
      </c>
      <c r="L226" s="1" t="s">
        <v>17</v>
      </c>
      <c r="M226" s="1" t="s">
        <v>17</v>
      </c>
      <c r="N226" s="1" t="s">
        <v>17</v>
      </c>
      <c r="O226" s="3">
        <v>45471.593356481484</v>
      </c>
      <c r="P226" s="3">
        <v>45471.593356481484</v>
      </c>
    </row>
    <row r="227">
      <c r="A227" s="1" t="s">
        <v>301</v>
      </c>
      <c r="B227" s="1" t="s">
        <v>17</v>
      </c>
      <c r="C227" s="1" t="s">
        <v>17</v>
      </c>
      <c r="D227" s="1" t="s">
        <v>17</v>
      </c>
      <c r="E227" s="1" t="s">
        <v>17</v>
      </c>
      <c r="F227" s="1" t="s">
        <v>17</v>
      </c>
      <c r="G227" s="4" t="str">
        <f>+54 9 3751 66-4188</f>
        <v>#ERROR!</v>
      </c>
      <c r="H227" s="1" t="s">
        <v>17</v>
      </c>
      <c r="I227" s="1">
        <v>0.0</v>
      </c>
      <c r="J227" s="1">
        <v>0.0</v>
      </c>
      <c r="K227" s="1" t="s">
        <v>17</v>
      </c>
      <c r="L227" s="1" t="s">
        <v>17</v>
      </c>
      <c r="M227" s="1" t="s">
        <v>17</v>
      </c>
      <c r="N227" s="1" t="s">
        <v>17</v>
      </c>
      <c r="O227" s="3">
        <v>45471.59391203704</v>
      </c>
      <c r="P227" s="3">
        <v>45471.59391203704</v>
      </c>
    </row>
    <row r="228">
      <c r="A228" s="1" t="s">
        <v>302</v>
      </c>
      <c r="B228" s="1" t="s">
        <v>17</v>
      </c>
      <c r="C228" s="1" t="s">
        <v>17</v>
      </c>
      <c r="D228" s="1" t="s">
        <v>17</v>
      </c>
      <c r="E228" s="1" t="s">
        <v>17</v>
      </c>
      <c r="F228" s="1" t="s">
        <v>17</v>
      </c>
      <c r="G228" s="1">
        <v>3.541374536E9</v>
      </c>
      <c r="H228" s="1" t="s">
        <v>17</v>
      </c>
      <c r="I228" s="1">
        <v>0.0</v>
      </c>
      <c r="J228" s="1">
        <v>0.0</v>
      </c>
      <c r="K228" s="1" t="s">
        <v>17</v>
      </c>
      <c r="L228" s="1" t="s">
        <v>17</v>
      </c>
      <c r="M228" s="1" t="s">
        <v>17</v>
      </c>
      <c r="N228" s="1" t="s">
        <v>17</v>
      </c>
      <c r="O228" s="3">
        <v>45472.4966087963</v>
      </c>
      <c r="P228" s="3">
        <v>45472.4966087963</v>
      </c>
    </row>
    <row r="229">
      <c r="A229" s="1" t="s">
        <v>303</v>
      </c>
      <c r="B229" s="1" t="s">
        <v>17</v>
      </c>
      <c r="C229" s="1" t="s">
        <v>17</v>
      </c>
      <c r="D229" s="1" t="s">
        <v>17</v>
      </c>
      <c r="E229" s="1" t="s">
        <v>17</v>
      </c>
      <c r="F229" s="1" t="s">
        <v>17</v>
      </c>
      <c r="G229" s="4" t="str">
        <f>+54 9 3517 53-6689</f>
        <v>#ERROR!</v>
      </c>
      <c r="H229" s="1" t="s">
        <v>17</v>
      </c>
      <c r="I229" s="1">
        <v>0.0</v>
      </c>
      <c r="J229" s="1">
        <v>0.0</v>
      </c>
      <c r="K229" s="1" t="s">
        <v>17</v>
      </c>
      <c r="L229" s="1" t="s">
        <v>17</v>
      </c>
      <c r="M229" s="1" t="s">
        <v>17</v>
      </c>
      <c r="N229" s="1" t="s">
        <v>17</v>
      </c>
      <c r="O229" s="3">
        <v>45472.53975694445</v>
      </c>
      <c r="P229" s="3">
        <v>45472.53975694445</v>
      </c>
    </row>
    <row r="230">
      <c r="A230" s="1" t="s">
        <v>304</v>
      </c>
      <c r="B230" s="1" t="s">
        <v>17</v>
      </c>
      <c r="C230" s="1" t="s">
        <v>17</v>
      </c>
      <c r="D230" s="1" t="s">
        <v>17</v>
      </c>
      <c r="E230" s="1" t="s">
        <v>17</v>
      </c>
      <c r="F230" s="1" t="s">
        <v>17</v>
      </c>
      <c r="G230" s="1">
        <v>3.516151729E9</v>
      </c>
      <c r="H230" s="1" t="s">
        <v>17</v>
      </c>
      <c r="I230" s="1">
        <v>0.0</v>
      </c>
      <c r="J230" s="1">
        <v>0.0</v>
      </c>
      <c r="K230" s="1" t="s">
        <v>17</v>
      </c>
      <c r="L230" s="1" t="s">
        <v>17</v>
      </c>
      <c r="M230" s="1" t="s">
        <v>17</v>
      </c>
      <c r="N230" s="1" t="s">
        <v>17</v>
      </c>
      <c r="O230" s="3">
        <v>45474.509722222225</v>
      </c>
      <c r="P230" s="3">
        <v>45474.509722222225</v>
      </c>
    </row>
    <row r="231">
      <c r="A231" s="1" t="s">
        <v>305</v>
      </c>
      <c r="B231" s="1" t="s">
        <v>17</v>
      </c>
      <c r="C231" s="1" t="s">
        <v>17</v>
      </c>
      <c r="D231" s="1" t="s">
        <v>17</v>
      </c>
      <c r="E231" s="1" t="s">
        <v>17</v>
      </c>
      <c r="F231" s="1" t="s">
        <v>17</v>
      </c>
      <c r="G231" s="4" t="str">
        <f>+54 9 3543 53-7864</f>
        <v>#ERROR!</v>
      </c>
      <c r="H231" s="1" t="s">
        <v>17</v>
      </c>
      <c r="I231" s="1">
        <v>0.0</v>
      </c>
      <c r="J231" s="1">
        <v>0.0</v>
      </c>
      <c r="K231" s="1" t="s">
        <v>17</v>
      </c>
      <c r="L231" s="1" t="s">
        <v>17</v>
      </c>
      <c r="M231" s="1" t="s">
        <v>17</v>
      </c>
      <c r="N231" s="1" t="s">
        <v>17</v>
      </c>
      <c r="O231" s="3">
        <v>45475.634467592594</v>
      </c>
      <c r="P231" s="3">
        <v>45475.634467592594</v>
      </c>
    </row>
    <row r="232">
      <c r="A232" s="1" t="s">
        <v>306</v>
      </c>
      <c r="B232" s="1" t="s">
        <v>17</v>
      </c>
      <c r="C232" s="1" t="s">
        <v>17</v>
      </c>
      <c r="D232" s="1" t="s">
        <v>17</v>
      </c>
      <c r="E232" s="1" t="s">
        <v>17</v>
      </c>
      <c r="F232" s="1" t="s">
        <v>17</v>
      </c>
      <c r="G232" s="4" t="str">
        <f>+54 9 3515 64-1302</f>
        <v>#ERROR!</v>
      </c>
      <c r="H232" s="1" t="s">
        <v>17</v>
      </c>
      <c r="I232" s="1">
        <v>0.0</v>
      </c>
      <c r="J232" s="1">
        <v>0.0</v>
      </c>
      <c r="K232" s="1" t="s">
        <v>17</v>
      </c>
      <c r="L232" s="1" t="s">
        <v>17</v>
      </c>
      <c r="M232" s="1" t="s">
        <v>17</v>
      </c>
      <c r="N232" s="1" t="s">
        <v>17</v>
      </c>
      <c r="O232" s="3">
        <v>45477.4756712963</v>
      </c>
      <c r="P232" s="3">
        <v>45477.4756712963</v>
      </c>
    </row>
    <row r="233">
      <c r="A233" s="1" t="s">
        <v>307</v>
      </c>
      <c r="B233" s="1" t="s">
        <v>17</v>
      </c>
      <c r="C233" s="1" t="s">
        <v>17</v>
      </c>
      <c r="D233" s="1" t="s">
        <v>17</v>
      </c>
      <c r="E233" s="1" t="s">
        <v>17</v>
      </c>
      <c r="F233" s="1" t="s">
        <v>17</v>
      </c>
      <c r="G233" s="1">
        <v>3.517528036E9</v>
      </c>
      <c r="H233" s="1" t="s">
        <v>17</v>
      </c>
      <c r="I233" s="1">
        <v>0.0</v>
      </c>
      <c r="J233" s="1">
        <v>0.0</v>
      </c>
      <c r="K233" s="1" t="s">
        <v>17</v>
      </c>
      <c r="L233" s="1" t="s">
        <v>17</v>
      </c>
      <c r="M233" s="1" t="s">
        <v>17</v>
      </c>
      <c r="N233" s="1" t="s">
        <v>17</v>
      </c>
      <c r="O233" s="3">
        <v>45478.3962962963</v>
      </c>
      <c r="P233" s="3">
        <v>45478.3962962963</v>
      </c>
    </row>
    <row r="234">
      <c r="A234" s="1" t="s">
        <v>308</v>
      </c>
      <c r="B234" s="1" t="s">
        <v>17</v>
      </c>
      <c r="C234" s="1" t="s">
        <v>17</v>
      </c>
      <c r="D234" s="1" t="s">
        <v>17</v>
      </c>
      <c r="E234" s="1" t="s">
        <v>17</v>
      </c>
      <c r="F234" s="1" t="s">
        <v>17</v>
      </c>
      <c r="G234" s="4" t="str">
        <f>+54 9 3517 52-8036</f>
        <v>#ERROR!</v>
      </c>
      <c r="H234" s="1" t="s">
        <v>17</v>
      </c>
      <c r="I234" s="1">
        <v>0.0</v>
      </c>
      <c r="J234" s="1">
        <v>0.0</v>
      </c>
      <c r="K234" s="1" t="s">
        <v>17</v>
      </c>
      <c r="L234" s="1" t="s">
        <v>17</v>
      </c>
      <c r="M234" s="1" t="s">
        <v>17</v>
      </c>
      <c r="N234" s="1" t="s">
        <v>17</v>
      </c>
      <c r="O234" s="3">
        <v>45478.42873842592</v>
      </c>
      <c r="P234" s="3">
        <v>45478.42873842592</v>
      </c>
    </row>
    <row r="235">
      <c r="A235" s="1" t="s">
        <v>309</v>
      </c>
      <c r="B235" s="1" t="s">
        <v>17</v>
      </c>
      <c r="C235" s="1" t="s">
        <v>17</v>
      </c>
      <c r="D235" s="1" t="s">
        <v>17</v>
      </c>
      <c r="E235" s="1" t="s">
        <v>17</v>
      </c>
      <c r="F235" s="1" t="s">
        <v>17</v>
      </c>
      <c r="G235" s="4" t="str">
        <f>+54 9 3512 09-0545</f>
        <v>#ERROR!</v>
      </c>
      <c r="H235" s="1" t="s">
        <v>17</v>
      </c>
      <c r="I235" s="1">
        <v>0.0</v>
      </c>
      <c r="J235" s="1">
        <v>0.0</v>
      </c>
      <c r="K235" s="1" t="s">
        <v>17</v>
      </c>
      <c r="L235" s="1" t="s">
        <v>17</v>
      </c>
      <c r="M235" s="1" t="s">
        <v>17</v>
      </c>
      <c r="N235" s="1" t="s">
        <v>17</v>
      </c>
      <c r="O235" s="3">
        <v>45478.543958333335</v>
      </c>
      <c r="P235" s="3">
        <v>45478.543958333335</v>
      </c>
    </row>
    <row r="236">
      <c r="A236" s="1" t="s">
        <v>310</v>
      </c>
      <c r="B236" s="1" t="s">
        <v>17</v>
      </c>
      <c r="C236" s="1" t="s">
        <v>17</v>
      </c>
      <c r="D236" s="1" t="s">
        <v>17</v>
      </c>
      <c r="E236" s="1" t="s">
        <v>17</v>
      </c>
      <c r="F236" s="1" t="s">
        <v>17</v>
      </c>
      <c r="G236" s="4" t="str">
        <f>+54 9 3512 09-0545</f>
        <v>#ERROR!</v>
      </c>
      <c r="H236" s="1" t="s">
        <v>17</v>
      </c>
      <c r="I236" s="1">
        <v>0.0</v>
      </c>
      <c r="J236" s="1">
        <v>0.0</v>
      </c>
      <c r="K236" s="1" t="s">
        <v>17</v>
      </c>
      <c r="L236" s="1" t="s">
        <v>17</v>
      </c>
      <c r="M236" s="1" t="s">
        <v>17</v>
      </c>
      <c r="N236" s="1" t="s">
        <v>17</v>
      </c>
      <c r="O236" s="3">
        <v>45478.54462962963</v>
      </c>
      <c r="P236" s="3">
        <v>45478.54462962963</v>
      </c>
    </row>
    <row r="237">
      <c r="A237" s="1" t="s">
        <v>311</v>
      </c>
      <c r="B237" s="1" t="s">
        <v>17</v>
      </c>
      <c r="C237" s="1" t="s">
        <v>17</v>
      </c>
      <c r="D237" s="1" t="s">
        <v>17</v>
      </c>
      <c r="E237" s="1" t="s">
        <v>17</v>
      </c>
      <c r="F237" s="1" t="s">
        <v>17</v>
      </c>
      <c r="G237" s="4" t="str">
        <f>+54 9 3547 50-0763</f>
        <v>#ERROR!</v>
      </c>
      <c r="H237" s="1" t="s">
        <v>17</v>
      </c>
      <c r="I237" s="1">
        <v>0.0</v>
      </c>
      <c r="J237" s="1">
        <v>0.0</v>
      </c>
      <c r="K237" s="1" t="s">
        <v>17</v>
      </c>
      <c r="L237" s="1" t="s">
        <v>17</v>
      </c>
      <c r="M237" s="1" t="s">
        <v>17</v>
      </c>
      <c r="N237" s="1" t="s">
        <v>17</v>
      </c>
      <c r="O237" s="3">
        <v>45484.453993055555</v>
      </c>
      <c r="P237" s="3">
        <v>45484.453993055555</v>
      </c>
    </row>
    <row r="238">
      <c r="A238" s="1" t="s">
        <v>312</v>
      </c>
      <c r="B238" s="1" t="s">
        <v>17</v>
      </c>
      <c r="C238" s="1" t="s">
        <v>17</v>
      </c>
      <c r="D238" s="1" t="s">
        <v>17</v>
      </c>
      <c r="E238" s="1" t="s">
        <v>17</v>
      </c>
      <c r="F238" s="1" t="s">
        <v>17</v>
      </c>
      <c r="G238" s="4" t="str">
        <f>+54 9 3516 15-1729</f>
        <v>#ERROR!</v>
      </c>
      <c r="H238" s="1" t="s">
        <v>17</v>
      </c>
      <c r="I238" s="1">
        <v>0.0</v>
      </c>
      <c r="J238" s="1">
        <v>0.0</v>
      </c>
      <c r="K238" s="1" t="s">
        <v>17</v>
      </c>
      <c r="L238" s="1" t="s">
        <v>17</v>
      </c>
      <c r="M238" s="1" t="s">
        <v>17</v>
      </c>
      <c r="N238" s="1" t="s">
        <v>17</v>
      </c>
      <c r="O238" s="3">
        <v>45484.527233796296</v>
      </c>
      <c r="P238" s="3">
        <v>45484.527233796296</v>
      </c>
    </row>
    <row r="239">
      <c r="A239" s="1" t="s">
        <v>313</v>
      </c>
      <c r="B239" s="1" t="s">
        <v>17</v>
      </c>
      <c r="C239" s="1" t="s">
        <v>17</v>
      </c>
      <c r="D239" s="1" t="s">
        <v>17</v>
      </c>
      <c r="E239" s="1" t="s">
        <v>17</v>
      </c>
      <c r="F239" s="1" t="s">
        <v>17</v>
      </c>
      <c r="G239" s="1">
        <v>3.544591382E9</v>
      </c>
      <c r="H239" s="1" t="s">
        <v>17</v>
      </c>
      <c r="I239" s="1">
        <v>0.0</v>
      </c>
      <c r="J239" s="1">
        <v>0.0</v>
      </c>
      <c r="K239" s="1" t="s">
        <v>17</v>
      </c>
      <c r="L239" s="1" t="s">
        <v>17</v>
      </c>
      <c r="M239" s="1" t="s">
        <v>17</v>
      </c>
      <c r="N239" s="1" t="s">
        <v>17</v>
      </c>
      <c r="O239" s="3">
        <v>45491.51452546296</v>
      </c>
      <c r="P239" s="3">
        <v>45491.51452546296</v>
      </c>
    </row>
    <row r="240">
      <c r="A240" s="1" t="s">
        <v>314</v>
      </c>
      <c r="B240" s="1" t="s">
        <v>17</v>
      </c>
      <c r="C240" s="1" t="s">
        <v>17</v>
      </c>
      <c r="D240" s="1" t="s">
        <v>17</v>
      </c>
      <c r="E240" s="1" t="s">
        <v>17</v>
      </c>
      <c r="F240" s="1" t="s">
        <v>17</v>
      </c>
      <c r="G240" s="4" t="str">
        <f>+54 9 3544 59-1382</f>
        <v>#ERROR!</v>
      </c>
      <c r="H240" s="1" t="s">
        <v>17</v>
      </c>
      <c r="I240" s="1">
        <v>0.0</v>
      </c>
      <c r="J240" s="1">
        <v>0.0</v>
      </c>
      <c r="K240" s="1" t="s">
        <v>17</v>
      </c>
      <c r="L240" s="1" t="s">
        <v>17</v>
      </c>
      <c r="M240" s="1" t="s">
        <v>17</v>
      </c>
      <c r="N240" s="1" t="s">
        <v>17</v>
      </c>
      <c r="O240" s="3">
        <v>45491.69415509259</v>
      </c>
      <c r="P240" s="3">
        <v>45491.69415509259</v>
      </c>
    </row>
    <row r="241">
      <c r="A241" s="1" t="s">
        <v>315</v>
      </c>
      <c r="B241" s="1" t="s">
        <v>17</v>
      </c>
      <c r="C241" s="1" t="s">
        <v>17</v>
      </c>
      <c r="D241" s="1" t="s">
        <v>17</v>
      </c>
      <c r="E241" s="1" t="s">
        <v>17</v>
      </c>
      <c r="F241" s="1" t="s">
        <v>17</v>
      </c>
      <c r="G241" s="4" t="str">
        <f>+54 9 3517 72-2106</f>
        <v>#ERROR!</v>
      </c>
      <c r="H241" s="1" t="s">
        <v>17</v>
      </c>
      <c r="I241" s="1">
        <v>0.0</v>
      </c>
      <c r="J241" s="1">
        <v>0.0</v>
      </c>
      <c r="K241" s="1" t="s">
        <v>17</v>
      </c>
      <c r="L241" s="1" t="s">
        <v>17</v>
      </c>
      <c r="M241" s="1" t="s">
        <v>17</v>
      </c>
      <c r="N241" s="1" t="s">
        <v>17</v>
      </c>
      <c r="O241" s="3">
        <v>45491.69704861111</v>
      </c>
      <c r="P241" s="3">
        <v>45491.69704861111</v>
      </c>
    </row>
    <row r="242">
      <c r="A242" s="1" t="s">
        <v>316</v>
      </c>
      <c r="B242" s="1" t="s">
        <v>17</v>
      </c>
      <c r="C242" s="1" t="s">
        <v>17</v>
      </c>
      <c r="D242" s="1" t="s">
        <v>17</v>
      </c>
      <c r="E242" s="1" t="s">
        <v>17</v>
      </c>
      <c r="F242" s="1" t="s">
        <v>17</v>
      </c>
      <c r="G242" s="4" t="str">
        <f>+54 9 3515 52-4804</f>
        <v>#ERROR!</v>
      </c>
      <c r="H242" s="1" t="s">
        <v>17</v>
      </c>
      <c r="I242" s="1">
        <v>0.0</v>
      </c>
      <c r="J242" s="1">
        <v>0.0</v>
      </c>
      <c r="K242" s="1" t="s">
        <v>17</v>
      </c>
      <c r="L242" s="1" t="s">
        <v>17</v>
      </c>
      <c r="M242" s="1" t="s">
        <v>17</v>
      </c>
      <c r="N242" s="1" t="s">
        <v>17</v>
      </c>
      <c r="O242" s="3">
        <v>45491.745416666665</v>
      </c>
      <c r="P242" s="3">
        <v>45491.745416666665</v>
      </c>
    </row>
    <row r="243">
      <c r="A243" s="1" t="s">
        <v>317</v>
      </c>
      <c r="B243" s="1" t="s">
        <v>17</v>
      </c>
      <c r="C243" s="1" t="s">
        <v>17</v>
      </c>
      <c r="D243" s="1" t="s">
        <v>17</v>
      </c>
      <c r="E243" s="1" t="s">
        <v>17</v>
      </c>
      <c r="F243" s="1" t="s">
        <v>17</v>
      </c>
      <c r="G243" s="4" t="str">
        <f>+54 9 3516 53-7845</f>
        <v>#ERROR!</v>
      </c>
      <c r="H243" s="1" t="s">
        <v>17</v>
      </c>
      <c r="I243" s="1">
        <v>0.0</v>
      </c>
      <c r="J243" s="1">
        <v>0.0</v>
      </c>
      <c r="K243" s="1" t="s">
        <v>17</v>
      </c>
      <c r="L243" s="1" t="s">
        <v>17</v>
      </c>
      <c r="M243" s="1" t="s">
        <v>17</v>
      </c>
      <c r="N243" s="1" t="s">
        <v>17</v>
      </c>
      <c r="O243" s="3">
        <v>45491.75947916666</v>
      </c>
      <c r="P243" s="3">
        <v>45491.75947916666</v>
      </c>
    </row>
    <row r="244">
      <c r="A244" s="1" t="s">
        <v>318</v>
      </c>
      <c r="B244" s="1" t="s">
        <v>17</v>
      </c>
      <c r="C244" s="1" t="s">
        <v>17</v>
      </c>
      <c r="D244" s="1" t="s">
        <v>17</v>
      </c>
      <c r="E244" s="1" t="s">
        <v>17</v>
      </c>
      <c r="F244" s="1" t="s">
        <v>17</v>
      </c>
      <c r="G244" s="4" t="str">
        <f>+54 9 3514 08-7824</f>
        <v>#ERROR!</v>
      </c>
      <c r="H244" s="1" t="s">
        <v>17</v>
      </c>
      <c r="I244" s="1">
        <v>0.0</v>
      </c>
      <c r="J244" s="1">
        <v>0.0</v>
      </c>
      <c r="K244" s="1" t="s">
        <v>17</v>
      </c>
      <c r="L244" s="1" t="s">
        <v>17</v>
      </c>
      <c r="M244" s="1" t="s">
        <v>17</v>
      </c>
      <c r="N244" s="1" t="s">
        <v>17</v>
      </c>
      <c r="O244" s="3">
        <v>45491.813263888886</v>
      </c>
      <c r="P244" s="3">
        <v>45491.813263888886</v>
      </c>
    </row>
    <row r="245">
      <c r="A245" s="1" t="s">
        <v>319</v>
      </c>
      <c r="B245" s="1" t="s">
        <v>17</v>
      </c>
      <c r="C245" s="1" t="s">
        <v>17</v>
      </c>
      <c r="D245" s="1" t="s">
        <v>17</v>
      </c>
      <c r="E245" s="1" t="s">
        <v>17</v>
      </c>
      <c r="F245" s="1" t="s">
        <v>17</v>
      </c>
      <c r="G245" s="4" t="str">
        <f>+54 9 3516 81-2220</f>
        <v>#ERROR!</v>
      </c>
      <c r="H245" s="1" t="s">
        <v>17</v>
      </c>
      <c r="I245" s="1">
        <v>0.0</v>
      </c>
      <c r="J245" s="1">
        <v>0.0</v>
      </c>
      <c r="K245" s="1" t="s">
        <v>17</v>
      </c>
      <c r="L245" s="1" t="s">
        <v>17</v>
      </c>
      <c r="M245" s="1" t="s">
        <v>17</v>
      </c>
      <c r="N245" s="1" t="s">
        <v>17</v>
      </c>
      <c r="O245" s="3">
        <v>45491.820972222224</v>
      </c>
      <c r="P245" s="3">
        <v>45491.820972222224</v>
      </c>
    </row>
    <row r="246">
      <c r="A246" s="1" t="s">
        <v>320</v>
      </c>
      <c r="B246" s="1" t="s">
        <v>17</v>
      </c>
      <c r="C246" s="1" t="s">
        <v>17</v>
      </c>
      <c r="D246" s="1" t="s">
        <v>17</v>
      </c>
      <c r="E246" s="1" t="s">
        <v>17</v>
      </c>
      <c r="F246" s="1" t="s">
        <v>17</v>
      </c>
      <c r="G246" s="1">
        <v>3.517706122E9</v>
      </c>
      <c r="H246" s="1" t="s">
        <v>17</v>
      </c>
      <c r="I246" s="1">
        <v>0.0</v>
      </c>
      <c r="J246" s="1">
        <v>0.0</v>
      </c>
      <c r="K246" s="1" t="s">
        <v>17</v>
      </c>
      <c r="L246" s="1" t="s">
        <v>17</v>
      </c>
      <c r="M246" s="1" t="s">
        <v>17</v>
      </c>
      <c r="N246" s="1" t="s">
        <v>17</v>
      </c>
      <c r="O246" s="3">
        <v>45497.78891203704</v>
      </c>
      <c r="P246" s="3">
        <v>45497.78891203704</v>
      </c>
    </row>
    <row r="247">
      <c r="A247" s="1" t="s">
        <v>321</v>
      </c>
      <c r="B247" s="1" t="s">
        <v>17</v>
      </c>
      <c r="C247" s="1" t="s">
        <v>17</v>
      </c>
      <c r="D247" s="1" t="s">
        <v>17</v>
      </c>
      <c r="E247" s="1" t="s">
        <v>17</v>
      </c>
      <c r="F247" s="1" t="s">
        <v>17</v>
      </c>
      <c r="G247" s="4" t="str">
        <f>+54 9 3517 55-1248</f>
        <v>#ERROR!</v>
      </c>
      <c r="H247" s="1" t="s">
        <v>17</v>
      </c>
      <c r="I247" s="1">
        <v>0.0</v>
      </c>
      <c r="J247" s="1">
        <v>0.0</v>
      </c>
      <c r="K247" s="1" t="s">
        <v>17</v>
      </c>
      <c r="L247" s="1" t="s">
        <v>17</v>
      </c>
      <c r="M247" s="1" t="s">
        <v>17</v>
      </c>
      <c r="N247" s="1" t="s">
        <v>17</v>
      </c>
      <c r="O247" s="3">
        <v>45498.536678240744</v>
      </c>
      <c r="P247" s="3">
        <v>45498.536678240744</v>
      </c>
    </row>
    <row r="248">
      <c r="A248" s="1" t="s">
        <v>322</v>
      </c>
      <c r="B248" s="1" t="s">
        <v>17</v>
      </c>
      <c r="C248" s="1" t="s">
        <v>17</v>
      </c>
      <c r="D248" s="1" t="s">
        <v>17</v>
      </c>
      <c r="E248" s="1" t="s">
        <v>17</v>
      </c>
      <c r="F248" s="1" t="s">
        <v>17</v>
      </c>
      <c r="G248" s="4" t="str">
        <f>+54 9 3517 55-1248</f>
        <v>#ERROR!</v>
      </c>
      <c r="H248" s="1" t="s">
        <v>17</v>
      </c>
      <c r="I248" s="1">
        <v>0.0</v>
      </c>
      <c r="J248" s="1">
        <v>0.0</v>
      </c>
      <c r="K248" s="1" t="s">
        <v>17</v>
      </c>
      <c r="L248" s="1" t="s">
        <v>17</v>
      </c>
      <c r="M248" s="1" t="s">
        <v>17</v>
      </c>
      <c r="N248" s="1" t="s">
        <v>17</v>
      </c>
      <c r="O248" s="3">
        <v>45498.53690972222</v>
      </c>
      <c r="P248" s="3">
        <v>45498.53690972222</v>
      </c>
    </row>
    <row r="249">
      <c r="A249" s="1" t="s">
        <v>323</v>
      </c>
      <c r="B249" s="1" t="s">
        <v>17</v>
      </c>
      <c r="C249" s="1" t="s">
        <v>17</v>
      </c>
      <c r="D249" s="1" t="s">
        <v>17</v>
      </c>
      <c r="E249" s="1" t="s">
        <v>17</v>
      </c>
      <c r="F249" s="1" t="s">
        <v>17</v>
      </c>
      <c r="G249" s="4" t="str">
        <f>+54 9 3515 13-7022</f>
        <v>#ERROR!</v>
      </c>
      <c r="H249" s="1" t="s">
        <v>17</v>
      </c>
      <c r="I249" s="1">
        <v>0.0</v>
      </c>
      <c r="J249" s="1">
        <v>0.0</v>
      </c>
      <c r="K249" s="1" t="s">
        <v>17</v>
      </c>
      <c r="L249" s="1" t="s">
        <v>17</v>
      </c>
      <c r="M249" s="1" t="s">
        <v>17</v>
      </c>
      <c r="N249" s="1" t="s">
        <v>17</v>
      </c>
      <c r="O249" s="3">
        <v>45502.60574074074</v>
      </c>
      <c r="P249" s="3">
        <v>45502.60574074074</v>
      </c>
    </row>
    <row r="250">
      <c r="A250" s="1" t="s">
        <v>324</v>
      </c>
      <c r="B250" s="1" t="s">
        <v>17</v>
      </c>
      <c r="C250" s="1" t="s">
        <v>17</v>
      </c>
      <c r="D250" s="1" t="s">
        <v>17</v>
      </c>
      <c r="E250" s="1" t="s">
        <v>17</v>
      </c>
      <c r="F250" s="1" t="s">
        <v>17</v>
      </c>
      <c r="G250" s="4" t="str">
        <f>+54 9 3541 51-0043</f>
        <v>#ERROR!</v>
      </c>
      <c r="H250" s="1" t="s">
        <v>17</v>
      </c>
      <c r="I250" s="1">
        <v>0.0</v>
      </c>
      <c r="J250" s="1">
        <v>0.0</v>
      </c>
      <c r="K250" s="1" t="s">
        <v>17</v>
      </c>
      <c r="L250" s="1" t="s">
        <v>17</v>
      </c>
      <c r="M250" s="1" t="s">
        <v>17</v>
      </c>
      <c r="N250" s="1" t="s">
        <v>17</v>
      </c>
      <c r="O250" s="3">
        <v>45502.61921296296</v>
      </c>
      <c r="P250" s="3">
        <v>45502.61921296296</v>
      </c>
    </row>
    <row r="251">
      <c r="A251" s="1" t="s">
        <v>325</v>
      </c>
      <c r="B251" s="1" t="s">
        <v>17</v>
      </c>
      <c r="C251" s="1" t="s">
        <v>17</v>
      </c>
      <c r="D251" s="1" t="s">
        <v>17</v>
      </c>
      <c r="E251" s="1" t="s">
        <v>17</v>
      </c>
      <c r="F251" s="1" t="s">
        <v>17</v>
      </c>
      <c r="G251" s="4" t="str">
        <f>+54 9 3512 09-0545</f>
        <v>#ERROR!</v>
      </c>
      <c r="H251" s="1" t="s">
        <v>17</v>
      </c>
      <c r="I251" s="1">
        <v>0.0</v>
      </c>
      <c r="J251" s="1">
        <v>0.0</v>
      </c>
      <c r="K251" s="1" t="s">
        <v>17</v>
      </c>
      <c r="L251" s="1" t="s">
        <v>17</v>
      </c>
      <c r="M251" s="1" t="s">
        <v>17</v>
      </c>
      <c r="N251" s="1" t="s">
        <v>17</v>
      </c>
      <c r="O251" s="3">
        <v>45502.63383101852</v>
      </c>
      <c r="P251" s="3">
        <v>45502.63383101852</v>
      </c>
    </row>
    <row r="252">
      <c r="A252" s="1" t="s">
        <v>326</v>
      </c>
      <c r="B252" s="1" t="s">
        <v>17</v>
      </c>
      <c r="C252" s="1" t="s">
        <v>17</v>
      </c>
      <c r="D252" s="1" t="s">
        <v>17</v>
      </c>
      <c r="E252" s="1" t="s">
        <v>17</v>
      </c>
      <c r="F252" s="1" t="s">
        <v>17</v>
      </c>
      <c r="G252" s="4" t="str">
        <f>+54 9 3543 58-7754</f>
        <v>#ERROR!</v>
      </c>
      <c r="H252" s="1" t="s">
        <v>17</v>
      </c>
      <c r="I252" s="1">
        <v>0.0</v>
      </c>
      <c r="J252" s="1">
        <v>0.0</v>
      </c>
      <c r="K252" s="1" t="s">
        <v>17</v>
      </c>
      <c r="L252" s="1" t="s">
        <v>17</v>
      </c>
      <c r="M252" s="1" t="s">
        <v>17</v>
      </c>
      <c r="N252" s="1" t="s">
        <v>17</v>
      </c>
      <c r="O252" s="3">
        <v>45502.644224537034</v>
      </c>
      <c r="P252" s="3">
        <v>45502.644224537034</v>
      </c>
    </row>
    <row r="253">
      <c r="A253" s="1" t="s">
        <v>327</v>
      </c>
      <c r="B253" s="1" t="s">
        <v>17</v>
      </c>
      <c r="C253" s="1" t="s">
        <v>17</v>
      </c>
      <c r="D253" s="1" t="s">
        <v>17</v>
      </c>
      <c r="E253" s="1" t="s">
        <v>17</v>
      </c>
      <c r="F253" s="1" t="s">
        <v>17</v>
      </c>
      <c r="G253" s="4" t="str">
        <f>+54 9 3517 52-8036</f>
        <v>#ERROR!</v>
      </c>
      <c r="H253" s="1" t="s">
        <v>17</v>
      </c>
      <c r="I253" s="1">
        <v>0.0</v>
      </c>
      <c r="J253" s="1">
        <v>0.0</v>
      </c>
      <c r="K253" s="1" t="s">
        <v>17</v>
      </c>
      <c r="L253" s="1" t="s">
        <v>17</v>
      </c>
      <c r="M253" s="1" t="s">
        <v>17</v>
      </c>
      <c r="N253" s="1" t="s">
        <v>17</v>
      </c>
      <c r="O253" s="3">
        <v>45502.669490740744</v>
      </c>
      <c r="P253" s="3">
        <v>45502.669490740744</v>
      </c>
    </row>
    <row r="254">
      <c r="A254" s="1" t="s">
        <v>328</v>
      </c>
      <c r="B254" s="1" t="s">
        <v>17</v>
      </c>
      <c r="C254" s="1" t="s">
        <v>17</v>
      </c>
      <c r="D254" s="1" t="s">
        <v>17</v>
      </c>
      <c r="E254" s="1" t="s">
        <v>17</v>
      </c>
      <c r="F254" s="1" t="s">
        <v>17</v>
      </c>
      <c r="G254" s="4" t="str">
        <f>+54 9 3543 53-7864</f>
        <v>#ERROR!</v>
      </c>
      <c r="H254" s="1" t="s">
        <v>17</v>
      </c>
      <c r="I254" s="1">
        <v>0.0</v>
      </c>
      <c r="J254" s="1">
        <v>0.0</v>
      </c>
      <c r="K254" s="1" t="s">
        <v>17</v>
      </c>
      <c r="L254" s="1" t="s">
        <v>17</v>
      </c>
      <c r="M254" s="1" t="s">
        <v>17</v>
      </c>
      <c r="N254" s="1" t="s">
        <v>17</v>
      </c>
      <c r="O254" s="3">
        <v>45502.678194444445</v>
      </c>
      <c r="P254" s="3">
        <v>45502.678194444445</v>
      </c>
    </row>
    <row r="255">
      <c r="A255" s="1" t="s">
        <v>329</v>
      </c>
      <c r="B255" s="1" t="s">
        <v>17</v>
      </c>
      <c r="C255" s="1" t="s">
        <v>17</v>
      </c>
      <c r="D255" s="1" t="s">
        <v>17</v>
      </c>
      <c r="E255" s="1" t="s">
        <v>17</v>
      </c>
      <c r="F255" s="1" t="s">
        <v>17</v>
      </c>
      <c r="G255" s="4" t="str">
        <f>+54 9 3512 04-5275</f>
        <v>#ERROR!</v>
      </c>
      <c r="H255" s="1" t="s">
        <v>17</v>
      </c>
      <c r="I255" s="1">
        <v>0.0</v>
      </c>
      <c r="J255" s="1">
        <v>0.0</v>
      </c>
      <c r="K255" s="1" t="s">
        <v>17</v>
      </c>
      <c r="L255" s="1" t="s">
        <v>17</v>
      </c>
      <c r="M255" s="1" t="s">
        <v>17</v>
      </c>
      <c r="N255" s="1" t="s">
        <v>17</v>
      </c>
      <c r="O255" s="3">
        <v>45502.694918981484</v>
      </c>
      <c r="P255" s="3">
        <v>45502.694918981484</v>
      </c>
    </row>
    <row r="256">
      <c r="A256" s="1" t="s">
        <v>330</v>
      </c>
      <c r="B256" s="1" t="s">
        <v>17</v>
      </c>
      <c r="C256" s="1" t="s">
        <v>17</v>
      </c>
      <c r="D256" s="1" t="s">
        <v>17</v>
      </c>
      <c r="E256" s="1" t="s">
        <v>17</v>
      </c>
      <c r="F256" s="1" t="s">
        <v>17</v>
      </c>
      <c r="G256" s="4" t="str">
        <f>+54 9 3546 65-0753</f>
        <v>#ERROR!</v>
      </c>
      <c r="H256" s="1" t="s">
        <v>17</v>
      </c>
      <c r="I256" s="1">
        <v>0.0</v>
      </c>
      <c r="J256" s="1">
        <v>0.0</v>
      </c>
      <c r="K256" s="1" t="s">
        <v>17</v>
      </c>
      <c r="L256" s="1" t="s">
        <v>17</v>
      </c>
      <c r="M256" s="1" t="s">
        <v>17</v>
      </c>
      <c r="N256" s="1" t="s">
        <v>17</v>
      </c>
      <c r="O256" s="3">
        <v>45502.77568287037</v>
      </c>
      <c r="P256" s="3">
        <v>45502.77568287037</v>
      </c>
    </row>
    <row r="257">
      <c r="A257" s="1" t="s">
        <v>331</v>
      </c>
      <c r="B257" s="1" t="s">
        <v>17</v>
      </c>
      <c r="C257" s="1" t="s">
        <v>17</v>
      </c>
      <c r="D257" s="1" t="s">
        <v>17</v>
      </c>
      <c r="E257" s="1" t="s">
        <v>17</v>
      </c>
      <c r="F257" s="1" t="s">
        <v>17</v>
      </c>
      <c r="G257" s="4" t="str">
        <f>+54 9 3546 65-0753</f>
        <v>#ERROR!</v>
      </c>
      <c r="H257" s="1" t="s">
        <v>17</v>
      </c>
      <c r="I257" s="1">
        <v>0.0</v>
      </c>
      <c r="J257" s="1">
        <v>0.0</v>
      </c>
      <c r="K257" s="1" t="s">
        <v>17</v>
      </c>
      <c r="L257" s="1" t="s">
        <v>17</v>
      </c>
      <c r="M257" s="1" t="s">
        <v>17</v>
      </c>
      <c r="N257" s="1" t="s">
        <v>17</v>
      </c>
      <c r="O257" s="3">
        <v>45502.77648148148</v>
      </c>
      <c r="P257" s="3">
        <v>45502.77648148148</v>
      </c>
    </row>
    <row r="258">
      <c r="A258" s="1" t="s">
        <v>332</v>
      </c>
      <c r="B258" s="1" t="s">
        <v>17</v>
      </c>
      <c r="C258" s="1" t="s">
        <v>17</v>
      </c>
      <c r="D258" s="1" t="s">
        <v>17</v>
      </c>
      <c r="E258" s="1" t="s">
        <v>17</v>
      </c>
      <c r="F258" s="1" t="s">
        <v>17</v>
      </c>
      <c r="G258" s="4" t="str">
        <f>+54 9 3751 66-4188</f>
        <v>#ERROR!</v>
      </c>
      <c r="H258" s="1" t="s">
        <v>17</v>
      </c>
      <c r="I258" s="1">
        <v>0.0</v>
      </c>
      <c r="J258" s="1">
        <v>0.0</v>
      </c>
      <c r="K258" s="1" t="s">
        <v>17</v>
      </c>
      <c r="L258" s="1" t="s">
        <v>17</v>
      </c>
      <c r="M258" s="1" t="s">
        <v>17</v>
      </c>
      <c r="N258" s="1" t="s">
        <v>17</v>
      </c>
      <c r="O258" s="3">
        <v>45502.77993055555</v>
      </c>
      <c r="P258" s="3">
        <v>45502.77993055555</v>
      </c>
    </row>
    <row r="259">
      <c r="A259" s="1" t="s">
        <v>333</v>
      </c>
      <c r="B259" s="1" t="s">
        <v>17</v>
      </c>
      <c r="C259" s="1" t="s">
        <v>17</v>
      </c>
      <c r="D259" s="1" t="s">
        <v>17</v>
      </c>
      <c r="E259" s="1" t="s">
        <v>17</v>
      </c>
      <c r="F259" s="1" t="s">
        <v>17</v>
      </c>
      <c r="G259" s="4" t="str">
        <f>+54 9 3512 44-7900</f>
        <v>#ERROR!</v>
      </c>
      <c r="H259" s="1" t="s">
        <v>17</v>
      </c>
      <c r="I259" s="1">
        <v>0.0</v>
      </c>
      <c r="J259" s="1">
        <v>0.0</v>
      </c>
      <c r="K259" s="1" t="s">
        <v>17</v>
      </c>
      <c r="L259" s="1" t="s">
        <v>17</v>
      </c>
      <c r="M259" s="1" t="s">
        <v>17</v>
      </c>
      <c r="N259" s="1" t="s">
        <v>17</v>
      </c>
      <c r="O259" s="3">
        <v>45502.791550925926</v>
      </c>
      <c r="P259" s="3">
        <v>45502.791550925926</v>
      </c>
    </row>
    <row r="260">
      <c r="A260" s="1" t="s">
        <v>334</v>
      </c>
      <c r="B260" s="1" t="s">
        <v>17</v>
      </c>
      <c r="C260" s="1" t="s">
        <v>17</v>
      </c>
      <c r="D260" s="1" t="s">
        <v>17</v>
      </c>
      <c r="E260" s="1" t="s">
        <v>17</v>
      </c>
      <c r="F260" s="1" t="s">
        <v>17</v>
      </c>
      <c r="G260" s="1" t="s">
        <v>17</v>
      </c>
      <c r="H260" s="1" t="s">
        <v>17</v>
      </c>
      <c r="I260" s="1">
        <v>0.0</v>
      </c>
      <c r="J260" s="1">
        <v>0.0</v>
      </c>
      <c r="K260" s="1" t="s">
        <v>17</v>
      </c>
      <c r="L260" s="1" t="s">
        <v>17</v>
      </c>
      <c r="M260" s="1" t="s">
        <v>17</v>
      </c>
      <c r="N260" s="1" t="s">
        <v>17</v>
      </c>
      <c r="O260" s="3">
        <v>45502.8028587963</v>
      </c>
      <c r="P260" s="3">
        <v>45502.8028587963</v>
      </c>
    </row>
    <row r="261">
      <c r="A261" s="1" t="s">
        <v>335</v>
      </c>
      <c r="B261" s="1" t="s">
        <v>17</v>
      </c>
      <c r="C261" s="1" t="s">
        <v>17</v>
      </c>
      <c r="D261" s="1" t="s">
        <v>17</v>
      </c>
      <c r="E261" s="1" t="s">
        <v>17</v>
      </c>
      <c r="F261" s="1" t="s">
        <v>17</v>
      </c>
      <c r="G261" s="4" t="str">
        <f>+54 9 3515 95-7652</f>
        <v>#ERROR!</v>
      </c>
      <c r="H261" s="1" t="s">
        <v>17</v>
      </c>
      <c r="I261" s="1">
        <v>0.0</v>
      </c>
      <c r="J261" s="1">
        <v>0.0</v>
      </c>
      <c r="K261" s="1" t="s">
        <v>17</v>
      </c>
      <c r="L261" s="1" t="s">
        <v>17</v>
      </c>
      <c r="M261" s="1" t="s">
        <v>17</v>
      </c>
      <c r="N261" s="1" t="s">
        <v>17</v>
      </c>
      <c r="O261" s="3">
        <v>45502.80670138889</v>
      </c>
      <c r="P261" s="3">
        <v>45502.80670138889</v>
      </c>
    </row>
    <row r="262">
      <c r="A262" s="1" t="s">
        <v>336</v>
      </c>
      <c r="B262" s="1" t="s">
        <v>17</v>
      </c>
      <c r="C262" s="1" t="s">
        <v>17</v>
      </c>
      <c r="D262" s="1" t="s">
        <v>17</v>
      </c>
      <c r="E262" s="1" t="s">
        <v>17</v>
      </c>
      <c r="F262" s="1" t="s">
        <v>17</v>
      </c>
      <c r="G262" s="4" t="str">
        <f>+54 9 3517 70-6122</f>
        <v>#ERROR!</v>
      </c>
      <c r="H262" s="1" t="s">
        <v>17</v>
      </c>
      <c r="I262" s="1">
        <v>0.0</v>
      </c>
      <c r="J262" s="1">
        <v>0.0</v>
      </c>
      <c r="K262" s="1" t="s">
        <v>17</v>
      </c>
      <c r="L262" s="1" t="s">
        <v>17</v>
      </c>
      <c r="M262" s="1" t="s">
        <v>17</v>
      </c>
      <c r="N262" s="1" t="s">
        <v>17</v>
      </c>
      <c r="O262" s="3">
        <v>45503.396053240744</v>
      </c>
      <c r="P262" s="3">
        <v>45503.396053240744</v>
      </c>
    </row>
    <row r="263">
      <c r="A263" s="1" t="s">
        <v>337</v>
      </c>
      <c r="B263" s="1" t="s">
        <v>17</v>
      </c>
      <c r="C263" s="1" t="s">
        <v>17</v>
      </c>
      <c r="D263" s="1" t="s">
        <v>17</v>
      </c>
      <c r="E263" s="1" t="s">
        <v>17</v>
      </c>
      <c r="F263" s="1" t="s">
        <v>17</v>
      </c>
      <c r="G263" s="4" t="str">
        <f>+54 9 3517 70-6122</f>
        <v>#ERROR!</v>
      </c>
      <c r="H263" s="1" t="s">
        <v>17</v>
      </c>
      <c r="I263" s="1">
        <v>0.0</v>
      </c>
      <c r="J263" s="1">
        <v>0.0</v>
      </c>
      <c r="K263" s="1" t="s">
        <v>17</v>
      </c>
      <c r="L263" s="1" t="s">
        <v>17</v>
      </c>
      <c r="M263" s="1" t="s">
        <v>17</v>
      </c>
      <c r="N263" s="1" t="s">
        <v>17</v>
      </c>
      <c r="O263" s="3">
        <v>45503.3965625</v>
      </c>
      <c r="P263" s="3">
        <v>45503.3965625</v>
      </c>
    </row>
    <row r="264">
      <c r="A264" s="1" t="s">
        <v>338</v>
      </c>
      <c r="B264" s="1" t="s">
        <v>17</v>
      </c>
      <c r="C264" s="1" t="s">
        <v>17</v>
      </c>
      <c r="D264" s="1" t="s">
        <v>17</v>
      </c>
      <c r="E264" s="1" t="s">
        <v>17</v>
      </c>
      <c r="F264" s="1" t="s">
        <v>17</v>
      </c>
      <c r="G264" s="4" t="str">
        <f>+54 9 3517 70-6122</f>
        <v>#ERROR!</v>
      </c>
      <c r="H264" s="1" t="s">
        <v>17</v>
      </c>
      <c r="I264" s="1">
        <v>0.0</v>
      </c>
      <c r="J264" s="1">
        <v>0.0</v>
      </c>
      <c r="K264" s="1" t="s">
        <v>17</v>
      </c>
      <c r="L264" s="1" t="s">
        <v>17</v>
      </c>
      <c r="M264" s="1" t="s">
        <v>17</v>
      </c>
      <c r="N264" s="1" t="s">
        <v>17</v>
      </c>
      <c r="O264" s="3">
        <v>45503.40309027778</v>
      </c>
      <c r="P264" s="3">
        <v>45503.40309027778</v>
      </c>
    </row>
    <row r="265">
      <c r="A265" s="1" t="s">
        <v>339</v>
      </c>
      <c r="B265" s="1" t="s">
        <v>17</v>
      </c>
      <c r="C265" s="1" t="s">
        <v>17</v>
      </c>
      <c r="D265" s="1" t="s">
        <v>17</v>
      </c>
      <c r="E265" s="1" t="s">
        <v>17</v>
      </c>
      <c r="F265" s="1" t="s">
        <v>17</v>
      </c>
      <c r="G265" s="4" t="str">
        <f>+54 9 3816 38-8605 /</f>
        <v>#ERROR!</v>
      </c>
      <c r="H265" s="1" t="s">
        <v>17</v>
      </c>
      <c r="I265" s="1">
        <v>0.0</v>
      </c>
      <c r="J265" s="1">
        <v>0.0</v>
      </c>
      <c r="K265" s="1" t="s">
        <v>17</v>
      </c>
      <c r="L265" s="1" t="s">
        <v>17</v>
      </c>
      <c r="M265" s="1" t="s">
        <v>17</v>
      </c>
      <c r="N265" s="1" t="s">
        <v>17</v>
      </c>
      <c r="O265" s="3">
        <v>45503.43368055556</v>
      </c>
      <c r="P265" s="3">
        <v>45503.43368055556</v>
      </c>
    </row>
    <row r="266">
      <c r="A266" s="1" t="s">
        <v>340</v>
      </c>
      <c r="B266" s="1" t="s">
        <v>17</v>
      </c>
      <c r="C266" s="1" t="s">
        <v>17</v>
      </c>
      <c r="D266" s="1" t="s">
        <v>17</v>
      </c>
      <c r="E266" s="1" t="s">
        <v>17</v>
      </c>
      <c r="F266" s="1" t="s">
        <v>17</v>
      </c>
      <c r="G266" s="1" t="s">
        <v>17</v>
      </c>
      <c r="H266" s="1" t="s">
        <v>17</v>
      </c>
      <c r="I266" s="1">
        <v>0.0</v>
      </c>
      <c r="J266" s="1">
        <v>0.0</v>
      </c>
      <c r="K266" s="1" t="s">
        <v>17</v>
      </c>
      <c r="L266" s="1" t="s">
        <v>17</v>
      </c>
      <c r="M266" s="1" t="s">
        <v>17</v>
      </c>
      <c r="N266" s="1" t="s">
        <v>17</v>
      </c>
      <c r="O266" s="3">
        <v>45503.50509259259</v>
      </c>
      <c r="P266" s="3">
        <v>45503.50509259259</v>
      </c>
    </row>
    <row r="267">
      <c r="A267" s="1" t="s">
        <v>341</v>
      </c>
      <c r="B267" s="1" t="s">
        <v>17</v>
      </c>
      <c r="C267" s="1" t="s">
        <v>17</v>
      </c>
      <c r="D267" s="1" t="s">
        <v>17</v>
      </c>
      <c r="E267" s="1" t="s">
        <v>17</v>
      </c>
      <c r="F267" s="1" t="s">
        <v>17</v>
      </c>
      <c r="G267" s="1" t="s">
        <v>17</v>
      </c>
      <c r="H267" s="1" t="s">
        <v>17</v>
      </c>
      <c r="I267" s="1">
        <v>0.0</v>
      </c>
      <c r="J267" s="1">
        <v>0.0</v>
      </c>
      <c r="K267" s="1" t="s">
        <v>17</v>
      </c>
      <c r="L267" s="1" t="s">
        <v>17</v>
      </c>
      <c r="M267" s="1" t="s">
        <v>17</v>
      </c>
      <c r="N267" s="1" t="s">
        <v>17</v>
      </c>
      <c r="O267" s="3">
        <v>45503.505833333336</v>
      </c>
      <c r="P267" s="3">
        <v>45503.505833333336</v>
      </c>
    </row>
    <row r="268">
      <c r="A268" s="1" t="s">
        <v>342</v>
      </c>
      <c r="B268" s="1" t="s">
        <v>17</v>
      </c>
      <c r="C268" s="1" t="s">
        <v>17</v>
      </c>
      <c r="D268" s="1" t="s">
        <v>17</v>
      </c>
      <c r="E268" s="1" t="s">
        <v>17</v>
      </c>
      <c r="F268" s="1" t="s">
        <v>17</v>
      </c>
      <c r="G268" s="4" t="str">
        <f>+54 9 3517 55-1248</f>
        <v>#ERROR!</v>
      </c>
      <c r="H268" s="1" t="s">
        <v>17</v>
      </c>
      <c r="I268" s="1">
        <v>0.0</v>
      </c>
      <c r="J268" s="1">
        <v>0.0</v>
      </c>
      <c r="K268" s="1" t="s">
        <v>17</v>
      </c>
      <c r="L268" s="1" t="s">
        <v>17</v>
      </c>
      <c r="M268" s="1" t="s">
        <v>17</v>
      </c>
      <c r="N268" s="1" t="s">
        <v>17</v>
      </c>
      <c r="O268" s="3">
        <v>45503.51173611111</v>
      </c>
      <c r="P268" s="3">
        <v>45503.51173611111</v>
      </c>
    </row>
    <row r="269">
      <c r="A269" s="1" t="s">
        <v>343</v>
      </c>
      <c r="B269" s="1" t="s">
        <v>17</v>
      </c>
      <c r="C269" s="1" t="s">
        <v>17</v>
      </c>
      <c r="D269" s="1" t="s">
        <v>17</v>
      </c>
      <c r="E269" s="1" t="s">
        <v>17</v>
      </c>
      <c r="F269" s="1" t="s">
        <v>17</v>
      </c>
      <c r="G269" s="4" t="str">
        <f>+54 9 3547 50-2610</f>
        <v>#ERROR!</v>
      </c>
      <c r="H269" s="1" t="s">
        <v>17</v>
      </c>
      <c r="I269" s="1">
        <v>0.0</v>
      </c>
      <c r="J269" s="1">
        <v>0.0</v>
      </c>
      <c r="K269" s="1" t="s">
        <v>17</v>
      </c>
      <c r="L269" s="1" t="s">
        <v>17</v>
      </c>
      <c r="M269" s="1" t="s">
        <v>17</v>
      </c>
      <c r="N269" s="1" t="s">
        <v>17</v>
      </c>
      <c r="O269" s="3">
        <v>45503.52328703704</v>
      </c>
      <c r="P269" s="3">
        <v>45503.52328703704</v>
      </c>
    </row>
    <row r="270">
      <c r="A270" s="1" t="s">
        <v>344</v>
      </c>
      <c r="B270" s="1" t="s">
        <v>17</v>
      </c>
      <c r="C270" s="1" t="s">
        <v>17</v>
      </c>
      <c r="D270" s="1" t="s">
        <v>17</v>
      </c>
      <c r="E270" s="1" t="s">
        <v>17</v>
      </c>
      <c r="F270" s="1" t="s">
        <v>17</v>
      </c>
      <c r="G270" s="4" t="str">
        <f>+54 9 3517 64-0842</f>
        <v>#ERROR!</v>
      </c>
      <c r="H270" s="1" t="s">
        <v>17</v>
      </c>
      <c r="I270" s="1">
        <v>0.0</v>
      </c>
      <c r="J270" s="1">
        <v>0.0</v>
      </c>
      <c r="K270" s="1" t="s">
        <v>17</v>
      </c>
      <c r="L270" s="1" t="s">
        <v>17</v>
      </c>
      <c r="M270" s="1" t="s">
        <v>17</v>
      </c>
      <c r="N270" s="1" t="s">
        <v>17</v>
      </c>
      <c r="O270" s="3">
        <v>45503.53828703704</v>
      </c>
      <c r="P270" s="3">
        <v>45503.53828703704</v>
      </c>
    </row>
    <row r="271">
      <c r="A271" s="1" t="s">
        <v>345</v>
      </c>
      <c r="B271" s="1" t="s">
        <v>17</v>
      </c>
      <c r="C271" s="1" t="s">
        <v>17</v>
      </c>
      <c r="D271" s="1" t="s">
        <v>17</v>
      </c>
      <c r="E271" s="1" t="s">
        <v>17</v>
      </c>
      <c r="F271" s="1" t="s">
        <v>17</v>
      </c>
      <c r="G271" s="4" t="str">
        <f>+54 9 3513 90-2408</f>
        <v>#ERROR!</v>
      </c>
      <c r="H271" s="1" t="s">
        <v>17</v>
      </c>
      <c r="I271" s="1">
        <v>0.0</v>
      </c>
      <c r="J271" s="1">
        <v>0.0</v>
      </c>
      <c r="K271" s="1" t="s">
        <v>17</v>
      </c>
      <c r="L271" s="1" t="s">
        <v>17</v>
      </c>
      <c r="M271" s="1" t="s">
        <v>17</v>
      </c>
      <c r="N271" s="1" t="s">
        <v>17</v>
      </c>
      <c r="O271" s="3">
        <v>45503.6440162037</v>
      </c>
      <c r="P271" s="3">
        <v>45503.6440162037</v>
      </c>
    </row>
    <row r="272">
      <c r="A272" s="1" t="s">
        <v>346</v>
      </c>
      <c r="B272" s="1" t="s">
        <v>17</v>
      </c>
      <c r="C272" s="1" t="s">
        <v>17</v>
      </c>
      <c r="D272" s="1" t="s">
        <v>17</v>
      </c>
      <c r="E272" s="1" t="s">
        <v>17</v>
      </c>
      <c r="F272" s="1" t="s">
        <v>17</v>
      </c>
      <c r="G272" s="4" t="str">
        <f>+54 9 2920 59-0436</f>
        <v>#ERROR!</v>
      </c>
      <c r="H272" s="1" t="s">
        <v>17</v>
      </c>
      <c r="I272" s="1">
        <v>0.0</v>
      </c>
      <c r="J272" s="1">
        <v>0.0</v>
      </c>
      <c r="K272" s="1" t="s">
        <v>17</v>
      </c>
      <c r="L272" s="1" t="s">
        <v>17</v>
      </c>
      <c r="M272" s="1" t="s">
        <v>17</v>
      </c>
      <c r="N272" s="1" t="s">
        <v>17</v>
      </c>
      <c r="O272" s="3">
        <v>45503.68402777778</v>
      </c>
      <c r="P272" s="3">
        <v>45503.68402777778</v>
      </c>
    </row>
    <row r="273">
      <c r="A273" s="1" t="s">
        <v>347</v>
      </c>
      <c r="B273" s="1" t="s">
        <v>17</v>
      </c>
      <c r="C273" s="1" t="s">
        <v>17</v>
      </c>
      <c r="D273" s="1" t="s">
        <v>17</v>
      </c>
      <c r="E273" s="1" t="s">
        <v>17</v>
      </c>
      <c r="F273" s="1" t="s">
        <v>17</v>
      </c>
      <c r="G273" s="4" t="str">
        <f>+54 9 2920 59-0436</f>
        <v>#ERROR!</v>
      </c>
      <c r="H273" s="1" t="s">
        <v>17</v>
      </c>
      <c r="I273" s="1">
        <v>0.0</v>
      </c>
      <c r="J273" s="1">
        <v>0.0</v>
      </c>
      <c r="K273" s="1" t="s">
        <v>17</v>
      </c>
      <c r="L273" s="1" t="s">
        <v>17</v>
      </c>
      <c r="M273" s="1" t="s">
        <v>17</v>
      </c>
      <c r="N273" s="1" t="s">
        <v>17</v>
      </c>
      <c r="O273" s="3">
        <v>45503.70768518518</v>
      </c>
      <c r="P273" s="3">
        <v>45503.70768518518</v>
      </c>
    </row>
    <row r="274">
      <c r="A274" s="1" t="s">
        <v>348</v>
      </c>
      <c r="B274" s="1" t="s">
        <v>17</v>
      </c>
      <c r="C274" s="1" t="s">
        <v>17</v>
      </c>
      <c r="D274" s="1" t="s">
        <v>17</v>
      </c>
      <c r="E274" s="1" t="s">
        <v>17</v>
      </c>
      <c r="F274" s="1" t="s">
        <v>17</v>
      </c>
      <c r="G274" s="4" t="str">
        <f>+54 9 3512 28-1085</f>
        <v>#ERROR!</v>
      </c>
      <c r="H274" s="1" t="s">
        <v>17</v>
      </c>
      <c r="I274" s="1">
        <v>0.0</v>
      </c>
      <c r="J274" s="1">
        <v>0.0</v>
      </c>
      <c r="K274" s="1" t="s">
        <v>17</v>
      </c>
      <c r="L274" s="1" t="s">
        <v>17</v>
      </c>
      <c r="M274" s="1" t="s">
        <v>17</v>
      </c>
      <c r="N274" s="1" t="s">
        <v>17</v>
      </c>
      <c r="O274" s="3">
        <v>45505.744722222225</v>
      </c>
      <c r="P274" s="3">
        <v>45505.744722222225</v>
      </c>
    </row>
    <row r="275">
      <c r="A275" s="1" t="s">
        <v>349</v>
      </c>
      <c r="B275" s="1" t="s">
        <v>17</v>
      </c>
      <c r="C275" s="1" t="s">
        <v>17</v>
      </c>
      <c r="D275" s="1" t="s">
        <v>17</v>
      </c>
      <c r="E275" s="1" t="s">
        <v>17</v>
      </c>
      <c r="F275" s="1" t="s">
        <v>17</v>
      </c>
      <c r="G275" s="4" t="str">
        <f>+54 9 3517 18-4722</f>
        <v>#ERROR!</v>
      </c>
      <c r="H275" s="1" t="s">
        <v>17</v>
      </c>
      <c r="I275" s="1">
        <v>0.0</v>
      </c>
      <c r="J275" s="1">
        <v>0.0</v>
      </c>
      <c r="K275" s="1" t="s">
        <v>17</v>
      </c>
      <c r="L275" s="1" t="s">
        <v>17</v>
      </c>
      <c r="M275" s="1" t="s">
        <v>17</v>
      </c>
      <c r="N275" s="1" t="s">
        <v>17</v>
      </c>
      <c r="O275" s="3">
        <v>45509.64738425926</v>
      </c>
      <c r="P275" s="3">
        <v>45509.64738425926</v>
      </c>
    </row>
    <row r="276">
      <c r="A276" s="1" t="s">
        <v>350</v>
      </c>
      <c r="B276" s="1" t="s">
        <v>17</v>
      </c>
      <c r="C276" s="1" t="s">
        <v>17</v>
      </c>
      <c r="D276" s="1" t="s">
        <v>17</v>
      </c>
      <c r="E276" s="1" t="s">
        <v>17</v>
      </c>
      <c r="F276" s="1" t="s">
        <v>17</v>
      </c>
      <c r="G276" s="4" t="str">
        <f>+54 9 3517 18-4722</f>
        <v>#ERROR!</v>
      </c>
      <c r="H276" s="1" t="s">
        <v>17</v>
      </c>
      <c r="I276" s="1">
        <v>0.0</v>
      </c>
      <c r="J276" s="1">
        <v>0.0</v>
      </c>
      <c r="K276" s="1" t="s">
        <v>17</v>
      </c>
      <c r="L276" s="1" t="s">
        <v>17</v>
      </c>
      <c r="M276" s="1" t="s">
        <v>17</v>
      </c>
      <c r="N276" s="1" t="s">
        <v>17</v>
      </c>
      <c r="O276" s="3">
        <v>45509.64826388889</v>
      </c>
      <c r="P276" s="3">
        <v>45509.64826388889</v>
      </c>
    </row>
    <row r="277">
      <c r="A277" s="1" t="s">
        <v>351</v>
      </c>
      <c r="B277" s="1" t="s">
        <v>17</v>
      </c>
      <c r="C277" s="1" t="s">
        <v>17</v>
      </c>
      <c r="D277" s="1" t="s">
        <v>17</v>
      </c>
      <c r="E277" s="1" t="s">
        <v>17</v>
      </c>
      <c r="F277" s="1" t="s">
        <v>17</v>
      </c>
      <c r="G277" s="4" t="str">
        <f>+54 9 3512 67-9846</f>
        <v>#ERROR!</v>
      </c>
      <c r="H277" s="1" t="s">
        <v>17</v>
      </c>
      <c r="I277" s="1">
        <v>0.0</v>
      </c>
      <c r="J277" s="1">
        <v>0.0</v>
      </c>
      <c r="K277" s="1" t="s">
        <v>17</v>
      </c>
      <c r="L277" s="1" t="s">
        <v>17</v>
      </c>
      <c r="M277" s="1" t="s">
        <v>17</v>
      </c>
      <c r="N277" s="1" t="s">
        <v>17</v>
      </c>
      <c r="O277" s="3">
        <v>45509.73956018518</v>
      </c>
      <c r="P277" s="3">
        <v>45509.73956018518</v>
      </c>
    </row>
    <row r="278">
      <c r="A278" s="1" t="s">
        <v>352</v>
      </c>
      <c r="B278" s="1" t="s">
        <v>17</v>
      </c>
      <c r="C278" s="1" t="s">
        <v>17</v>
      </c>
      <c r="D278" s="1" t="s">
        <v>17</v>
      </c>
      <c r="E278" s="1" t="s">
        <v>17</v>
      </c>
      <c r="F278" s="1" t="s">
        <v>17</v>
      </c>
      <c r="G278" s="4" t="str">
        <f>+54 9 3517 18-4722</f>
        <v>#ERROR!</v>
      </c>
      <c r="H278" s="1" t="s">
        <v>17</v>
      </c>
      <c r="I278" s="1">
        <v>0.0</v>
      </c>
      <c r="J278" s="1">
        <v>0.0</v>
      </c>
      <c r="K278" s="1" t="s">
        <v>17</v>
      </c>
      <c r="L278" s="1" t="s">
        <v>17</v>
      </c>
      <c r="M278" s="1" t="s">
        <v>17</v>
      </c>
      <c r="N278" s="1" t="s">
        <v>17</v>
      </c>
      <c r="O278" s="3">
        <v>45510.564409722225</v>
      </c>
      <c r="P278" s="3">
        <v>45510.564409722225</v>
      </c>
    </row>
    <row r="279">
      <c r="A279" s="1" t="s">
        <v>353</v>
      </c>
      <c r="B279" s="1" t="s">
        <v>17</v>
      </c>
      <c r="C279" s="1" t="s">
        <v>17</v>
      </c>
      <c r="D279" s="1" t="s">
        <v>17</v>
      </c>
      <c r="E279" s="1" t="s">
        <v>17</v>
      </c>
      <c r="F279" s="1" t="s">
        <v>17</v>
      </c>
      <c r="G279" s="4" t="str">
        <f>+54 9 3517 18-4722</f>
        <v>#ERROR!</v>
      </c>
      <c r="H279" s="1" t="s">
        <v>17</v>
      </c>
      <c r="I279" s="1">
        <v>0.0</v>
      </c>
      <c r="J279" s="1">
        <v>0.0</v>
      </c>
      <c r="K279" s="1" t="s">
        <v>17</v>
      </c>
      <c r="L279" s="1" t="s">
        <v>17</v>
      </c>
      <c r="M279" s="1" t="s">
        <v>17</v>
      </c>
      <c r="N279" s="1" t="s">
        <v>17</v>
      </c>
      <c r="O279" s="3">
        <v>45510.580729166664</v>
      </c>
      <c r="P279" s="3">
        <v>45510.580729166664</v>
      </c>
    </row>
    <row r="280">
      <c r="A280" s="1" t="s">
        <v>354</v>
      </c>
      <c r="B280" s="1" t="s">
        <v>17</v>
      </c>
      <c r="C280" s="1" t="s">
        <v>17</v>
      </c>
      <c r="D280" s="1" t="s">
        <v>17</v>
      </c>
      <c r="E280" s="1" t="s">
        <v>17</v>
      </c>
      <c r="F280" s="1" t="s">
        <v>17</v>
      </c>
      <c r="G280" s="4" t="str">
        <f>+54 9 3517 89-2257</f>
        <v>#ERROR!</v>
      </c>
      <c r="H280" s="1" t="s">
        <v>17</v>
      </c>
      <c r="I280" s="1">
        <v>0.0</v>
      </c>
      <c r="J280" s="1">
        <v>0.0</v>
      </c>
      <c r="K280" s="1" t="s">
        <v>17</v>
      </c>
      <c r="L280" s="1" t="s">
        <v>17</v>
      </c>
      <c r="M280" s="1" t="s">
        <v>17</v>
      </c>
      <c r="N280" s="1" t="s">
        <v>17</v>
      </c>
      <c r="O280" s="3">
        <v>45510.58094907407</v>
      </c>
      <c r="P280" s="3">
        <v>45510.58094907407</v>
      </c>
    </row>
    <row r="281">
      <c r="A281" s="1" t="s">
        <v>355</v>
      </c>
      <c r="B281" s="1" t="s">
        <v>17</v>
      </c>
      <c r="C281" s="1" t="s">
        <v>17</v>
      </c>
      <c r="D281" s="1" t="s">
        <v>17</v>
      </c>
      <c r="E281" s="1" t="s">
        <v>17</v>
      </c>
      <c r="F281" s="1" t="s">
        <v>17</v>
      </c>
      <c r="G281" s="4" t="str">
        <f>+54 9 3512 67-9846</f>
        <v>#ERROR!</v>
      </c>
      <c r="H281" s="1" t="s">
        <v>17</v>
      </c>
      <c r="I281" s="1">
        <v>0.0</v>
      </c>
      <c r="J281" s="1">
        <v>0.0</v>
      </c>
      <c r="K281" s="1" t="s">
        <v>17</v>
      </c>
      <c r="L281" s="1" t="s">
        <v>17</v>
      </c>
      <c r="M281" s="1" t="s">
        <v>17</v>
      </c>
      <c r="N281" s="1" t="s">
        <v>17</v>
      </c>
      <c r="O281" s="3">
        <v>45510.589479166665</v>
      </c>
      <c r="P281" s="3">
        <v>45510.589479166665</v>
      </c>
    </row>
    <row r="282">
      <c r="A282" s="1" t="s">
        <v>356</v>
      </c>
      <c r="B282" s="1" t="s">
        <v>17</v>
      </c>
      <c r="C282" s="1" t="s">
        <v>17</v>
      </c>
      <c r="D282" s="1" t="s">
        <v>17</v>
      </c>
      <c r="E282" s="1" t="s">
        <v>17</v>
      </c>
      <c r="F282" s="1" t="s">
        <v>17</v>
      </c>
      <c r="G282" s="4" t="str">
        <f>+54 9 3512 27-6922</f>
        <v>#ERROR!</v>
      </c>
      <c r="H282" s="1" t="s">
        <v>17</v>
      </c>
      <c r="I282" s="1">
        <v>0.0</v>
      </c>
      <c r="J282" s="1">
        <v>0.0</v>
      </c>
      <c r="K282" s="1" t="s">
        <v>17</v>
      </c>
      <c r="L282" s="1" t="s">
        <v>17</v>
      </c>
      <c r="M282" s="1" t="s">
        <v>17</v>
      </c>
      <c r="N282" s="1" t="s">
        <v>17</v>
      </c>
      <c r="O282" s="3">
        <v>45512.6450462963</v>
      </c>
      <c r="P282" s="3">
        <v>45512.6450462963</v>
      </c>
    </row>
    <row r="283">
      <c r="A283" s="1" t="s">
        <v>357</v>
      </c>
      <c r="B283" s="1" t="s">
        <v>17</v>
      </c>
      <c r="C283" s="1" t="s">
        <v>17</v>
      </c>
      <c r="D283" s="1" t="s">
        <v>17</v>
      </c>
      <c r="E283" s="1" t="s">
        <v>17</v>
      </c>
      <c r="F283" s="1" t="s">
        <v>17</v>
      </c>
      <c r="G283" s="4" t="str">
        <f>+54 9 3516 88-0806</f>
        <v>#ERROR!</v>
      </c>
      <c r="H283" s="1" t="s">
        <v>17</v>
      </c>
      <c r="I283" s="1">
        <v>0.0</v>
      </c>
      <c r="J283" s="1">
        <v>0.0</v>
      </c>
      <c r="K283" s="1" t="s">
        <v>17</v>
      </c>
      <c r="L283" s="1">
        <v>0.0</v>
      </c>
      <c r="M283" s="1" t="s">
        <v>17</v>
      </c>
      <c r="N283" s="1" t="s">
        <v>17</v>
      </c>
      <c r="O283" s="3">
        <v>45513.476273148146</v>
      </c>
      <c r="P283" s="3">
        <v>45513.476273148146</v>
      </c>
    </row>
    <row r="284">
      <c r="A284" s="1" t="s">
        <v>358</v>
      </c>
      <c r="B284" s="1" t="s">
        <v>17</v>
      </c>
      <c r="C284" s="1" t="s">
        <v>17</v>
      </c>
      <c r="D284" s="1" t="s">
        <v>17</v>
      </c>
      <c r="E284" s="1" t="s">
        <v>17</v>
      </c>
      <c r="F284" s="1" t="s">
        <v>17</v>
      </c>
      <c r="G284" s="4" t="str">
        <f>+54 9 3516 41-7025</f>
        <v>#ERROR!</v>
      </c>
      <c r="H284" s="1" t="s">
        <v>17</v>
      </c>
      <c r="I284" s="1">
        <v>0.0</v>
      </c>
      <c r="J284" s="1">
        <v>0.0</v>
      </c>
      <c r="K284" s="1" t="s">
        <v>17</v>
      </c>
      <c r="L284" s="1" t="s">
        <v>17</v>
      </c>
      <c r="M284" s="1" t="s">
        <v>17</v>
      </c>
      <c r="N284" s="1" t="s">
        <v>17</v>
      </c>
      <c r="O284" s="3">
        <v>45513.550578703704</v>
      </c>
      <c r="P284" s="3">
        <v>45513.550578703704</v>
      </c>
    </row>
    <row r="285">
      <c r="A285" s="1" t="s">
        <v>359</v>
      </c>
      <c r="B285" s="1" t="s">
        <v>17</v>
      </c>
      <c r="C285" s="1" t="s">
        <v>17</v>
      </c>
      <c r="D285" s="1" t="s">
        <v>17</v>
      </c>
      <c r="E285" s="1" t="s">
        <v>17</v>
      </c>
      <c r="F285" s="1" t="s">
        <v>17</v>
      </c>
      <c r="G285" s="4" t="str">
        <f>+54 9 3516 41-7025</f>
        <v>#ERROR!</v>
      </c>
      <c r="H285" s="1" t="s">
        <v>17</v>
      </c>
      <c r="I285" s="1">
        <v>0.0</v>
      </c>
      <c r="J285" s="1">
        <v>0.0</v>
      </c>
      <c r="K285" s="1" t="s">
        <v>17</v>
      </c>
      <c r="L285" s="1" t="s">
        <v>17</v>
      </c>
      <c r="M285" s="1" t="s">
        <v>17</v>
      </c>
      <c r="N285" s="1" t="s">
        <v>17</v>
      </c>
      <c r="O285" s="3">
        <v>45513.56134259259</v>
      </c>
      <c r="P285" s="3">
        <v>45513.56134259259</v>
      </c>
    </row>
    <row r="286">
      <c r="A286" s="1" t="s">
        <v>360</v>
      </c>
      <c r="B286" s="1" t="s">
        <v>17</v>
      </c>
      <c r="C286" s="1" t="s">
        <v>17</v>
      </c>
      <c r="D286" s="1" t="s">
        <v>17</v>
      </c>
      <c r="E286" s="1" t="s">
        <v>17</v>
      </c>
      <c r="F286" s="1" t="s">
        <v>17</v>
      </c>
      <c r="G286" s="4" t="str">
        <f>+54 9 3517 04-1894</f>
        <v>#ERROR!</v>
      </c>
      <c r="H286" s="1" t="s">
        <v>17</v>
      </c>
      <c r="I286" s="1">
        <v>0.0</v>
      </c>
      <c r="J286" s="1">
        <v>0.0</v>
      </c>
      <c r="K286" s="1" t="s">
        <v>17</v>
      </c>
      <c r="L286" s="1" t="s">
        <v>17</v>
      </c>
      <c r="M286" s="1" t="s">
        <v>17</v>
      </c>
      <c r="N286" s="1" t="s">
        <v>17</v>
      </c>
      <c r="O286" s="3">
        <v>45514.475497685184</v>
      </c>
      <c r="P286" s="3">
        <v>45514.475497685184</v>
      </c>
    </row>
    <row r="287">
      <c r="A287" s="1" t="s">
        <v>361</v>
      </c>
      <c r="B287" s="1" t="s">
        <v>17</v>
      </c>
      <c r="C287" s="1" t="s">
        <v>17</v>
      </c>
      <c r="D287" s="1" t="s">
        <v>17</v>
      </c>
      <c r="E287" s="1" t="s">
        <v>17</v>
      </c>
      <c r="F287" s="1" t="s">
        <v>17</v>
      </c>
      <c r="G287" s="1">
        <v>3.516807307E9</v>
      </c>
      <c r="H287" s="1" t="s">
        <v>17</v>
      </c>
      <c r="I287" s="1">
        <v>0.0</v>
      </c>
      <c r="J287" s="1">
        <v>0.0</v>
      </c>
      <c r="K287" s="1" t="s">
        <v>17</v>
      </c>
      <c r="L287" s="1" t="s">
        <v>17</v>
      </c>
      <c r="M287" s="1" t="s">
        <v>17</v>
      </c>
      <c r="N287" s="1" t="s">
        <v>17</v>
      </c>
      <c r="O287" s="3">
        <v>45516.71261574074</v>
      </c>
      <c r="P287" s="3">
        <v>45516.71261574074</v>
      </c>
    </row>
    <row r="288">
      <c r="A288" s="1" t="s">
        <v>362</v>
      </c>
      <c r="B288" s="1" t="s">
        <v>17</v>
      </c>
      <c r="C288" s="1" t="s">
        <v>17</v>
      </c>
      <c r="D288" s="1" t="s">
        <v>17</v>
      </c>
      <c r="E288" s="1" t="s">
        <v>17</v>
      </c>
      <c r="F288" s="1" t="s">
        <v>17</v>
      </c>
      <c r="G288" s="4" t="str">
        <f>+54 9 3544 50-5622</f>
        <v>#ERROR!</v>
      </c>
      <c r="H288" s="1" t="s">
        <v>17</v>
      </c>
      <c r="I288" s="1">
        <v>0.0</v>
      </c>
      <c r="J288" s="1">
        <v>0.0</v>
      </c>
      <c r="K288" s="1" t="s">
        <v>17</v>
      </c>
      <c r="L288" s="1" t="s">
        <v>17</v>
      </c>
      <c r="M288" s="1" t="s">
        <v>17</v>
      </c>
      <c r="N288" s="1" t="s">
        <v>17</v>
      </c>
      <c r="O288" s="3">
        <v>45516.73679398148</v>
      </c>
      <c r="P288" s="3">
        <v>45516.73679398148</v>
      </c>
    </row>
    <row r="289">
      <c r="A289" s="1" t="s">
        <v>363</v>
      </c>
      <c r="B289" s="1" t="s">
        <v>17</v>
      </c>
      <c r="C289" s="1" t="s">
        <v>17</v>
      </c>
      <c r="D289" s="1" t="s">
        <v>17</v>
      </c>
      <c r="E289" s="1" t="s">
        <v>17</v>
      </c>
      <c r="F289" s="1" t="s">
        <v>17</v>
      </c>
      <c r="G289" s="1">
        <v>3.53417702E9</v>
      </c>
      <c r="H289" s="1" t="s">
        <v>17</v>
      </c>
      <c r="I289" s="1">
        <v>0.0</v>
      </c>
      <c r="J289" s="1">
        <v>0.0</v>
      </c>
      <c r="K289" s="1" t="s">
        <v>17</v>
      </c>
      <c r="L289" s="1">
        <v>0.0</v>
      </c>
      <c r="M289" s="1" t="s">
        <v>17</v>
      </c>
      <c r="N289" s="1" t="s">
        <v>17</v>
      </c>
      <c r="O289" s="3">
        <v>45517.46680555555</v>
      </c>
      <c r="P289" s="3">
        <v>45517.46680555555</v>
      </c>
    </row>
    <row r="290">
      <c r="A290" s="1" t="s">
        <v>364</v>
      </c>
      <c r="B290" s="1" t="s">
        <v>17</v>
      </c>
      <c r="C290" s="1" t="s">
        <v>17</v>
      </c>
      <c r="D290" s="1" t="s">
        <v>17</v>
      </c>
      <c r="E290" s="1" t="s">
        <v>17</v>
      </c>
      <c r="F290" s="1" t="s">
        <v>17</v>
      </c>
      <c r="G290" s="4" t="str">
        <f>+54 9 3515 18-9935</f>
        <v>#ERROR!</v>
      </c>
      <c r="H290" s="1" t="s">
        <v>17</v>
      </c>
      <c r="I290" s="1">
        <v>0.0</v>
      </c>
      <c r="J290" s="1">
        <v>0.0</v>
      </c>
      <c r="K290" s="1" t="s">
        <v>17</v>
      </c>
      <c r="L290" s="1" t="s">
        <v>17</v>
      </c>
      <c r="M290" s="1" t="s">
        <v>17</v>
      </c>
      <c r="N290" s="1" t="s">
        <v>17</v>
      </c>
      <c r="O290" s="3">
        <v>45519.69724537037</v>
      </c>
      <c r="P290" s="3">
        <v>45519.69724537037</v>
      </c>
    </row>
    <row r="291">
      <c r="A291" s="1" t="s">
        <v>365</v>
      </c>
      <c r="B291" s="1" t="s">
        <v>17</v>
      </c>
      <c r="C291" s="1" t="s">
        <v>17</v>
      </c>
      <c r="D291" s="1" t="s">
        <v>17</v>
      </c>
      <c r="E291" s="1" t="s">
        <v>17</v>
      </c>
      <c r="F291" s="1" t="s">
        <v>17</v>
      </c>
      <c r="G291" s="4" t="str">
        <f>+54 9 3516 59-3635</f>
        <v>#ERROR!</v>
      </c>
      <c r="H291" s="1" t="s">
        <v>17</v>
      </c>
      <c r="I291" s="1">
        <v>0.0</v>
      </c>
      <c r="J291" s="1">
        <v>0.0</v>
      </c>
      <c r="K291" s="1" t="s">
        <v>17</v>
      </c>
      <c r="L291" s="1" t="s">
        <v>17</v>
      </c>
      <c r="M291" s="1" t="s">
        <v>17</v>
      </c>
      <c r="N291" s="1" t="s">
        <v>17</v>
      </c>
      <c r="O291" s="3">
        <v>45519.714907407404</v>
      </c>
      <c r="P291" s="3">
        <v>45519.714907407404</v>
      </c>
    </row>
    <row r="292">
      <c r="A292" s="1" t="s">
        <v>366</v>
      </c>
      <c r="B292" s="1" t="s">
        <v>17</v>
      </c>
      <c r="C292" s="1" t="s">
        <v>17</v>
      </c>
      <c r="D292" s="1" t="s">
        <v>17</v>
      </c>
      <c r="E292" s="1" t="s">
        <v>17</v>
      </c>
      <c r="F292" s="1" t="s">
        <v>17</v>
      </c>
      <c r="G292" s="4" t="str">
        <f>+54 9 3517 70-6122</f>
        <v>#ERROR!</v>
      </c>
      <c r="H292" s="1" t="s">
        <v>17</v>
      </c>
      <c r="I292" s="1">
        <v>0.0</v>
      </c>
      <c r="J292" s="1">
        <v>0.0</v>
      </c>
      <c r="K292" s="1" t="s">
        <v>17</v>
      </c>
      <c r="L292" s="1" t="s">
        <v>17</v>
      </c>
      <c r="M292" s="1" t="s">
        <v>17</v>
      </c>
      <c r="N292" s="1" t="s">
        <v>17</v>
      </c>
      <c r="O292" s="3">
        <v>45519.717835648145</v>
      </c>
      <c r="P292" s="3">
        <v>45519.717835648145</v>
      </c>
    </row>
    <row r="293">
      <c r="A293" s="1" t="s">
        <v>367</v>
      </c>
      <c r="B293" s="1" t="s">
        <v>17</v>
      </c>
      <c r="C293" s="1" t="s">
        <v>17</v>
      </c>
      <c r="D293" s="1" t="s">
        <v>17</v>
      </c>
      <c r="E293" s="1" t="s">
        <v>17</v>
      </c>
      <c r="F293" s="1" t="s">
        <v>17</v>
      </c>
      <c r="G293" s="4" t="str">
        <f>+54 9 3426 12-9758</f>
        <v>#ERROR!</v>
      </c>
      <c r="H293" s="1" t="s">
        <v>17</v>
      </c>
      <c r="I293" s="1">
        <v>0.0</v>
      </c>
      <c r="J293" s="1">
        <v>0.0</v>
      </c>
      <c r="K293" s="1" t="s">
        <v>17</v>
      </c>
      <c r="L293" s="1" t="s">
        <v>17</v>
      </c>
      <c r="M293" s="1" t="s">
        <v>17</v>
      </c>
      <c r="N293" s="1" t="s">
        <v>17</v>
      </c>
      <c r="O293" s="3">
        <v>45520.602060185185</v>
      </c>
      <c r="P293" s="3">
        <v>45520.602060185185</v>
      </c>
    </row>
    <row r="294">
      <c r="A294" s="1" t="s">
        <v>368</v>
      </c>
      <c r="B294" s="1" t="s">
        <v>17</v>
      </c>
      <c r="C294" s="1" t="s">
        <v>17</v>
      </c>
      <c r="D294" s="1" t="s">
        <v>17</v>
      </c>
      <c r="E294" s="1" t="s">
        <v>17</v>
      </c>
      <c r="F294" s="1" t="s">
        <v>17</v>
      </c>
      <c r="G294" s="4" t="str">
        <f>+54 9 3516 19-3497</f>
        <v>#ERROR!</v>
      </c>
      <c r="H294" s="1" t="s">
        <v>17</v>
      </c>
      <c r="I294" s="1">
        <v>0.0</v>
      </c>
      <c r="J294" s="1">
        <v>0.0</v>
      </c>
      <c r="K294" s="1" t="s">
        <v>17</v>
      </c>
      <c r="L294" s="1" t="s">
        <v>17</v>
      </c>
      <c r="M294" s="1" t="s">
        <v>17</v>
      </c>
      <c r="N294" s="1" t="s">
        <v>17</v>
      </c>
      <c r="O294" s="3">
        <v>45539.51597222222</v>
      </c>
      <c r="P294" s="3">
        <v>45539.51597222222</v>
      </c>
    </row>
    <row r="295">
      <c r="A295" s="1" t="s">
        <v>369</v>
      </c>
      <c r="B295" s="1" t="s">
        <v>17</v>
      </c>
      <c r="C295" s="1" t="s">
        <v>17</v>
      </c>
      <c r="D295" s="1" t="s">
        <v>17</v>
      </c>
      <c r="E295" s="1" t="s">
        <v>17</v>
      </c>
      <c r="F295" s="1" t="s">
        <v>17</v>
      </c>
      <c r="G295" s="4" t="str">
        <f>+54 9 3855 37-3179</f>
        <v>#ERROR!</v>
      </c>
      <c r="H295" s="1" t="s">
        <v>17</v>
      </c>
      <c r="I295" s="1">
        <v>0.0</v>
      </c>
      <c r="J295" s="1">
        <v>0.0</v>
      </c>
      <c r="K295" s="1" t="s">
        <v>17</v>
      </c>
      <c r="L295" s="1" t="s">
        <v>17</v>
      </c>
      <c r="M295" s="1" t="s">
        <v>17</v>
      </c>
      <c r="N295" s="1" t="s">
        <v>17</v>
      </c>
      <c r="O295" s="3">
        <v>45539.61982638889</v>
      </c>
      <c r="P295" s="3">
        <v>45539.61982638889</v>
      </c>
    </row>
    <row r="296">
      <c r="A296" s="1" t="s">
        <v>370</v>
      </c>
      <c r="B296" s="1" t="s">
        <v>17</v>
      </c>
      <c r="C296" s="1" t="s">
        <v>17</v>
      </c>
      <c r="D296" s="1" t="s">
        <v>17</v>
      </c>
      <c r="E296" s="1" t="s">
        <v>17</v>
      </c>
      <c r="F296" s="1" t="s">
        <v>17</v>
      </c>
      <c r="G296" s="1">
        <v>3.541402703E9</v>
      </c>
      <c r="H296" s="1" t="s">
        <v>17</v>
      </c>
      <c r="I296" s="1">
        <v>0.0</v>
      </c>
      <c r="J296" s="1">
        <v>0.0</v>
      </c>
      <c r="K296" s="1" t="s">
        <v>17</v>
      </c>
      <c r="L296" s="1" t="s">
        <v>17</v>
      </c>
      <c r="M296" s="1" t="s">
        <v>17</v>
      </c>
      <c r="N296" s="1" t="s">
        <v>17</v>
      </c>
      <c r="O296" s="3">
        <v>45539.76349537037</v>
      </c>
      <c r="P296" s="3">
        <v>45539.76349537037</v>
      </c>
    </row>
    <row r="297">
      <c r="A297" s="1" t="s">
        <v>371</v>
      </c>
      <c r="B297" s="1" t="s">
        <v>17</v>
      </c>
      <c r="C297" s="1" t="s">
        <v>17</v>
      </c>
      <c r="D297" s="1" t="s">
        <v>17</v>
      </c>
      <c r="E297" s="1" t="s">
        <v>17</v>
      </c>
      <c r="F297" s="1" t="s">
        <v>17</v>
      </c>
      <c r="G297" s="4" t="str">
        <f>+54 9 3513 03-7192</f>
        <v>#ERROR!</v>
      </c>
      <c r="H297" s="1" t="s">
        <v>17</v>
      </c>
      <c r="I297" s="1">
        <v>0.0</v>
      </c>
      <c r="J297" s="1">
        <v>0.0</v>
      </c>
      <c r="K297" s="1" t="s">
        <v>17</v>
      </c>
      <c r="L297" s="1" t="s">
        <v>17</v>
      </c>
      <c r="M297" s="1" t="s">
        <v>17</v>
      </c>
      <c r="N297" s="1" t="s">
        <v>17</v>
      </c>
      <c r="O297" s="3">
        <v>45541.58920138889</v>
      </c>
      <c r="P297" s="3">
        <v>45541.58920138889</v>
      </c>
    </row>
    <row r="298">
      <c r="A298" s="1" t="s">
        <v>372</v>
      </c>
      <c r="B298" s="1" t="s">
        <v>17</v>
      </c>
      <c r="C298" s="1" t="s">
        <v>17</v>
      </c>
      <c r="D298" s="1" t="s">
        <v>17</v>
      </c>
      <c r="E298" s="1" t="s">
        <v>17</v>
      </c>
      <c r="F298" s="1" t="s">
        <v>17</v>
      </c>
      <c r="G298" s="4" t="str">
        <f>+54 9 3513 04-9149</f>
        <v>#ERROR!</v>
      </c>
      <c r="H298" s="1" t="s">
        <v>17</v>
      </c>
      <c r="I298" s="1">
        <v>0.0</v>
      </c>
      <c r="J298" s="1">
        <v>0.0</v>
      </c>
      <c r="K298" s="1" t="s">
        <v>17</v>
      </c>
      <c r="L298" s="1" t="s">
        <v>17</v>
      </c>
      <c r="M298" s="1" t="s">
        <v>17</v>
      </c>
      <c r="N298" s="1" t="s">
        <v>17</v>
      </c>
      <c r="O298" s="3">
        <v>45545.48064814815</v>
      </c>
      <c r="P298" s="3">
        <v>45545.48064814815</v>
      </c>
    </row>
    <row r="299">
      <c r="A299" s="1" t="s">
        <v>373</v>
      </c>
      <c r="B299" s="1" t="s">
        <v>17</v>
      </c>
      <c r="C299" s="1" t="s">
        <v>17</v>
      </c>
      <c r="D299" s="1" t="s">
        <v>17</v>
      </c>
      <c r="E299" s="1" t="s">
        <v>17</v>
      </c>
      <c r="F299" s="1" t="s">
        <v>17</v>
      </c>
      <c r="G299" s="1" t="s">
        <v>17</v>
      </c>
      <c r="H299" s="1" t="s">
        <v>17</v>
      </c>
      <c r="I299" s="1">
        <v>0.0</v>
      </c>
      <c r="J299" s="1">
        <v>0.0</v>
      </c>
      <c r="K299" s="1" t="s">
        <v>17</v>
      </c>
      <c r="L299" s="1" t="s">
        <v>17</v>
      </c>
      <c r="M299" s="1" t="s">
        <v>17</v>
      </c>
      <c r="N299" s="1" t="s">
        <v>17</v>
      </c>
      <c r="O299" s="3">
        <v>45545.48116898148</v>
      </c>
      <c r="P299" s="3">
        <v>45545.48116898148</v>
      </c>
    </row>
    <row r="300">
      <c r="A300" s="1" t="s">
        <v>374</v>
      </c>
      <c r="B300" s="1">
        <v>96.0</v>
      </c>
      <c r="C300" s="1">
        <v>3.6308232E7</v>
      </c>
      <c r="D300" s="1" t="s">
        <v>17</v>
      </c>
      <c r="E300" s="1" t="s">
        <v>17</v>
      </c>
      <c r="F300" s="1" t="s">
        <v>17</v>
      </c>
      <c r="G300" s="1" t="s">
        <v>375</v>
      </c>
      <c r="H300" s="1" t="s">
        <v>376</v>
      </c>
      <c r="I300" s="1">
        <v>127.0</v>
      </c>
      <c r="J300" s="1">
        <v>4.0</v>
      </c>
      <c r="K300" s="1" t="s">
        <v>17</v>
      </c>
      <c r="L300" s="1">
        <v>0.0</v>
      </c>
      <c r="M300" s="1" t="s">
        <v>17</v>
      </c>
      <c r="N300" s="1" t="s">
        <v>17</v>
      </c>
      <c r="O300" s="3">
        <v>45546.64857638889</v>
      </c>
      <c r="P300" s="3">
        <v>45546.64857638889</v>
      </c>
    </row>
    <row r="301">
      <c r="A301" s="1" t="s">
        <v>377</v>
      </c>
      <c r="B301" s="1" t="s">
        <v>378</v>
      </c>
      <c r="C301" s="1" t="s">
        <v>17</v>
      </c>
      <c r="D301" s="1" t="s">
        <v>17</v>
      </c>
      <c r="E301" s="1" t="s">
        <v>17</v>
      </c>
      <c r="F301" s="1" t="s">
        <v>17</v>
      </c>
      <c r="G301" s="4" t="str">
        <f>+54 9 3513 41-2700</f>
        <v>#ERROR!</v>
      </c>
      <c r="H301" s="1" t="s">
        <v>17</v>
      </c>
      <c r="I301" s="1">
        <v>0.0</v>
      </c>
      <c r="J301" s="1">
        <v>0.0</v>
      </c>
      <c r="K301" s="1" t="s">
        <v>17</v>
      </c>
      <c r="L301" s="1" t="s">
        <v>17</v>
      </c>
      <c r="M301" s="1" t="s">
        <v>17</v>
      </c>
      <c r="N301" s="1" t="s">
        <v>17</v>
      </c>
      <c r="O301" s="3">
        <v>45546.662210648145</v>
      </c>
      <c r="P301" s="3">
        <v>45546.662210648145</v>
      </c>
    </row>
    <row r="302">
      <c r="A302" s="1" t="s">
        <v>379</v>
      </c>
      <c r="B302" s="1">
        <v>96.0</v>
      </c>
      <c r="C302" s="1" t="s">
        <v>17</v>
      </c>
      <c r="D302" s="1" t="s">
        <v>17</v>
      </c>
      <c r="E302" s="1" t="s">
        <v>17</v>
      </c>
      <c r="F302" s="1" t="s">
        <v>17</v>
      </c>
      <c r="G302" s="4" t="str">
        <f>+54 9 3516 83-9503</f>
        <v>#ERROR!</v>
      </c>
      <c r="H302" s="1" t="s">
        <v>380</v>
      </c>
      <c r="I302" s="1">
        <v>0.0</v>
      </c>
      <c r="J302" s="1">
        <v>4.0</v>
      </c>
      <c r="K302" s="1" t="s">
        <v>17</v>
      </c>
      <c r="L302" s="1" t="s">
        <v>17</v>
      </c>
      <c r="M302" s="1" t="s">
        <v>17</v>
      </c>
      <c r="N302" s="1" t="s">
        <v>17</v>
      </c>
      <c r="O302" s="3">
        <v>45546.674629629626</v>
      </c>
      <c r="P302" s="3">
        <v>45546.674629629626</v>
      </c>
    </row>
    <row r="303">
      <c r="A303" s="1" t="s">
        <v>379</v>
      </c>
      <c r="B303" s="1">
        <v>96.0</v>
      </c>
      <c r="C303" s="1">
        <v>3.0329E7</v>
      </c>
      <c r="D303" s="1" t="s">
        <v>17</v>
      </c>
      <c r="E303" s="1" t="s">
        <v>17</v>
      </c>
      <c r="F303" s="1" t="s">
        <v>17</v>
      </c>
      <c r="G303" s="4" t="str">
        <f>+54 9 3516 83-9503</f>
        <v>#ERROR!</v>
      </c>
      <c r="H303" s="1" t="s">
        <v>17</v>
      </c>
      <c r="I303" s="1">
        <v>0.0</v>
      </c>
      <c r="J303" s="1">
        <v>4.0</v>
      </c>
      <c r="K303" s="1" t="s">
        <v>17</v>
      </c>
      <c r="L303" s="1" t="s">
        <v>17</v>
      </c>
      <c r="M303" s="1" t="s">
        <v>17</v>
      </c>
      <c r="N303" s="1" t="s">
        <v>381</v>
      </c>
      <c r="O303" s="3">
        <v>45546.690034722225</v>
      </c>
      <c r="P303" s="3">
        <v>45546.690034722225</v>
      </c>
    </row>
    <row r="304">
      <c r="A304" s="1" t="s">
        <v>382</v>
      </c>
      <c r="B304" s="1">
        <v>96.0</v>
      </c>
      <c r="C304" s="1">
        <v>3.0329E7</v>
      </c>
      <c r="D304" s="1" t="s">
        <v>17</v>
      </c>
      <c r="E304" s="1" t="s">
        <v>17</v>
      </c>
      <c r="F304" s="1" t="s">
        <v>17</v>
      </c>
      <c r="G304" s="4" t="str">
        <f>+54 9 3516 83-9503</f>
        <v>#ERROR!</v>
      </c>
      <c r="H304" s="1" t="s">
        <v>17</v>
      </c>
      <c r="I304" s="1">
        <v>0.0</v>
      </c>
      <c r="J304" s="1">
        <v>0.0</v>
      </c>
      <c r="K304" s="1" t="s">
        <v>17</v>
      </c>
      <c r="L304" s="1" t="s">
        <v>17</v>
      </c>
      <c r="M304" s="1" t="s">
        <v>17</v>
      </c>
      <c r="N304" s="1" t="s">
        <v>381</v>
      </c>
      <c r="O304" s="3">
        <v>45546.696238425924</v>
      </c>
      <c r="P304" s="3">
        <v>45546.696238425924</v>
      </c>
    </row>
    <row r="305">
      <c r="A305" s="1" t="s">
        <v>383</v>
      </c>
      <c r="B305" s="1">
        <v>96.0</v>
      </c>
      <c r="C305" s="1">
        <v>2.648133E7</v>
      </c>
      <c r="D305" s="1" t="s">
        <v>17</v>
      </c>
      <c r="E305" s="1" t="s">
        <v>17</v>
      </c>
      <c r="F305" s="1" t="s">
        <v>17</v>
      </c>
      <c r="G305" s="4" t="str">
        <f>+54 9 3513 40-5289</f>
        <v>#ERROR!</v>
      </c>
      <c r="H305" s="1" t="s">
        <v>17</v>
      </c>
      <c r="I305" s="1">
        <v>0.0</v>
      </c>
      <c r="J305" s="1">
        <v>0.0</v>
      </c>
      <c r="K305" s="1" t="s">
        <v>17</v>
      </c>
      <c r="L305" s="1" t="s">
        <v>17</v>
      </c>
      <c r="M305" s="1" t="s">
        <v>17</v>
      </c>
      <c r="N305" s="1" t="s">
        <v>17</v>
      </c>
      <c r="O305" s="3">
        <v>45546.758125</v>
      </c>
      <c r="P305" s="3">
        <v>45546.758125</v>
      </c>
    </row>
    <row r="306">
      <c r="A306" s="1" t="s">
        <v>384</v>
      </c>
      <c r="B306" s="1" t="s">
        <v>17</v>
      </c>
      <c r="C306" s="1" t="s">
        <v>17</v>
      </c>
      <c r="D306" s="1" t="s">
        <v>17</v>
      </c>
      <c r="E306" s="1" t="s">
        <v>17</v>
      </c>
      <c r="F306" s="1" t="s">
        <v>17</v>
      </c>
      <c r="G306" s="1">
        <v>3.512226584E9</v>
      </c>
      <c r="H306" s="1" t="s">
        <v>17</v>
      </c>
      <c r="I306" s="1">
        <v>0.0</v>
      </c>
      <c r="J306" s="1">
        <v>0.0</v>
      </c>
      <c r="K306" s="1" t="s">
        <v>17</v>
      </c>
      <c r="L306" s="1" t="s">
        <v>17</v>
      </c>
      <c r="M306" s="1" t="s">
        <v>17</v>
      </c>
      <c r="N306" s="1" t="s">
        <v>17</v>
      </c>
      <c r="O306" s="3">
        <v>45547.43393518519</v>
      </c>
      <c r="P306" s="3">
        <v>45547.43393518519</v>
      </c>
    </row>
    <row r="307">
      <c r="A307" s="1" t="s">
        <v>385</v>
      </c>
      <c r="B307" s="1">
        <v>96.0</v>
      </c>
      <c r="C307" s="1">
        <v>4.2273972E7</v>
      </c>
      <c r="D307" s="1" t="s">
        <v>17</v>
      </c>
      <c r="E307" s="1" t="s">
        <v>17</v>
      </c>
      <c r="F307" s="1" t="s">
        <v>17</v>
      </c>
      <c r="G307" s="4" t="str">
        <f>+54 9 3512 22-6584</f>
        <v>#ERROR!</v>
      </c>
      <c r="H307" s="1" t="s">
        <v>17</v>
      </c>
      <c r="I307" s="1">
        <v>127.0</v>
      </c>
      <c r="J307" s="1">
        <v>4.0</v>
      </c>
      <c r="K307" s="1" t="s">
        <v>17</v>
      </c>
      <c r="L307" s="1" t="s">
        <v>17</v>
      </c>
      <c r="M307" s="1" t="s">
        <v>17</v>
      </c>
      <c r="N307" s="1" t="s">
        <v>17</v>
      </c>
      <c r="O307" s="3">
        <v>45547.50072916667</v>
      </c>
      <c r="P307" s="3">
        <v>45547.50072916667</v>
      </c>
    </row>
    <row r="308">
      <c r="A308" s="1" t="s">
        <v>386</v>
      </c>
      <c r="B308" s="1" t="s">
        <v>17</v>
      </c>
      <c r="C308" s="1" t="s">
        <v>17</v>
      </c>
      <c r="D308" s="1" t="s">
        <v>17</v>
      </c>
      <c r="E308" s="1" t="s">
        <v>17</v>
      </c>
      <c r="F308" s="1" t="s">
        <v>17</v>
      </c>
      <c r="G308" s="4" t="str">
        <f>+54 9 3512 03-9603</f>
        <v>#ERROR!</v>
      </c>
      <c r="H308" s="1" t="s">
        <v>17</v>
      </c>
      <c r="I308" s="1">
        <v>0.0</v>
      </c>
      <c r="J308" s="1">
        <v>0.0</v>
      </c>
      <c r="K308" s="1" t="s">
        <v>17</v>
      </c>
      <c r="L308" s="1" t="s">
        <v>17</v>
      </c>
      <c r="M308" s="1" t="s">
        <v>17</v>
      </c>
      <c r="N308" s="1" t="s">
        <v>17</v>
      </c>
      <c r="O308" s="3">
        <v>45547.52460648148</v>
      </c>
      <c r="P308" s="3">
        <v>45547.52460648148</v>
      </c>
    </row>
    <row r="309">
      <c r="A309" s="1" t="s">
        <v>387</v>
      </c>
      <c r="B309" s="1">
        <v>96.0</v>
      </c>
      <c r="C309" s="1">
        <v>4.0732911E7</v>
      </c>
      <c r="D309" s="1" t="s">
        <v>17</v>
      </c>
      <c r="E309" s="1" t="s">
        <v>17</v>
      </c>
      <c r="F309" s="1" t="s">
        <v>17</v>
      </c>
      <c r="G309" s="1">
        <v>3.8557363E9</v>
      </c>
      <c r="H309" s="1" t="s">
        <v>17</v>
      </c>
      <c r="I309" s="1">
        <v>0.0</v>
      </c>
      <c r="J309" s="1">
        <v>0.0</v>
      </c>
      <c r="K309" s="1" t="s">
        <v>17</v>
      </c>
      <c r="L309" s="1" t="s">
        <v>17</v>
      </c>
      <c r="M309" s="1" t="s">
        <v>17</v>
      </c>
      <c r="N309" s="1" t="s">
        <v>17</v>
      </c>
      <c r="O309" s="3">
        <v>45548.60560185185</v>
      </c>
      <c r="P309" s="3">
        <v>45548.60560185185</v>
      </c>
    </row>
    <row r="310">
      <c r="A310" s="1" t="s">
        <v>388</v>
      </c>
      <c r="B310" s="1" t="s">
        <v>17</v>
      </c>
      <c r="C310" s="1" t="s">
        <v>17</v>
      </c>
      <c r="D310" s="1" t="s">
        <v>17</v>
      </c>
      <c r="E310" s="1" t="s">
        <v>17</v>
      </c>
      <c r="F310" s="1" t="s">
        <v>17</v>
      </c>
      <c r="G310" s="4" t="str">
        <f>+54 9 3855 73-6300</f>
        <v>#ERROR!</v>
      </c>
      <c r="H310" s="1" t="s">
        <v>17</v>
      </c>
      <c r="I310" s="1">
        <v>0.0</v>
      </c>
      <c r="J310" s="1">
        <v>0.0</v>
      </c>
      <c r="K310" s="1" t="s">
        <v>17</v>
      </c>
      <c r="L310" s="1" t="s">
        <v>17</v>
      </c>
      <c r="M310" s="1" t="s">
        <v>17</v>
      </c>
      <c r="N310" s="1" t="s">
        <v>17</v>
      </c>
      <c r="O310" s="3">
        <v>45548.60622685185</v>
      </c>
      <c r="P310" s="3">
        <v>45548.60622685185</v>
      </c>
    </row>
    <row r="311">
      <c r="A311" s="1" t="s">
        <v>389</v>
      </c>
      <c r="B311" s="1" t="s">
        <v>17</v>
      </c>
      <c r="C311" s="1" t="s">
        <v>17</v>
      </c>
      <c r="D311" s="1" t="s">
        <v>17</v>
      </c>
      <c r="E311" s="1" t="s">
        <v>17</v>
      </c>
      <c r="F311" s="1" t="s">
        <v>17</v>
      </c>
      <c r="G311" s="4" t="str">
        <f>+54 9 3825 40-1803</f>
        <v>#ERROR!</v>
      </c>
      <c r="H311" s="1" t="s">
        <v>17</v>
      </c>
      <c r="I311" s="1">
        <v>0.0</v>
      </c>
      <c r="J311" s="1">
        <v>0.0</v>
      </c>
      <c r="K311" s="1" t="s">
        <v>17</v>
      </c>
      <c r="L311" s="1" t="s">
        <v>17</v>
      </c>
      <c r="M311" s="1" t="s">
        <v>17</v>
      </c>
      <c r="N311" s="1" t="s">
        <v>17</v>
      </c>
      <c r="O311" s="3">
        <v>45548.695023148146</v>
      </c>
      <c r="P311" s="3">
        <v>45548.695023148146</v>
      </c>
    </row>
    <row r="312">
      <c r="A312" s="1" t="s">
        <v>390</v>
      </c>
      <c r="B312" s="1" t="s">
        <v>17</v>
      </c>
      <c r="C312" s="1" t="s">
        <v>17</v>
      </c>
      <c r="D312" s="1" t="s">
        <v>17</v>
      </c>
      <c r="E312" s="1" t="s">
        <v>17</v>
      </c>
      <c r="F312" s="1" t="s">
        <v>17</v>
      </c>
      <c r="G312" s="4" t="str">
        <f>+54 9 3825 40-1803</f>
        <v>#ERROR!</v>
      </c>
      <c r="H312" s="1" t="s">
        <v>17</v>
      </c>
      <c r="I312" s="1">
        <v>0.0</v>
      </c>
      <c r="J312" s="1">
        <v>0.0</v>
      </c>
      <c r="K312" s="1" t="s">
        <v>17</v>
      </c>
      <c r="L312" s="1" t="s">
        <v>17</v>
      </c>
      <c r="M312" s="1" t="s">
        <v>17</v>
      </c>
      <c r="N312" s="1" t="s">
        <v>17</v>
      </c>
      <c r="O312" s="3">
        <v>45548.69976851852</v>
      </c>
      <c r="P312" s="3">
        <v>45548.69976851852</v>
      </c>
    </row>
    <row r="313">
      <c r="A313" s="1" t="s">
        <v>391</v>
      </c>
      <c r="B313" s="1" t="s">
        <v>17</v>
      </c>
      <c r="C313" s="1" t="s">
        <v>17</v>
      </c>
      <c r="D313" s="1" t="s">
        <v>17</v>
      </c>
      <c r="E313" s="1" t="s">
        <v>17</v>
      </c>
      <c r="F313" s="1" t="s">
        <v>17</v>
      </c>
      <c r="G313" s="1">
        <v>3.517915755E9</v>
      </c>
      <c r="H313" s="1" t="s">
        <v>17</v>
      </c>
      <c r="I313" s="1">
        <v>0.0</v>
      </c>
      <c r="J313" s="1">
        <v>0.0</v>
      </c>
      <c r="K313" s="1" t="s">
        <v>17</v>
      </c>
      <c r="L313" s="1" t="s">
        <v>17</v>
      </c>
      <c r="M313" s="1" t="s">
        <v>17</v>
      </c>
      <c r="N313" s="1" t="s">
        <v>17</v>
      </c>
      <c r="O313" s="3">
        <v>45551.48678240741</v>
      </c>
      <c r="P313" s="3">
        <v>45551.48678240741</v>
      </c>
    </row>
    <row r="314">
      <c r="A314" s="1" t="s">
        <v>392</v>
      </c>
      <c r="B314" s="1" t="s">
        <v>17</v>
      </c>
      <c r="C314" s="1" t="s">
        <v>17</v>
      </c>
      <c r="D314" s="1" t="s">
        <v>17</v>
      </c>
      <c r="E314" s="1" t="s">
        <v>17</v>
      </c>
      <c r="F314" s="1" t="s">
        <v>17</v>
      </c>
      <c r="G314" s="4" t="str">
        <f>+54 9 3513 00-7306</f>
        <v>#ERROR!</v>
      </c>
      <c r="H314" s="1" t="s">
        <v>17</v>
      </c>
      <c r="I314" s="1">
        <v>0.0</v>
      </c>
      <c r="J314" s="1">
        <v>0.0</v>
      </c>
      <c r="K314" s="1" t="s">
        <v>17</v>
      </c>
      <c r="L314" s="1" t="s">
        <v>17</v>
      </c>
      <c r="M314" s="1" t="s">
        <v>17</v>
      </c>
      <c r="N314" s="1" t="s">
        <v>17</v>
      </c>
      <c r="O314" s="3">
        <v>45551.61827546296</v>
      </c>
      <c r="P314" s="3">
        <v>45551.61827546296</v>
      </c>
    </row>
    <row r="315">
      <c r="A315" s="1" t="s">
        <v>393</v>
      </c>
      <c r="B315" s="1">
        <v>96.0</v>
      </c>
      <c r="C315" s="1">
        <v>2.4614831E7</v>
      </c>
      <c r="D315" s="1" t="s">
        <v>17</v>
      </c>
      <c r="E315" s="1" t="s">
        <v>17</v>
      </c>
      <c r="F315" s="1" t="s">
        <v>17</v>
      </c>
      <c r="G315" s="1">
        <v>3.512735769E9</v>
      </c>
      <c r="H315" s="1" t="s">
        <v>17</v>
      </c>
      <c r="I315" s="1">
        <v>0.0</v>
      </c>
      <c r="J315" s="1">
        <v>4.0</v>
      </c>
      <c r="K315" s="1" t="s">
        <v>394</v>
      </c>
      <c r="L315" s="1">
        <v>0.0</v>
      </c>
      <c r="M315" s="1" t="s">
        <v>17</v>
      </c>
      <c r="N315" s="1" t="s">
        <v>17</v>
      </c>
      <c r="O315" s="3">
        <v>45552.74435185185</v>
      </c>
      <c r="P315" s="3">
        <v>45552.74435185185</v>
      </c>
    </row>
    <row r="316">
      <c r="A316" s="1" t="s">
        <v>395</v>
      </c>
      <c r="B316" s="1">
        <v>96.0</v>
      </c>
      <c r="C316" s="1">
        <v>3.6142577E7</v>
      </c>
      <c r="D316" s="1" t="s">
        <v>17</v>
      </c>
      <c r="E316" s="1" t="s">
        <v>17</v>
      </c>
      <c r="F316" s="1" t="s">
        <v>17</v>
      </c>
      <c r="G316" s="4" t="str">
        <f>+54 9 3513 74-9674</f>
        <v>#ERROR!</v>
      </c>
      <c r="H316" s="1" t="s">
        <v>17</v>
      </c>
      <c r="I316" s="1">
        <v>0.0</v>
      </c>
      <c r="J316" s="1">
        <v>0.0</v>
      </c>
      <c r="K316" s="1" t="s">
        <v>17</v>
      </c>
      <c r="L316" s="1" t="s">
        <v>17</v>
      </c>
      <c r="M316" s="1" t="s">
        <v>17</v>
      </c>
      <c r="N316" s="1" t="s">
        <v>17</v>
      </c>
      <c r="O316" s="3">
        <v>45554.583090277774</v>
      </c>
      <c r="P316" s="3">
        <v>45554.583090277774</v>
      </c>
    </row>
    <row r="317">
      <c r="A317" s="1" t="s">
        <v>396</v>
      </c>
      <c r="B317" s="1" t="s">
        <v>17</v>
      </c>
      <c r="C317" s="1" t="s">
        <v>17</v>
      </c>
      <c r="D317" s="1" t="s">
        <v>17</v>
      </c>
      <c r="E317" s="1" t="s">
        <v>17</v>
      </c>
      <c r="F317" s="1" t="s">
        <v>17</v>
      </c>
      <c r="G317" s="4" t="str">
        <f>+54 9 3518 10-3865</f>
        <v>#ERROR!</v>
      </c>
      <c r="H317" s="1" t="s">
        <v>17</v>
      </c>
      <c r="I317" s="1">
        <v>0.0</v>
      </c>
      <c r="J317" s="1">
        <v>0.0</v>
      </c>
      <c r="K317" s="1" t="s">
        <v>17</v>
      </c>
      <c r="L317" s="1" t="s">
        <v>17</v>
      </c>
      <c r="M317" s="1" t="s">
        <v>17</v>
      </c>
      <c r="N317" s="1" t="s">
        <v>17</v>
      </c>
      <c r="O317" s="3">
        <v>45555.7359375</v>
      </c>
      <c r="P317" s="3">
        <v>45555.7359375</v>
      </c>
    </row>
    <row r="318">
      <c r="A318" s="1" t="s">
        <v>397</v>
      </c>
      <c r="B318" s="1">
        <v>96.0</v>
      </c>
      <c r="C318" s="1">
        <v>4.160029E7</v>
      </c>
      <c r="D318" s="1" t="s">
        <v>17</v>
      </c>
      <c r="E318" s="1" t="s">
        <v>17</v>
      </c>
      <c r="F318" s="1" t="s">
        <v>17</v>
      </c>
      <c r="G318" s="1">
        <v>3.516475712E9</v>
      </c>
      <c r="H318" s="1" t="s">
        <v>17</v>
      </c>
      <c r="I318" s="1">
        <v>0.0</v>
      </c>
      <c r="J318" s="1">
        <v>0.0</v>
      </c>
      <c r="K318" s="1" t="s">
        <v>17</v>
      </c>
      <c r="L318" s="1" t="s">
        <v>17</v>
      </c>
      <c r="M318" s="1" t="s">
        <v>17</v>
      </c>
      <c r="N318" s="1" t="s">
        <v>17</v>
      </c>
      <c r="O318" s="3">
        <v>45555.80372685185</v>
      </c>
      <c r="P318" s="3">
        <v>45555.80372685185</v>
      </c>
    </row>
    <row r="319">
      <c r="A319" s="1" t="s">
        <v>398</v>
      </c>
      <c r="B319" s="1">
        <v>96.0</v>
      </c>
      <c r="C319" s="1">
        <v>4.1600252E7</v>
      </c>
      <c r="D319" s="1" t="s">
        <v>17</v>
      </c>
      <c r="E319" s="1" t="s">
        <v>17</v>
      </c>
      <c r="F319" s="1" t="s">
        <v>17</v>
      </c>
      <c r="G319" s="4" t="str">
        <f>+54 9 3515 40-8603</f>
        <v>#ERROR!</v>
      </c>
      <c r="H319" s="1" t="s">
        <v>17</v>
      </c>
      <c r="I319" s="1">
        <v>0.0</v>
      </c>
      <c r="J319" s="1">
        <v>0.0</v>
      </c>
      <c r="K319" s="1" t="s">
        <v>17</v>
      </c>
      <c r="L319" s="1" t="s">
        <v>17</v>
      </c>
      <c r="M319" s="1" t="s">
        <v>17</v>
      </c>
      <c r="N319" s="1" t="s">
        <v>17</v>
      </c>
      <c r="O319" s="3">
        <v>45556.43284722222</v>
      </c>
      <c r="P319" s="3">
        <v>45556.43284722222</v>
      </c>
    </row>
    <row r="320">
      <c r="A320" s="1" t="s">
        <v>399</v>
      </c>
      <c r="B320" s="1" t="s">
        <v>17</v>
      </c>
      <c r="C320" s="1" t="s">
        <v>17</v>
      </c>
      <c r="D320" s="1" t="s">
        <v>17</v>
      </c>
      <c r="E320" s="1" t="s">
        <v>17</v>
      </c>
      <c r="F320" s="1" t="s">
        <v>17</v>
      </c>
      <c r="G320" s="4" t="str">
        <f>+54 9 3548 61-1407</f>
        <v>#ERROR!</v>
      </c>
      <c r="H320" s="1" t="s">
        <v>17</v>
      </c>
      <c r="I320" s="1">
        <v>0.0</v>
      </c>
      <c r="J320" s="1">
        <v>0.0</v>
      </c>
      <c r="K320" s="1" t="s">
        <v>17</v>
      </c>
      <c r="L320" s="1" t="s">
        <v>17</v>
      </c>
      <c r="M320" s="1" t="s">
        <v>17</v>
      </c>
      <c r="N320" s="1" t="s">
        <v>17</v>
      </c>
      <c r="O320" s="3">
        <v>45558.63841435185</v>
      </c>
      <c r="P320" s="3">
        <v>45558.63841435185</v>
      </c>
    </row>
    <row r="321">
      <c r="A321" s="1" t="s">
        <v>400</v>
      </c>
      <c r="B321" s="1" t="s">
        <v>17</v>
      </c>
      <c r="C321" s="1" t="s">
        <v>17</v>
      </c>
      <c r="D321" s="1" t="s">
        <v>17</v>
      </c>
      <c r="E321" s="1" t="s">
        <v>17</v>
      </c>
      <c r="F321" s="1" t="s">
        <v>17</v>
      </c>
      <c r="G321" s="4" t="str">
        <f>+54 9 3516 53-8920</f>
        <v>#ERROR!</v>
      </c>
      <c r="H321" s="1" t="s">
        <v>17</v>
      </c>
      <c r="I321" s="1">
        <v>0.0</v>
      </c>
      <c r="J321" s="1">
        <v>0.0</v>
      </c>
      <c r="K321" s="1" t="s">
        <v>17</v>
      </c>
      <c r="L321" s="1" t="s">
        <v>17</v>
      </c>
      <c r="M321" s="1" t="s">
        <v>17</v>
      </c>
      <c r="N321" s="1" t="s">
        <v>17</v>
      </c>
      <c r="O321" s="3">
        <v>45559.64787037037</v>
      </c>
      <c r="P321" s="3">
        <v>45559.64983796296</v>
      </c>
    </row>
    <row r="322">
      <c r="A322" s="1" t="s">
        <v>401</v>
      </c>
      <c r="B322" s="1" t="s">
        <v>17</v>
      </c>
      <c r="C322" s="1" t="s">
        <v>17</v>
      </c>
      <c r="D322" s="1" t="s">
        <v>17</v>
      </c>
      <c r="E322" s="1" t="s">
        <v>17</v>
      </c>
      <c r="F322" s="1" t="s">
        <v>17</v>
      </c>
      <c r="G322" s="4" t="str">
        <f>+54 9 3516 53-8920</f>
        <v>#ERROR!</v>
      </c>
      <c r="H322" s="1" t="s">
        <v>17</v>
      </c>
      <c r="I322" s="1">
        <v>0.0</v>
      </c>
      <c r="J322" s="1">
        <v>0.0</v>
      </c>
      <c r="K322" s="1" t="s">
        <v>17</v>
      </c>
      <c r="L322" s="1" t="s">
        <v>17</v>
      </c>
      <c r="M322" s="1" t="s">
        <v>17</v>
      </c>
      <c r="N322" s="1" t="s">
        <v>17</v>
      </c>
      <c r="O322" s="3">
        <v>45559.64928240741</v>
      </c>
      <c r="P322" s="3">
        <v>45559.64928240741</v>
      </c>
    </row>
    <row r="323">
      <c r="A323" s="1" t="s">
        <v>402</v>
      </c>
      <c r="B323" s="1">
        <v>96.0</v>
      </c>
      <c r="C323" s="1">
        <v>7764428.0</v>
      </c>
      <c r="D323" s="1" t="s">
        <v>17</v>
      </c>
      <c r="E323" s="1" t="s">
        <v>17</v>
      </c>
      <c r="F323" s="1" t="s">
        <v>17</v>
      </c>
      <c r="G323" s="1" t="s">
        <v>17</v>
      </c>
      <c r="H323" s="1" t="s">
        <v>17</v>
      </c>
      <c r="I323" s="1">
        <v>0.0</v>
      </c>
      <c r="J323" s="1">
        <v>0.0</v>
      </c>
      <c r="K323" s="1" t="s">
        <v>17</v>
      </c>
      <c r="L323" s="1" t="s">
        <v>17</v>
      </c>
      <c r="M323" s="1" t="s">
        <v>17</v>
      </c>
      <c r="N323" s="1" t="s">
        <v>17</v>
      </c>
      <c r="O323" s="3">
        <v>45559.771469907406</v>
      </c>
      <c r="P323" s="3">
        <v>45559.771469907406</v>
      </c>
    </row>
    <row r="324">
      <c r="A324" s="1" t="s">
        <v>403</v>
      </c>
      <c r="B324" s="1" t="s">
        <v>17</v>
      </c>
      <c r="C324" s="1" t="s">
        <v>17</v>
      </c>
      <c r="D324" s="1" t="s">
        <v>17</v>
      </c>
      <c r="E324" s="1" t="s">
        <v>17</v>
      </c>
      <c r="F324" s="1" t="s">
        <v>17</v>
      </c>
      <c r="G324" s="4" t="str">
        <f>+54 9 11 3488-2479</f>
        <v>#ERROR!</v>
      </c>
      <c r="H324" s="1" t="s">
        <v>17</v>
      </c>
      <c r="I324" s="1">
        <v>0.0</v>
      </c>
      <c r="J324" s="1">
        <v>0.0</v>
      </c>
      <c r="K324" s="1" t="s">
        <v>17</v>
      </c>
      <c r="L324" s="1" t="s">
        <v>17</v>
      </c>
      <c r="M324" s="1" t="s">
        <v>17</v>
      </c>
      <c r="N324" s="1" t="s">
        <v>17</v>
      </c>
      <c r="O324" s="3">
        <v>45560.65305555556</v>
      </c>
      <c r="P324" s="3">
        <v>45560.65305555556</v>
      </c>
    </row>
    <row r="325">
      <c r="A325" s="1" t="s">
        <v>404</v>
      </c>
      <c r="B325" s="1">
        <v>96.0</v>
      </c>
      <c r="C325" s="1">
        <v>4.0835268E7</v>
      </c>
      <c r="D325" s="1" t="s">
        <v>17</v>
      </c>
      <c r="E325" s="1" t="s">
        <v>17</v>
      </c>
      <c r="F325" s="1" t="s">
        <v>17</v>
      </c>
      <c r="G325" s="4" t="str">
        <f>+54 9 3516 17-2595</f>
        <v>#ERROR!</v>
      </c>
      <c r="H325" s="1" t="s">
        <v>17</v>
      </c>
      <c r="I325" s="1">
        <v>0.0</v>
      </c>
      <c r="J325" s="1">
        <v>0.0</v>
      </c>
      <c r="K325" s="1" t="s">
        <v>17</v>
      </c>
      <c r="L325" s="1" t="s">
        <v>17</v>
      </c>
      <c r="M325" s="1" t="s">
        <v>17</v>
      </c>
      <c r="N325" s="1" t="s">
        <v>17</v>
      </c>
      <c r="O325" s="3">
        <v>45562.80289351852</v>
      </c>
      <c r="P325" s="3">
        <v>45562.80289351852</v>
      </c>
    </row>
    <row r="326">
      <c r="A326" s="1" t="s">
        <v>405</v>
      </c>
      <c r="B326" s="1" t="s">
        <v>17</v>
      </c>
      <c r="C326" s="1" t="s">
        <v>17</v>
      </c>
      <c r="D326" s="1" t="s">
        <v>17</v>
      </c>
      <c r="E326" s="1" t="s">
        <v>17</v>
      </c>
      <c r="F326" s="1" t="s">
        <v>17</v>
      </c>
      <c r="G326" s="4" t="str">
        <f>+54 9 3516 74-6448</f>
        <v>#ERROR!</v>
      </c>
      <c r="H326" s="1" t="s">
        <v>17</v>
      </c>
      <c r="I326" s="1">
        <v>0.0</v>
      </c>
      <c r="J326" s="1">
        <v>0.0</v>
      </c>
      <c r="K326" s="1" t="s">
        <v>17</v>
      </c>
      <c r="L326" s="1" t="s">
        <v>17</v>
      </c>
      <c r="M326" s="1" t="s">
        <v>17</v>
      </c>
      <c r="N326" s="1" t="s">
        <v>17</v>
      </c>
      <c r="O326" s="3">
        <v>45567.682233796295</v>
      </c>
      <c r="P326" s="3">
        <v>45567.682233796295</v>
      </c>
    </row>
    <row r="327">
      <c r="A327" s="1" t="s">
        <v>406</v>
      </c>
      <c r="B327" s="1" t="s">
        <v>17</v>
      </c>
      <c r="C327" s="1" t="s">
        <v>17</v>
      </c>
      <c r="D327" s="1" t="s">
        <v>17</v>
      </c>
      <c r="E327" s="1" t="s">
        <v>17</v>
      </c>
      <c r="F327" s="1" t="s">
        <v>17</v>
      </c>
      <c r="G327" s="4" t="str">
        <f>+54 9 3516 74-6448</f>
        <v>#ERROR!</v>
      </c>
      <c r="H327" s="1" t="s">
        <v>17</v>
      </c>
      <c r="I327" s="1">
        <v>0.0</v>
      </c>
      <c r="J327" s="1">
        <v>0.0</v>
      </c>
      <c r="K327" s="1" t="s">
        <v>17</v>
      </c>
      <c r="L327" s="1" t="s">
        <v>17</v>
      </c>
      <c r="M327" s="1" t="s">
        <v>17</v>
      </c>
      <c r="N327" s="1" t="s">
        <v>17</v>
      </c>
      <c r="O327" s="3">
        <v>45567.73243055555</v>
      </c>
      <c r="P327" s="3">
        <v>45567.73243055555</v>
      </c>
    </row>
    <row r="328">
      <c r="A328" s="1" t="s">
        <v>407</v>
      </c>
      <c r="B328" s="1" t="s">
        <v>17</v>
      </c>
      <c r="C328" s="1" t="s">
        <v>17</v>
      </c>
      <c r="D328" s="1" t="s">
        <v>17</v>
      </c>
      <c r="E328" s="1" t="s">
        <v>17</v>
      </c>
      <c r="F328" s="1" t="s">
        <v>17</v>
      </c>
      <c r="G328" s="4" t="str">
        <f>+54 9 3516 22-9443</f>
        <v>#ERROR!</v>
      </c>
      <c r="H328" s="1" t="s">
        <v>17</v>
      </c>
      <c r="I328" s="1">
        <v>0.0</v>
      </c>
      <c r="J328" s="1">
        <v>0.0</v>
      </c>
      <c r="K328" s="1" t="s">
        <v>17</v>
      </c>
      <c r="L328" s="1" t="s">
        <v>17</v>
      </c>
      <c r="M328" s="1" t="s">
        <v>17</v>
      </c>
      <c r="N328" s="1" t="s">
        <v>17</v>
      </c>
      <c r="O328" s="3">
        <v>45568.49028935185</v>
      </c>
      <c r="P328" s="3">
        <v>45568.49028935185</v>
      </c>
    </row>
    <row r="329">
      <c r="A329" s="1" t="s">
        <v>408</v>
      </c>
      <c r="B329" s="1">
        <v>96.0</v>
      </c>
      <c r="C329" s="1" t="s">
        <v>17</v>
      </c>
      <c r="D329" s="1" t="s">
        <v>17</v>
      </c>
      <c r="E329" s="1" t="s">
        <v>17</v>
      </c>
      <c r="F329" s="1" t="s">
        <v>17</v>
      </c>
      <c r="G329" s="1">
        <v>3.513379717E9</v>
      </c>
      <c r="H329" s="1" t="s">
        <v>17</v>
      </c>
      <c r="I329" s="1">
        <v>0.0</v>
      </c>
      <c r="J329" s="1">
        <v>0.0</v>
      </c>
      <c r="K329" s="1" t="s">
        <v>17</v>
      </c>
      <c r="L329" s="1" t="s">
        <v>17</v>
      </c>
      <c r="M329" s="1" t="s">
        <v>17</v>
      </c>
      <c r="N329" s="1" t="s">
        <v>17</v>
      </c>
      <c r="O329" s="3">
        <v>45568.77023148148</v>
      </c>
      <c r="P329" s="3">
        <v>45568.77023148148</v>
      </c>
    </row>
    <row r="330">
      <c r="A330" s="1" t="s">
        <v>409</v>
      </c>
      <c r="B330" s="1" t="s">
        <v>17</v>
      </c>
      <c r="C330" s="1" t="s">
        <v>17</v>
      </c>
      <c r="D330" s="1" t="s">
        <v>17</v>
      </c>
      <c r="E330" s="1" t="s">
        <v>17</v>
      </c>
      <c r="F330" s="1" t="s">
        <v>17</v>
      </c>
      <c r="G330" s="4" t="str">
        <f>+54 9 3515 07-7233</f>
        <v>#ERROR!</v>
      </c>
      <c r="H330" s="1" t="s">
        <v>17</v>
      </c>
      <c r="I330" s="1">
        <v>0.0</v>
      </c>
      <c r="J330" s="1">
        <v>0.0</v>
      </c>
      <c r="K330" s="1" t="s">
        <v>17</v>
      </c>
      <c r="L330" s="1" t="s">
        <v>17</v>
      </c>
      <c r="M330" s="1" t="s">
        <v>17</v>
      </c>
      <c r="N330" s="1" t="s">
        <v>17</v>
      </c>
      <c r="O330" s="3">
        <v>45568.78134259259</v>
      </c>
      <c r="P330" s="3">
        <v>45568.78134259259</v>
      </c>
    </row>
    <row r="331">
      <c r="A331" s="1" t="s">
        <v>410</v>
      </c>
      <c r="B331" s="1" t="s">
        <v>17</v>
      </c>
      <c r="C331" s="1" t="s">
        <v>17</v>
      </c>
      <c r="D331" s="1" t="s">
        <v>17</v>
      </c>
      <c r="E331" s="1" t="s">
        <v>17</v>
      </c>
      <c r="F331" s="1" t="s">
        <v>17</v>
      </c>
      <c r="G331" s="4" t="str">
        <f>+54 9 3515 07-7233</f>
        <v>#ERROR!</v>
      </c>
      <c r="H331" s="1" t="s">
        <v>17</v>
      </c>
      <c r="I331" s="1">
        <v>0.0</v>
      </c>
      <c r="J331" s="1">
        <v>0.0</v>
      </c>
      <c r="K331" s="1" t="s">
        <v>17</v>
      </c>
      <c r="L331" s="1" t="s">
        <v>17</v>
      </c>
      <c r="M331" s="1" t="s">
        <v>17</v>
      </c>
      <c r="N331" s="1" t="s">
        <v>17</v>
      </c>
      <c r="O331" s="3">
        <v>45568.78673611111</v>
      </c>
      <c r="P331" s="3">
        <v>45568.78673611111</v>
      </c>
    </row>
    <row r="332">
      <c r="A332" s="1" t="s">
        <v>411</v>
      </c>
      <c r="B332" s="1" t="s">
        <v>17</v>
      </c>
      <c r="C332" s="1" t="s">
        <v>17</v>
      </c>
      <c r="D332" s="1" t="s">
        <v>17</v>
      </c>
      <c r="E332" s="1" t="s">
        <v>17</v>
      </c>
      <c r="F332" s="1" t="s">
        <v>17</v>
      </c>
      <c r="G332" s="4" t="str">
        <f>+54 9 3515 07-7233</f>
        <v>#ERROR!</v>
      </c>
      <c r="H332" s="1" t="s">
        <v>17</v>
      </c>
      <c r="I332" s="1">
        <v>0.0</v>
      </c>
      <c r="J332" s="1">
        <v>0.0</v>
      </c>
      <c r="K332" s="1" t="s">
        <v>17</v>
      </c>
      <c r="L332" s="1" t="s">
        <v>17</v>
      </c>
      <c r="M332" s="1" t="s">
        <v>17</v>
      </c>
      <c r="N332" s="1" t="s">
        <v>17</v>
      </c>
      <c r="O332" s="3">
        <v>45568.7869212963</v>
      </c>
      <c r="P332" s="3">
        <v>45568.7869212963</v>
      </c>
    </row>
    <row r="333">
      <c r="A333" s="1" t="s">
        <v>412</v>
      </c>
      <c r="B333" s="1" t="s">
        <v>17</v>
      </c>
      <c r="C333" s="1" t="s">
        <v>17</v>
      </c>
      <c r="D333" s="1" t="s">
        <v>17</v>
      </c>
      <c r="E333" s="1" t="s">
        <v>17</v>
      </c>
      <c r="F333" s="1" t="s">
        <v>17</v>
      </c>
      <c r="G333" s="4" t="str">
        <f>+54 9 3515 73-0127</f>
        <v>#ERROR!</v>
      </c>
      <c r="H333" s="1" t="s">
        <v>17</v>
      </c>
      <c r="I333" s="1">
        <v>0.0</v>
      </c>
      <c r="J333" s="1">
        <v>0.0</v>
      </c>
      <c r="K333" s="1" t="s">
        <v>17</v>
      </c>
      <c r="L333" s="1" t="s">
        <v>17</v>
      </c>
      <c r="M333" s="1" t="s">
        <v>17</v>
      </c>
      <c r="N333" s="1" t="s">
        <v>17</v>
      </c>
      <c r="O333" s="3">
        <v>45572.6072337963</v>
      </c>
      <c r="P333" s="3">
        <v>45572.6072337963</v>
      </c>
    </row>
    <row r="334">
      <c r="A334" s="1" t="s">
        <v>413</v>
      </c>
      <c r="B334" s="1" t="s">
        <v>17</v>
      </c>
      <c r="C334" s="1" t="s">
        <v>17</v>
      </c>
      <c r="D334" s="1" t="s">
        <v>17</v>
      </c>
      <c r="E334" s="1" t="s">
        <v>17</v>
      </c>
      <c r="F334" s="1" t="s">
        <v>17</v>
      </c>
      <c r="G334" s="4" t="str">
        <f>+54 9 3515 73-0127</f>
        <v>#ERROR!</v>
      </c>
      <c r="H334" s="1" t="s">
        <v>17</v>
      </c>
      <c r="I334" s="1">
        <v>0.0</v>
      </c>
      <c r="J334" s="1">
        <v>0.0</v>
      </c>
      <c r="K334" s="1" t="s">
        <v>17</v>
      </c>
      <c r="L334" s="1" t="s">
        <v>17</v>
      </c>
      <c r="M334" s="1" t="s">
        <v>17</v>
      </c>
      <c r="N334" s="1" t="s">
        <v>17</v>
      </c>
      <c r="O334" s="3">
        <v>45572.6078125</v>
      </c>
      <c r="P334" s="3">
        <v>45572.6078125</v>
      </c>
    </row>
    <row r="335">
      <c r="A335" s="1" t="s">
        <v>414</v>
      </c>
      <c r="B335" s="1" t="s">
        <v>17</v>
      </c>
      <c r="C335" s="1" t="s">
        <v>17</v>
      </c>
      <c r="D335" s="1" t="s">
        <v>17</v>
      </c>
      <c r="E335" s="1" t="s">
        <v>17</v>
      </c>
      <c r="F335" s="1" t="s">
        <v>17</v>
      </c>
      <c r="G335" s="4" t="str">
        <f>+54 9 3513 03-9573</f>
        <v>#ERROR!</v>
      </c>
      <c r="H335" s="1" t="s">
        <v>17</v>
      </c>
      <c r="I335" s="1">
        <v>0.0</v>
      </c>
      <c r="J335" s="1">
        <v>0.0</v>
      </c>
      <c r="K335" s="1" t="s">
        <v>17</v>
      </c>
      <c r="L335" s="1" t="s">
        <v>17</v>
      </c>
      <c r="M335" s="1" t="s">
        <v>17</v>
      </c>
      <c r="N335" s="1" t="s">
        <v>17</v>
      </c>
      <c r="O335" s="3">
        <v>45572.73290509259</v>
      </c>
      <c r="P335" s="3">
        <v>45572.73290509259</v>
      </c>
    </row>
    <row r="336">
      <c r="A336" s="1" t="s">
        <v>415</v>
      </c>
      <c r="B336" s="1" t="s">
        <v>17</v>
      </c>
      <c r="C336" s="1" t="s">
        <v>17</v>
      </c>
      <c r="D336" s="1" t="s">
        <v>17</v>
      </c>
      <c r="E336" s="1" t="s">
        <v>17</v>
      </c>
      <c r="F336" s="1" t="s">
        <v>17</v>
      </c>
      <c r="G336" s="4" t="str">
        <f>+54 9 3513 03-9573</f>
        <v>#ERROR!</v>
      </c>
      <c r="H336" s="1" t="s">
        <v>17</v>
      </c>
      <c r="I336" s="1">
        <v>0.0</v>
      </c>
      <c r="J336" s="1">
        <v>0.0</v>
      </c>
      <c r="K336" s="1" t="s">
        <v>17</v>
      </c>
      <c r="L336" s="1" t="s">
        <v>17</v>
      </c>
      <c r="M336" s="1" t="s">
        <v>17</v>
      </c>
      <c r="N336" s="1" t="s">
        <v>17</v>
      </c>
      <c r="O336" s="3">
        <v>45572.741585648146</v>
      </c>
      <c r="P336" s="3">
        <v>45572.741585648146</v>
      </c>
    </row>
    <row r="337">
      <c r="A337" s="1" t="s">
        <v>416</v>
      </c>
      <c r="B337" s="1" t="s">
        <v>17</v>
      </c>
      <c r="C337" s="1" t="s">
        <v>17</v>
      </c>
      <c r="D337" s="1" t="s">
        <v>17</v>
      </c>
      <c r="E337" s="1" t="s">
        <v>17</v>
      </c>
      <c r="F337" s="1" t="s">
        <v>17</v>
      </c>
      <c r="G337" s="4" t="str">
        <f>+54 9 3541 24-4914</f>
        <v>#ERROR!</v>
      </c>
      <c r="H337" s="1" t="s">
        <v>17</v>
      </c>
      <c r="I337" s="1">
        <v>0.0</v>
      </c>
      <c r="J337" s="1">
        <v>0.0</v>
      </c>
      <c r="K337" s="1" t="s">
        <v>17</v>
      </c>
      <c r="L337" s="1" t="s">
        <v>17</v>
      </c>
      <c r="M337" s="1" t="s">
        <v>17</v>
      </c>
      <c r="N337" s="1" t="s">
        <v>17</v>
      </c>
      <c r="O337" s="3">
        <v>45573.70607638889</v>
      </c>
      <c r="P337" s="3">
        <v>45573.70607638889</v>
      </c>
    </row>
    <row r="338">
      <c r="A338" s="1" t="s">
        <v>417</v>
      </c>
      <c r="B338" s="1" t="s">
        <v>17</v>
      </c>
      <c r="C338" s="1" t="s">
        <v>17</v>
      </c>
      <c r="D338" s="1" t="s">
        <v>17</v>
      </c>
      <c r="E338" s="1" t="s">
        <v>17</v>
      </c>
      <c r="F338" s="1" t="s">
        <v>17</v>
      </c>
      <c r="G338" s="4" t="str">
        <f>+54 9 3764 27-0722</f>
        <v>#ERROR!</v>
      </c>
      <c r="H338" s="1" t="s">
        <v>17</v>
      </c>
      <c r="I338" s="1">
        <v>0.0</v>
      </c>
      <c r="J338" s="1">
        <v>0.0</v>
      </c>
      <c r="K338" s="1" t="s">
        <v>17</v>
      </c>
      <c r="L338" s="1" t="s">
        <v>17</v>
      </c>
      <c r="M338" s="1" t="s">
        <v>17</v>
      </c>
      <c r="N338" s="1" t="s">
        <v>17</v>
      </c>
      <c r="O338" s="3">
        <v>45574.68769675926</v>
      </c>
      <c r="P338" s="3">
        <v>45574.68769675926</v>
      </c>
    </row>
    <row r="339">
      <c r="A339" s="1" t="s">
        <v>418</v>
      </c>
      <c r="B339" s="1" t="s">
        <v>17</v>
      </c>
      <c r="C339" s="1" t="s">
        <v>17</v>
      </c>
      <c r="D339" s="1" t="s">
        <v>17</v>
      </c>
      <c r="E339" s="1" t="s">
        <v>17</v>
      </c>
      <c r="F339" s="1" t="s">
        <v>17</v>
      </c>
      <c r="G339" s="4" t="str">
        <f>+54 9 3516 34-9435 E</f>
        <v>#ERROR!</v>
      </c>
      <c r="H339" s="1" t="s">
        <v>17</v>
      </c>
      <c r="I339" s="1">
        <v>0.0</v>
      </c>
      <c r="J339" s="1">
        <v>0.0</v>
      </c>
      <c r="K339" s="1" t="s">
        <v>17</v>
      </c>
      <c r="L339" s="1" t="s">
        <v>17</v>
      </c>
      <c r="M339" s="1" t="s">
        <v>17</v>
      </c>
      <c r="N339" s="1" t="s">
        <v>17</v>
      </c>
      <c r="O339" s="3">
        <v>45574.741273148145</v>
      </c>
      <c r="P339" s="3">
        <v>45574.741273148145</v>
      </c>
    </row>
    <row r="340">
      <c r="A340" s="1" t="s">
        <v>419</v>
      </c>
      <c r="B340" s="1" t="s">
        <v>17</v>
      </c>
      <c r="C340" s="1" t="s">
        <v>17</v>
      </c>
      <c r="D340" s="1" t="s">
        <v>17</v>
      </c>
      <c r="E340" s="1" t="s">
        <v>17</v>
      </c>
      <c r="F340" s="1" t="s">
        <v>17</v>
      </c>
      <c r="G340" s="4" t="str">
        <f>+54 9 3512 26-0569</f>
        <v>#ERROR!</v>
      </c>
      <c r="H340" s="1" t="s">
        <v>17</v>
      </c>
      <c r="I340" s="1">
        <v>0.0</v>
      </c>
      <c r="J340" s="1">
        <v>0.0</v>
      </c>
      <c r="K340" s="1" t="s">
        <v>17</v>
      </c>
      <c r="L340" s="1" t="s">
        <v>17</v>
      </c>
      <c r="M340" s="1" t="s">
        <v>17</v>
      </c>
      <c r="N340" s="1" t="s">
        <v>17</v>
      </c>
      <c r="O340" s="3">
        <v>45576.63164351852</v>
      </c>
      <c r="P340" s="3">
        <v>45576.63164351852</v>
      </c>
    </row>
    <row r="341">
      <c r="A341" s="1" t="s">
        <v>420</v>
      </c>
      <c r="B341" s="1" t="s">
        <v>17</v>
      </c>
      <c r="C341" s="1" t="s">
        <v>17</v>
      </c>
      <c r="D341" s="1" t="s">
        <v>17</v>
      </c>
      <c r="E341" s="1" t="s">
        <v>17</v>
      </c>
      <c r="F341" s="1" t="s">
        <v>17</v>
      </c>
      <c r="G341" s="4" t="str">
        <f>+54 9 3512 26-0569</f>
        <v>#ERROR!</v>
      </c>
      <c r="H341" s="1" t="s">
        <v>17</v>
      </c>
      <c r="I341" s="1">
        <v>0.0</v>
      </c>
      <c r="J341" s="1">
        <v>0.0</v>
      </c>
      <c r="K341" s="1" t="s">
        <v>17</v>
      </c>
      <c r="L341" s="1" t="s">
        <v>17</v>
      </c>
      <c r="M341" s="1" t="s">
        <v>17</v>
      </c>
      <c r="N341" s="1" t="s">
        <v>17</v>
      </c>
      <c r="O341" s="3">
        <v>45576.63195601852</v>
      </c>
      <c r="P341" s="3">
        <v>45576.63195601852</v>
      </c>
    </row>
    <row r="342">
      <c r="A342" s="1" t="s">
        <v>421</v>
      </c>
      <c r="B342" s="1">
        <v>96.0</v>
      </c>
      <c r="C342" s="1">
        <v>2.9252874E7</v>
      </c>
      <c r="D342" s="1" t="s">
        <v>17</v>
      </c>
      <c r="E342" s="1" t="s">
        <v>17</v>
      </c>
      <c r="F342" s="1" t="s">
        <v>17</v>
      </c>
      <c r="G342" s="1">
        <v>1.55502749E8</v>
      </c>
      <c r="H342" s="1" t="s">
        <v>17</v>
      </c>
      <c r="I342" s="1">
        <v>0.0</v>
      </c>
      <c r="J342" s="1">
        <v>0.0</v>
      </c>
      <c r="K342" s="1" t="s">
        <v>17</v>
      </c>
      <c r="L342" s="1" t="s">
        <v>17</v>
      </c>
      <c r="M342" s="1" t="s">
        <v>17</v>
      </c>
      <c r="N342" s="1" t="s">
        <v>17</v>
      </c>
      <c r="O342" s="3">
        <v>45576.64942129629</v>
      </c>
      <c r="P342" s="3">
        <v>45576.64942129629</v>
      </c>
    </row>
    <row r="343">
      <c r="A343" s="1" t="s">
        <v>422</v>
      </c>
      <c r="B343" s="1" t="s">
        <v>17</v>
      </c>
      <c r="C343" s="1" t="s">
        <v>17</v>
      </c>
      <c r="D343" s="1" t="s">
        <v>17</v>
      </c>
      <c r="E343" s="1" t="s">
        <v>17</v>
      </c>
      <c r="F343" s="1" t="s">
        <v>17</v>
      </c>
      <c r="G343" s="1">
        <v>3.518550822E9</v>
      </c>
      <c r="H343" s="1" t="s">
        <v>17</v>
      </c>
      <c r="I343" s="1">
        <v>0.0</v>
      </c>
      <c r="J343" s="1">
        <v>0.0</v>
      </c>
      <c r="K343" s="1" t="s">
        <v>17</v>
      </c>
      <c r="L343" s="1" t="s">
        <v>17</v>
      </c>
      <c r="M343" s="1" t="s">
        <v>17</v>
      </c>
      <c r="N343" s="1" t="s">
        <v>17</v>
      </c>
      <c r="O343" s="3">
        <v>45581.7634837963</v>
      </c>
      <c r="P343" s="3">
        <v>45581.7634837963</v>
      </c>
    </row>
    <row r="344">
      <c r="A344" s="1" t="s">
        <v>423</v>
      </c>
      <c r="B344" s="1" t="s">
        <v>17</v>
      </c>
      <c r="C344" s="1" t="s">
        <v>17</v>
      </c>
      <c r="D344" s="1" t="s">
        <v>17</v>
      </c>
      <c r="E344" s="1" t="s">
        <v>17</v>
      </c>
      <c r="F344" s="1" t="s">
        <v>17</v>
      </c>
      <c r="G344" s="1">
        <v>3.518550822E9</v>
      </c>
      <c r="H344" s="1" t="s">
        <v>17</v>
      </c>
      <c r="I344" s="1">
        <v>0.0</v>
      </c>
      <c r="J344" s="1">
        <v>0.0</v>
      </c>
      <c r="K344" s="1" t="s">
        <v>17</v>
      </c>
      <c r="L344" s="1" t="s">
        <v>17</v>
      </c>
      <c r="M344" s="1" t="s">
        <v>17</v>
      </c>
      <c r="N344" s="1" t="s">
        <v>17</v>
      </c>
      <c r="O344" s="3">
        <v>45581.76384259259</v>
      </c>
      <c r="P344" s="3">
        <v>45581.76384259259</v>
      </c>
    </row>
    <row r="345">
      <c r="A345" s="1" t="s">
        <v>424</v>
      </c>
      <c r="B345" s="1" t="s">
        <v>17</v>
      </c>
      <c r="C345" s="1" t="s">
        <v>17</v>
      </c>
      <c r="D345" s="1" t="s">
        <v>17</v>
      </c>
      <c r="E345" s="1" t="s">
        <v>17</v>
      </c>
      <c r="F345" s="1" t="s">
        <v>17</v>
      </c>
      <c r="G345" s="4" t="str">
        <f>+54 9 3516 33-3969</f>
        <v>#ERROR!</v>
      </c>
      <c r="H345" s="1" t="s">
        <v>17</v>
      </c>
      <c r="I345" s="1">
        <v>0.0</v>
      </c>
      <c r="J345" s="1">
        <v>0.0</v>
      </c>
      <c r="K345" s="1" t="s">
        <v>17</v>
      </c>
      <c r="L345" s="1" t="s">
        <v>17</v>
      </c>
      <c r="M345" s="1" t="s">
        <v>17</v>
      </c>
      <c r="N345" s="1" t="s">
        <v>17</v>
      </c>
      <c r="O345" s="3">
        <v>45582.738854166666</v>
      </c>
      <c r="P345" s="3">
        <v>45582.738854166666</v>
      </c>
    </row>
    <row r="346">
      <c r="A346" s="1" t="s">
        <v>425</v>
      </c>
      <c r="B346" s="1" t="s">
        <v>17</v>
      </c>
      <c r="C346" s="1" t="s">
        <v>17</v>
      </c>
      <c r="D346" s="1" t="s">
        <v>17</v>
      </c>
      <c r="E346" s="1" t="s">
        <v>17</v>
      </c>
      <c r="F346" s="1" t="s">
        <v>17</v>
      </c>
      <c r="G346" s="4" t="str">
        <f>+54 9 3512 26-6827</f>
        <v>#ERROR!</v>
      </c>
      <c r="H346" s="1" t="s">
        <v>17</v>
      </c>
      <c r="I346" s="1">
        <v>0.0</v>
      </c>
      <c r="J346" s="1">
        <v>0.0</v>
      </c>
      <c r="K346" s="1" t="s">
        <v>17</v>
      </c>
      <c r="L346" s="1" t="s">
        <v>17</v>
      </c>
      <c r="M346" s="1" t="s">
        <v>17</v>
      </c>
      <c r="N346" s="1" t="s">
        <v>17</v>
      </c>
      <c r="O346" s="3">
        <v>45582.793125</v>
      </c>
      <c r="P346" s="3">
        <v>45582.793125</v>
      </c>
    </row>
    <row r="347">
      <c r="A347" s="1" t="s">
        <v>426</v>
      </c>
      <c r="B347" s="1" t="s">
        <v>17</v>
      </c>
      <c r="C347" s="1" t="s">
        <v>17</v>
      </c>
      <c r="D347" s="1" t="s">
        <v>17</v>
      </c>
      <c r="E347" s="1" t="s">
        <v>17</v>
      </c>
      <c r="F347" s="1" t="s">
        <v>17</v>
      </c>
      <c r="G347" s="4" t="str">
        <f>+54 9 3513 53-3937</f>
        <v>#ERROR!</v>
      </c>
      <c r="H347" s="1" t="s">
        <v>17</v>
      </c>
      <c r="I347" s="1">
        <v>0.0</v>
      </c>
      <c r="J347" s="1">
        <v>0.0</v>
      </c>
      <c r="K347" s="1" t="s">
        <v>17</v>
      </c>
      <c r="L347" s="1" t="s">
        <v>17</v>
      </c>
      <c r="M347" s="1" t="s">
        <v>17</v>
      </c>
      <c r="N347" s="1" t="s">
        <v>17</v>
      </c>
      <c r="O347" s="3">
        <v>45583.705983796295</v>
      </c>
      <c r="P347" s="3">
        <v>45583.705983796295</v>
      </c>
    </row>
    <row r="348">
      <c r="A348" s="1" t="s">
        <v>427</v>
      </c>
      <c r="B348" s="1" t="s">
        <v>17</v>
      </c>
      <c r="C348" s="1" t="s">
        <v>17</v>
      </c>
      <c r="D348" s="1" t="s">
        <v>17</v>
      </c>
      <c r="E348" s="1" t="s">
        <v>17</v>
      </c>
      <c r="F348" s="1" t="s">
        <v>17</v>
      </c>
      <c r="G348" s="4" t="str">
        <f>+54 9 3518 08-6461</f>
        <v>#ERROR!</v>
      </c>
      <c r="H348" s="1" t="s">
        <v>17</v>
      </c>
      <c r="I348" s="1">
        <v>0.0</v>
      </c>
      <c r="J348" s="1">
        <v>0.0</v>
      </c>
      <c r="K348" s="1" t="s">
        <v>17</v>
      </c>
      <c r="L348" s="1" t="s">
        <v>17</v>
      </c>
      <c r="M348" s="1" t="s">
        <v>17</v>
      </c>
      <c r="N348" s="1" t="s">
        <v>17</v>
      </c>
      <c r="O348" s="3">
        <v>45584.58277777778</v>
      </c>
      <c r="P348" s="3">
        <v>45584.58277777778</v>
      </c>
    </row>
    <row r="349">
      <c r="A349" s="1" t="s">
        <v>428</v>
      </c>
      <c r="B349" s="1" t="s">
        <v>17</v>
      </c>
      <c r="C349" s="1" t="s">
        <v>17</v>
      </c>
      <c r="D349" s="1" t="s">
        <v>17</v>
      </c>
      <c r="E349" s="1" t="s">
        <v>17</v>
      </c>
      <c r="F349" s="1" t="s">
        <v>17</v>
      </c>
      <c r="G349" s="4" t="str">
        <f>+54 9 3513 05-5117</f>
        <v>#ERROR!</v>
      </c>
      <c r="H349" s="1" t="s">
        <v>17</v>
      </c>
      <c r="I349" s="1">
        <v>0.0</v>
      </c>
      <c r="J349" s="1">
        <v>0.0</v>
      </c>
      <c r="K349" s="1" t="s">
        <v>17</v>
      </c>
      <c r="L349" s="1" t="s">
        <v>17</v>
      </c>
      <c r="M349" s="1" t="s">
        <v>17</v>
      </c>
      <c r="N349" s="1" t="s">
        <v>17</v>
      </c>
      <c r="O349" s="3">
        <v>45586.509791666664</v>
      </c>
      <c r="P349" s="3">
        <v>45586.509791666664</v>
      </c>
    </row>
    <row r="350">
      <c r="A350" s="1" t="s">
        <v>429</v>
      </c>
      <c r="B350" s="1" t="s">
        <v>17</v>
      </c>
      <c r="C350" s="1" t="s">
        <v>17</v>
      </c>
      <c r="D350" s="1" t="s">
        <v>17</v>
      </c>
      <c r="E350" s="1" t="s">
        <v>17</v>
      </c>
      <c r="F350" s="1" t="s">
        <v>17</v>
      </c>
      <c r="G350" s="4" t="str">
        <f>+54 9 3512 46-3527</f>
        <v>#ERROR!</v>
      </c>
      <c r="H350" s="1" t="s">
        <v>17</v>
      </c>
      <c r="I350" s="1">
        <v>0.0</v>
      </c>
      <c r="J350" s="1">
        <v>0.0</v>
      </c>
      <c r="K350" s="1" t="s">
        <v>17</v>
      </c>
      <c r="L350" s="1" t="s">
        <v>17</v>
      </c>
      <c r="M350" s="1" t="s">
        <v>17</v>
      </c>
      <c r="N350" s="1" t="s">
        <v>17</v>
      </c>
      <c r="O350" s="3">
        <v>45586.66297453704</v>
      </c>
      <c r="P350" s="3">
        <v>45586.66297453704</v>
      </c>
    </row>
    <row r="351">
      <c r="A351" s="1" t="s">
        <v>430</v>
      </c>
      <c r="B351" s="1">
        <v>96.0</v>
      </c>
      <c r="C351" s="1">
        <v>2.3459691E7</v>
      </c>
      <c r="D351" s="1" t="s">
        <v>17</v>
      </c>
      <c r="E351" s="1" t="s">
        <v>17</v>
      </c>
      <c r="F351" s="1" t="s">
        <v>17</v>
      </c>
      <c r="G351" s="4" t="str">
        <f>+54 9 3516 33-6011</f>
        <v>#ERROR!</v>
      </c>
      <c r="H351" s="1" t="s">
        <v>17</v>
      </c>
      <c r="I351" s="1">
        <v>0.0</v>
      </c>
      <c r="J351" s="1">
        <v>0.0</v>
      </c>
      <c r="K351" s="1" t="s">
        <v>17</v>
      </c>
      <c r="L351" s="1" t="s">
        <v>17</v>
      </c>
      <c r="M351" s="1" t="s">
        <v>17</v>
      </c>
      <c r="N351" s="1" t="s">
        <v>17</v>
      </c>
      <c r="O351" s="3">
        <v>45587.68256944444</v>
      </c>
      <c r="P351" s="3">
        <v>45587.68256944444</v>
      </c>
    </row>
    <row r="352">
      <c r="A352" s="1" t="s">
        <v>431</v>
      </c>
      <c r="B352" s="1" t="s">
        <v>17</v>
      </c>
      <c r="C352" s="1" t="s">
        <v>17</v>
      </c>
      <c r="D352" s="1" t="s">
        <v>17</v>
      </c>
      <c r="E352" s="1" t="s">
        <v>17</v>
      </c>
      <c r="F352" s="1" t="s">
        <v>17</v>
      </c>
      <c r="G352" s="4" t="str">
        <f>+54 9 3512 46-3527</f>
        <v>#ERROR!</v>
      </c>
      <c r="H352" s="1" t="s">
        <v>17</v>
      </c>
      <c r="I352" s="1">
        <v>0.0</v>
      </c>
      <c r="J352" s="1">
        <v>0.0</v>
      </c>
      <c r="K352" s="1" t="s">
        <v>17</v>
      </c>
      <c r="L352" s="1" t="s">
        <v>17</v>
      </c>
      <c r="M352" s="1" t="s">
        <v>17</v>
      </c>
      <c r="N352" s="1" t="s">
        <v>17</v>
      </c>
      <c r="O352" s="3">
        <v>45587.72377314815</v>
      </c>
      <c r="P352" s="3">
        <v>45587.72377314815</v>
      </c>
    </row>
    <row r="353">
      <c r="A353" s="1" t="s">
        <v>432</v>
      </c>
      <c r="B353" s="1">
        <v>96.0</v>
      </c>
      <c r="C353" s="1">
        <v>2.9208669E7</v>
      </c>
      <c r="D353" s="1" t="s">
        <v>17</v>
      </c>
      <c r="E353" s="1" t="s">
        <v>17</v>
      </c>
      <c r="F353" s="1" t="s">
        <v>17</v>
      </c>
      <c r="G353" s="1">
        <v>3.516863004E9</v>
      </c>
      <c r="H353" s="1" t="s">
        <v>17</v>
      </c>
      <c r="I353" s="1">
        <v>0.0</v>
      </c>
      <c r="J353" s="1">
        <v>0.0</v>
      </c>
      <c r="K353" s="1" t="s">
        <v>17</v>
      </c>
      <c r="L353" s="1" t="s">
        <v>17</v>
      </c>
      <c r="M353" s="1" t="s">
        <v>17</v>
      </c>
      <c r="N353" s="1" t="s">
        <v>17</v>
      </c>
      <c r="O353" s="3">
        <v>45588.62049768519</v>
      </c>
      <c r="P353" s="3">
        <v>45588.62049768519</v>
      </c>
    </row>
    <row r="354">
      <c r="A354" s="1" t="s">
        <v>433</v>
      </c>
      <c r="B354" s="1" t="s">
        <v>17</v>
      </c>
      <c r="C354" s="1" t="s">
        <v>17</v>
      </c>
      <c r="D354" s="1" t="s">
        <v>17</v>
      </c>
      <c r="E354" s="1" t="s">
        <v>17</v>
      </c>
      <c r="F354" s="1" t="s">
        <v>17</v>
      </c>
      <c r="G354" s="4" t="str">
        <f>+54 9 3512 15-5079</f>
        <v>#ERROR!</v>
      </c>
      <c r="H354" s="1" t="s">
        <v>17</v>
      </c>
      <c r="I354" s="1">
        <v>0.0</v>
      </c>
      <c r="J354" s="1">
        <v>0.0</v>
      </c>
      <c r="K354" s="1" t="s">
        <v>17</v>
      </c>
      <c r="L354" s="1" t="s">
        <v>17</v>
      </c>
      <c r="M354" s="1" t="s">
        <v>17</v>
      </c>
      <c r="N354" s="1" t="s">
        <v>17</v>
      </c>
      <c r="O354" s="3">
        <v>45589.56743055556</v>
      </c>
      <c r="P354" s="3">
        <v>45589.56743055556</v>
      </c>
    </row>
    <row r="355">
      <c r="A355" s="1" t="s">
        <v>434</v>
      </c>
      <c r="B355" s="1" t="s">
        <v>17</v>
      </c>
      <c r="C355" s="1" t="s">
        <v>17</v>
      </c>
      <c r="D355" s="1" t="s">
        <v>17</v>
      </c>
      <c r="E355" s="1" t="s">
        <v>17</v>
      </c>
      <c r="F355" s="1" t="s">
        <v>17</v>
      </c>
      <c r="G355" s="4" t="str">
        <f>+54 9 3516 22-9922</f>
        <v>#ERROR!</v>
      </c>
      <c r="H355" s="1" t="s">
        <v>17</v>
      </c>
      <c r="I355" s="1">
        <v>0.0</v>
      </c>
      <c r="J355" s="1">
        <v>0.0</v>
      </c>
      <c r="K355" s="1" t="s">
        <v>17</v>
      </c>
      <c r="L355" s="1" t="s">
        <v>17</v>
      </c>
      <c r="M355" s="1" t="s">
        <v>17</v>
      </c>
      <c r="N355" s="1" t="s">
        <v>17</v>
      </c>
      <c r="O355" s="3">
        <v>45589.69565972222</v>
      </c>
      <c r="P355" s="3">
        <v>45589.69565972222</v>
      </c>
    </row>
    <row r="356">
      <c r="A356" s="1" t="s">
        <v>435</v>
      </c>
      <c r="B356" s="1" t="s">
        <v>17</v>
      </c>
      <c r="C356" s="1" t="s">
        <v>17</v>
      </c>
      <c r="D356" s="1" t="s">
        <v>17</v>
      </c>
      <c r="E356" s="1" t="s">
        <v>17</v>
      </c>
      <c r="F356" s="1" t="s">
        <v>17</v>
      </c>
      <c r="G356" s="4" t="str">
        <f>+54 9 3515 31-5676 (</f>
        <v>#ERROR!</v>
      </c>
      <c r="H356" s="1" t="s">
        <v>17</v>
      </c>
      <c r="I356" s="1">
        <v>0.0</v>
      </c>
      <c r="J356" s="1">
        <v>0.0</v>
      </c>
      <c r="K356" s="1" t="s">
        <v>17</v>
      </c>
      <c r="L356" s="1" t="s">
        <v>17</v>
      </c>
      <c r="M356" s="1" t="s">
        <v>17</v>
      </c>
      <c r="N356" s="1" t="s">
        <v>17</v>
      </c>
      <c r="O356" s="3">
        <v>45590.60569444444</v>
      </c>
      <c r="P356" s="3">
        <v>45590.60569444444</v>
      </c>
    </row>
    <row r="357">
      <c r="A357" s="1" t="s">
        <v>436</v>
      </c>
      <c r="B357" s="1" t="s">
        <v>17</v>
      </c>
      <c r="C357" s="1" t="s">
        <v>17</v>
      </c>
      <c r="D357" s="1" t="s">
        <v>17</v>
      </c>
      <c r="E357" s="1" t="s">
        <v>17</v>
      </c>
      <c r="F357" s="1" t="s">
        <v>17</v>
      </c>
      <c r="G357" s="4" t="str">
        <f>+54 9 3513 65-6678</f>
        <v>#ERROR!</v>
      </c>
      <c r="H357" s="1" t="s">
        <v>17</v>
      </c>
      <c r="I357" s="1">
        <v>0.0</v>
      </c>
      <c r="J357" s="1">
        <v>0.0</v>
      </c>
      <c r="K357" s="1" t="s">
        <v>17</v>
      </c>
      <c r="L357" s="1" t="s">
        <v>17</v>
      </c>
      <c r="M357" s="1" t="s">
        <v>17</v>
      </c>
      <c r="N357" s="1" t="s">
        <v>17</v>
      </c>
      <c r="O357" s="3">
        <v>45593.60855324074</v>
      </c>
      <c r="P357" s="3">
        <v>45593.60855324074</v>
      </c>
    </row>
    <row r="358">
      <c r="A358" s="1" t="s">
        <v>437</v>
      </c>
      <c r="B358" s="1" t="s">
        <v>17</v>
      </c>
      <c r="C358" s="1" t="s">
        <v>17</v>
      </c>
      <c r="D358" s="1" t="s">
        <v>17</v>
      </c>
      <c r="E358" s="1" t="s">
        <v>17</v>
      </c>
      <c r="F358" s="1" t="s">
        <v>17</v>
      </c>
      <c r="G358" s="4" t="str">
        <f>+54 9 3512 05-2846</f>
        <v>#ERROR!</v>
      </c>
      <c r="H358" s="1" t="s">
        <v>17</v>
      </c>
      <c r="I358" s="1">
        <v>0.0</v>
      </c>
      <c r="J358" s="1">
        <v>0.0</v>
      </c>
      <c r="K358" s="1" t="s">
        <v>17</v>
      </c>
      <c r="L358" s="1" t="s">
        <v>17</v>
      </c>
      <c r="M358" s="1" t="s">
        <v>17</v>
      </c>
      <c r="N358" s="1" t="s">
        <v>17</v>
      </c>
      <c r="O358" s="3">
        <v>45593.726122685184</v>
      </c>
      <c r="P358" s="3">
        <v>45593.726122685184</v>
      </c>
    </row>
    <row r="359">
      <c r="A359" s="1" t="s">
        <v>438</v>
      </c>
      <c r="B359" s="1" t="s">
        <v>17</v>
      </c>
      <c r="C359" s="1" t="s">
        <v>17</v>
      </c>
      <c r="D359" s="1" t="s">
        <v>17</v>
      </c>
      <c r="E359" s="1" t="s">
        <v>17</v>
      </c>
      <c r="F359" s="1" t="s">
        <v>17</v>
      </c>
      <c r="G359" s="4" t="str">
        <f>+54 9 3518 05-7942</f>
        <v>#ERROR!</v>
      </c>
      <c r="H359" s="1" t="s">
        <v>17</v>
      </c>
      <c r="I359" s="1">
        <v>0.0</v>
      </c>
      <c r="J359" s="1">
        <v>0.0</v>
      </c>
      <c r="K359" s="1" t="s">
        <v>17</v>
      </c>
      <c r="L359" s="1" t="s">
        <v>17</v>
      </c>
      <c r="M359" s="1" t="s">
        <v>17</v>
      </c>
      <c r="N359" s="1" t="s">
        <v>17</v>
      </c>
      <c r="O359" s="3">
        <v>45594.721087962964</v>
      </c>
      <c r="P359" s="3">
        <v>45594.721087962964</v>
      </c>
    </row>
    <row r="360">
      <c r="A360" s="1" t="s">
        <v>439</v>
      </c>
      <c r="B360" s="1" t="s">
        <v>17</v>
      </c>
      <c r="C360" s="1" t="s">
        <v>17</v>
      </c>
      <c r="D360" s="1" t="s">
        <v>17</v>
      </c>
      <c r="E360" s="1" t="s">
        <v>17</v>
      </c>
      <c r="F360" s="1" t="s">
        <v>17</v>
      </c>
      <c r="G360" s="4" t="str">
        <f>+54 9 3517 04-9799</f>
        <v>#ERROR!</v>
      </c>
      <c r="H360" s="1" t="s">
        <v>17</v>
      </c>
      <c r="I360" s="1">
        <v>0.0</v>
      </c>
      <c r="J360" s="1">
        <v>0.0</v>
      </c>
      <c r="K360" s="1" t="s">
        <v>17</v>
      </c>
      <c r="L360" s="1" t="s">
        <v>17</v>
      </c>
      <c r="M360" s="1" t="s">
        <v>17</v>
      </c>
      <c r="N360" s="1" t="s">
        <v>17</v>
      </c>
      <c r="O360" s="3">
        <v>45594.76594907408</v>
      </c>
      <c r="P360" s="3">
        <v>45594.76594907408</v>
      </c>
    </row>
    <row r="361">
      <c r="A361" s="1" t="s">
        <v>440</v>
      </c>
      <c r="B361" s="1" t="s">
        <v>17</v>
      </c>
      <c r="C361" s="1" t="s">
        <v>17</v>
      </c>
      <c r="D361" s="1" t="s">
        <v>17</v>
      </c>
      <c r="E361" s="1" t="s">
        <v>17</v>
      </c>
      <c r="F361" s="1" t="s">
        <v>17</v>
      </c>
      <c r="G361" s="4" t="str">
        <f>+54 9 3517 04-9799</f>
        <v>#ERROR!</v>
      </c>
      <c r="H361" s="1" t="s">
        <v>17</v>
      </c>
      <c r="I361" s="1">
        <v>0.0</v>
      </c>
      <c r="J361" s="1">
        <v>0.0</v>
      </c>
      <c r="K361" s="1" t="s">
        <v>17</v>
      </c>
      <c r="L361" s="1" t="s">
        <v>17</v>
      </c>
      <c r="M361" s="1" t="s">
        <v>17</v>
      </c>
      <c r="N361" s="1" t="s">
        <v>17</v>
      </c>
      <c r="O361" s="3">
        <v>45594.7675</v>
      </c>
      <c r="P361" s="3">
        <v>45594.7675</v>
      </c>
    </row>
    <row r="362">
      <c r="A362" s="1" t="s">
        <v>441</v>
      </c>
      <c r="B362" s="1" t="s">
        <v>17</v>
      </c>
      <c r="C362" s="1" t="s">
        <v>17</v>
      </c>
      <c r="D362" s="1" t="s">
        <v>17</v>
      </c>
      <c r="E362" s="1" t="s">
        <v>17</v>
      </c>
      <c r="F362" s="1" t="s">
        <v>17</v>
      </c>
      <c r="G362" s="4" t="str">
        <f>+54 9 3834 68-5674</f>
        <v>#ERROR!</v>
      </c>
      <c r="H362" s="1" t="s">
        <v>17</v>
      </c>
      <c r="I362" s="1">
        <v>0.0</v>
      </c>
      <c r="J362" s="1">
        <v>0.0</v>
      </c>
      <c r="K362" s="1" t="s">
        <v>17</v>
      </c>
      <c r="L362" s="1" t="s">
        <v>17</v>
      </c>
      <c r="M362" s="1" t="s">
        <v>17</v>
      </c>
      <c r="N362" s="1" t="s">
        <v>17</v>
      </c>
      <c r="O362" s="3">
        <v>45594.80961805556</v>
      </c>
      <c r="P362" s="3">
        <v>45594.80961805556</v>
      </c>
    </row>
    <row r="363">
      <c r="A363" s="1" t="s">
        <v>442</v>
      </c>
      <c r="B363" s="1" t="s">
        <v>17</v>
      </c>
      <c r="C363" s="1" t="s">
        <v>17</v>
      </c>
      <c r="D363" s="1" t="s">
        <v>17</v>
      </c>
      <c r="E363" s="1" t="s">
        <v>17</v>
      </c>
      <c r="F363" s="1" t="s">
        <v>17</v>
      </c>
      <c r="G363" s="4" t="str">
        <f>+54 9 3512 30-5398</f>
        <v>#ERROR!</v>
      </c>
      <c r="H363" s="1" t="s">
        <v>17</v>
      </c>
      <c r="I363" s="1">
        <v>0.0</v>
      </c>
      <c r="J363" s="1">
        <v>0.0</v>
      </c>
      <c r="K363" s="1" t="s">
        <v>17</v>
      </c>
      <c r="L363" s="1" t="s">
        <v>17</v>
      </c>
      <c r="M363" s="1" t="s">
        <v>17</v>
      </c>
      <c r="N363" s="1" t="s">
        <v>17</v>
      </c>
      <c r="O363" s="3">
        <v>45595.77023148148</v>
      </c>
      <c r="P363" s="3">
        <v>45595.77023148148</v>
      </c>
    </row>
    <row r="364">
      <c r="A364" s="1" t="s">
        <v>443</v>
      </c>
      <c r="B364" s="1" t="s">
        <v>17</v>
      </c>
      <c r="C364" s="1" t="s">
        <v>17</v>
      </c>
      <c r="D364" s="1" t="s">
        <v>17</v>
      </c>
      <c r="E364" s="1" t="s">
        <v>17</v>
      </c>
      <c r="F364" s="1" t="s">
        <v>17</v>
      </c>
      <c r="G364" s="4" t="str">
        <f>+54 9 3512 49-2260</f>
        <v>#ERROR!</v>
      </c>
      <c r="H364" s="1" t="s">
        <v>17</v>
      </c>
      <c r="I364" s="1">
        <v>0.0</v>
      </c>
      <c r="J364" s="1">
        <v>0.0</v>
      </c>
      <c r="K364" s="1" t="s">
        <v>17</v>
      </c>
      <c r="L364" s="1" t="s">
        <v>17</v>
      </c>
      <c r="M364" s="1" t="s">
        <v>17</v>
      </c>
      <c r="N364" s="1" t="s">
        <v>17</v>
      </c>
      <c r="O364" s="3">
        <v>45595.77979166667</v>
      </c>
      <c r="P364" s="3">
        <v>45595.77979166667</v>
      </c>
    </row>
    <row r="365">
      <c r="A365" s="1" t="s">
        <v>444</v>
      </c>
      <c r="B365" s="1" t="s">
        <v>17</v>
      </c>
      <c r="C365" s="1" t="s">
        <v>17</v>
      </c>
      <c r="D365" s="1" t="s">
        <v>17</v>
      </c>
      <c r="E365" s="1" t="s">
        <v>17</v>
      </c>
      <c r="F365" s="1" t="s">
        <v>17</v>
      </c>
      <c r="G365" s="4" t="str">
        <f>+54 9 3512 49-2260</f>
        <v>#ERROR!</v>
      </c>
      <c r="H365" s="1" t="s">
        <v>17</v>
      </c>
      <c r="I365" s="1">
        <v>0.0</v>
      </c>
      <c r="J365" s="1">
        <v>0.0</v>
      </c>
      <c r="K365" s="1" t="s">
        <v>17</v>
      </c>
      <c r="L365" s="1" t="s">
        <v>17</v>
      </c>
      <c r="M365" s="1" t="s">
        <v>17</v>
      </c>
      <c r="N365" s="1" t="s">
        <v>17</v>
      </c>
      <c r="O365" s="3">
        <v>45595.78008101852</v>
      </c>
      <c r="P365" s="3">
        <v>45595.78008101852</v>
      </c>
    </row>
    <row r="366">
      <c r="A366" s="1" t="s">
        <v>445</v>
      </c>
      <c r="B366" s="1" t="s">
        <v>17</v>
      </c>
      <c r="C366" s="1" t="s">
        <v>17</v>
      </c>
      <c r="D366" s="1" t="s">
        <v>17</v>
      </c>
      <c r="E366" s="1" t="s">
        <v>17</v>
      </c>
      <c r="F366" s="1" t="s">
        <v>17</v>
      </c>
      <c r="G366" s="4" t="str">
        <f>+54 9 3516 79-9957</f>
        <v>#ERROR!</v>
      </c>
      <c r="H366" s="1" t="s">
        <v>17</v>
      </c>
      <c r="I366" s="1">
        <v>0.0</v>
      </c>
      <c r="J366" s="1">
        <v>0.0</v>
      </c>
      <c r="K366" s="1" t="s">
        <v>17</v>
      </c>
      <c r="L366" s="1" t="s">
        <v>17</v>
      </c>
      <c r="M366" s="1" t="s">
        <v>17</v>
      </c>
      <c r="N366" s="1" t="s">
        <v>17</v>
      </c>
      <c r="O366" s="3">
        <v>45595.78628472222</v>
      </c>
      <c r="P366" s="3">
        <v>45595.78628472222</v>
      </c>
    </row>
    <row r="367">
      <c r="A367" s="1" t="s">
        <v>446</v>
      </c>
      <c r="B367" s="1" t="s">
        <v>17</v>
      </c>
      <c r="C367" s="1" t="s">
        <v>17</v>
      </c>
      <c r="D367" s="1" t="s">
        <v>17</v>
      </c>
      <c r="E367" s="1" t="s">
        <v>17</v>
      </c>
      <c r="F367" s="1" t="s">
        <v>17</v>
      </c>
      <c r="G367" s="4" t="str">
        <f>+54 9 3513 08-1620</f>
        <v>#ERROR!</v>
      </c>
      <c r="H367" s="1" t="s">
        <v>17</v>
      </c>
      <c r="I367" s="1">
        <v>0.0</v>
      </c>
      <c r="J367" s="1">
        <v>0.0</v>
      </c>
      <c r="K367" s="1" t="s">
        <v>17</v>
      </c>
      <c r="L367" s="1" t="s">
        <v>17</v>
      </c>
      <c r="M367" s="1" t="s">
        <v>17</v>
      </c>
      <c r="N367" s="1" t="s">
        <v>17</v>
      </c>
      <c r="O367" s="3">
        <v>45596.52659722222</v>
      </c>
      <c r="P367" s="3">
        <v>45596.52659722222</v>
      </c>
    </row>
    <row r="368">
      <c r="A368" s="1" t="s">
        <v>447</v>
      </c>
      <c r="B368" s="1" t="s">
        <v>17</v>
      </c>
      <c r="C368" s="1" t="s">
        <v>17</v>
      </c>
      <c r="D368" s="1" t="s">
        <v>17</v>
      </c>
      <c r="E368" s="1" t="s">
        <v>17</v>
      </c>
      <c r="F368" s="1" t="s">
        <v>17</v>
      </c>
      <c r="G368" s="4" t="str">
        <f>+54 9 3513 08-1620</f>
        <v>#ERROR!</v>
      </c>
      <c r="H368" s="1" t="s">
        <v>17</v>
      </c>
      <c r="I368" s="1">
        <v>0.0</v>
      </c>
      <c r="J368" s="1">
        <v>0.0</v>
      </c>
      <c r="K368" s="1" t="s">
        <v>17</v>
      </c>
      <c r="L368" s="1" t="s">
        <v>17</v>
      </c>
      <c r="M368" s="1" t="s">
        <v>17</v>
      </c>
      <c r="N368" s="1" t="s">
        <v>17</v>
      </c>
      <c r="O368" s="3">
        <v>45596.527546296296</v>
      </c>
      <c r="P368" s="3">
        <v>45596.527546296296</v>
      </c>
    </row>
    <row r="369">
      <c r="A369" s="1" t="s">
        <v>448</v>
      </c>
      <c r="B369" s="1" t="s">
        <v>17</v>
      </c>
      <c r="C369" s="1" t="s">
        <v>17</v>
      </c>
      <c r="D369" s="1" t="s">
        <v>17</v>
      </c>
      <c r="E369" s="1" t="s">
        <v>17</v>
      </c>
      <c r="F369" s="1" t="s">
        <v>17</v>
      </c>
      <c r="G369" s="4" t="str">
        <f>+54 9 3512 67-6444</f>
        <v>#ERROR!</v>
      </c>
      <c r="H369" s="1" t="s">
        <v>17</v>
      </c>
      <c r="I369" s="1">
        <v>0.0</v>
      </c>
      <c r="J369" s="1">
        <v>0.0</v>
      </c>
      <c r="K369" s="1" t="s">
        <v>17</v>
      </c>
      <c r="L369" s="1" t="s">
        <v>17</v>
      </c>
      <c r="M369" s="1" t="s">
        <v>17</v>
      </c>
      <c r="N369" s="1" t="s">
        <v>17</v>
      </c>
      <c r="O369" s="3">
        <v>45601.563680555555</v>
      </c>
      <c r="P369" s="3">
        <v>45601.563680555555</v>
      </c>
    </row>
    <row r="370">
      <c r="A370" s="1" t="s">
        <v>449</v>
      </c>
      <c r="B370" s="1" t="s">
        <v>17</v>
      </c>
      <c r="C370" s="1" t="s">
        <v>17</v>
      </c>
      <c r="D370" s="1" t="s">
        <v>17</v>
      </c>
      <c r="E370" s="1" t="s">
        <v>17</v>
      </c>
      <c r="F370" s="1" t="s">
        <v>17</v>
      </c>
      <c r="G370" s="4" t="str">
        <f>+54 9 3512 67-6444</f>
        <v>#ERROR!</v>
      </c>
      <c r="H370" s="1" t="s">
        <v>17</v>
      </c>
      <c r="I370" s="1">
        <v>0.0</v>
      </c>
      <c r="J370" s="1">
        <v>0.0</v>
      </c>
      <c r="K370" s="1" t="s">
        <v>17</v>
      </c>
      <c r="L370" s="1" t="s">
        <v>17</v>
      </c>
      <c r="M370" s="1" t="s">
        <v>17</v>
      </c>
      <c r="N370" s="1" t="s">
        <v>17</v>
      </c>
      <c r="O370" s="3">
        <v>45601.56790509259</v>
      </c>
      <c r="P370" s="3">
        <v>45601.56790509259</v>
      </c>
    </row>
    <row r="371">
      <c r="A371" s="1" t="s">
        <v>450</v>
      </c>
      <c r="B371" s="1" t="s">
        <v>17</v>
      </c>
      <c r="C371" s="1" t="s">
        <v>17</v>
      </c>
      <c r="D371" s="1" t="s">
        <v>17</v>
      </c>
      <c r="E371" s="1" t="s">
        <v>17</v>
      </c>
      <c r="F371" s="1" t="s">
        <v>17</v>
      </c>
      <c r="G371" s="4" t="str">
        <f>+54 9 3514 59-5968</f>
        <v>#ERROR!</v>
      </c>
      <c r="H371" s="1" t="s">
        <v>17</v>
      </c>
      <c r="I371" s="1">
        <v>0.0</v>
      </c>
      <c r="J371" s="1">
        <v>0.0</v>
      </c>
      <c r="K371" s="1" t="s">
        <v>17</v>
      </c>
      <c r="L371" s="1" t="s">
        <v>17</v>
      </c>
      <c r="M371" s="1" t="s">
        <v>17</v>
      </c>
      <c r="N371" s="1" t="s">
        <v>17</v>
      </c>
      <c r="O371" s="3">
        <v>45602.75167824074</v>
      </c>
      <c r="P371" s="3">
        <v>45602.75167824074</v>
      </c>
    </row>
    <row r="372">
      <c r="A372" s="1" t="s">
        <v>451</v>
      </c>
      <c r="B372" s="1" t="s">
        <v>17</v>
      </c>
      <c r="C372" s="1" t="s">
        <v>17</v>
      </c>
      <c r="D372" s="1" t="s">
        <v>17</v>
      </c>
      <c r="E372" s="1" t="s">
        <v>17</v>
      </c>
      <c r="F372" s="1" t="s">
        <v>17</v>
      </c>
      <c r="G372" s="4" t="str">
        <f>+64 210 228 1817</f>
        <v>#ERROR!</v>
      </c>
      <c r="H372" s="1" t="s">
        <v>17</v>
      </c>
      <c r="I372" s="1">
        <v>0.0</v>
      </c>
      <c r="J372" s="1">
        <v>0.0</v>
      </c>
      <c r="K372" s="1" t="s">
        <v>17</v>
      </c>
      <c r="L372" s="1" t="s">
        <v>17</v>
      </c>
      <c r="M372" s="1" t="s">
        <v>17</v>
      </c>
      <c r="N372" s="1" t="s">
        <v>17</v>
      </c>
      <c r="O372" s="3">
        <v>45602.752905092595</v>
      </c>
      <c r="P372" s="3">
        <v>45602.752905092595</v>
      </c>
    </row>
    <row r="373">
      <c r="A373" s="1" t="s">
        <v>452</v>
      </c>
      <c r="B373" s="1" t="s">
        <v>17</v>
      </c>
      <c r="C373" s="1" t="s">
        <v>17</v>
      </c>
      <c r="D373" s="1" t="s">
        <v>17</v>
      </c>
      <c r="E373" s="1" t="s">
        <v>17</v>
      </c>
      <c r="F373" s="1" t="s">
        <v>17</v>
      </c>
      <c r="G373" s="4" t="str">
        <f>+64 210 228 1817</f>
        <v>#ERROR!</v>
      </c>
      <c r="H373" s="1" t="s">
        <v>17</v>
      </c>
      <c r="I373" s="1">
        <v>0.0</v>
      </c>
      <c r="J373" s="1">
        <v>0.0</v>
      </c>
      <c r="K373" s="1" t="s">
        <v>17</v>
      </c>
      <c r="L373" s="1" t="s">
        <v>17</v>
      </c>
      <c r="M373" s="1" t="s">
        <v>17</v>
      </c>
      <c r="N373" s="1" t="s">
        <v>17</v>
      </c>
      <c r="O373" s="3">
        <v>45602.75582175926</v>
      </c>
      <c r="P373" s="3">
        <v>45602.75582175926</v>
      </c>
    </row>
    <row r="374">
      <c r="A374" s="1" t="s">
        <v>453</v>
      </c>
      <c r="B374" s="1" t="s">
        <v>17</v>
      </c>
      <c r="C374" s="1" t="s">
        <v>17</v>
      </c>
      <c r="D374" s="1" t="s">
        <v>17</v>
      </c>
      <c r="E374" s="1" t="s">
        <v>17</v>
      </c>
      <c r="F374" s="1" t="s">
        <v>17</v>
      </c>
      <c r="G374" s="4" t="str">
        <f>+54 9 3518 06-7615</f>
        <v>#ERROR!</v>
      </c>
      <c r="H374" s="1" t="s">
        <v>17</v>
      </c>
      <c r="I374" s="1">
        <v>0.0</v>
      </c>
      <c r="J374" s="1">
        <v>0.0</v>
      </c>
      <c r="K374" s="1" t="s">
        <v>17</v>
      </c>
      <c r="L374" s="1" t="s">
        <v>17</v>
      </c>
      <c r="M374" s="1" t="s">
        <v>17</v>
      </c>
      <c r="N374" s="1" t="s">
        <v>17</v>
      </c>
      <c r="O374" s="3">
        <v>45602.780625</v>
      </c>
      <c r="P374" s="3">
        <v>45602.780625</v>
      </c>
    </row>
    <row r="375">
      <c r="A375" s="1" t="s">
        <v>454</v>
      </c>
      <c r="B375" s="1" t="s">
        <v>17</v>
      </c>
      <c r="C375" s="1" t="s">
        <v>17</v>
      </c>
      <c r="D375" s="1" t="s">
        <v>17</v>
      </c>
      <c r="E375" s="1" t="s">
        <v>17</v>
      </c>
      <c r="F375" s="1" t="s">
        <v>17</v>
      </c>
      <c r="G375" s="4" t="str">
        <f>+54 9 3513 88-0594</f>
        <v>#ERROR!</v>
      </c>
      <c r="H375" s="1" t="s">
        <v>17</v>
      </c>
      <c r="I375" s="1">
        <v>0.0</v>
      </c>
      <c r="J375" s="1">
        <v>0.0</v>
      </c>
      <c r="K375" s="1" t="s">
        <v>17</v>
      </c>
      <c r="L375" s="1" t="s">
        <v>17</v>
      </c>
      <c r="M375" s="1" t="s">
        <v>17</v>
      </c>
      <c r="N375" s="1" t="s">
        <v>17</v>
      </c>
      <c r="O375" s="3">
        <v>45603.52513888889</v>
      </c>
      <c r="P375" s="3">
        <v>45603.52513888889</v>
      </c>
    </row>
    <row r="376">
      <c r="A376" s="1" t="s">
        <v>455</v>
      </c>
      <c r="B376" s="1" t="s">
        <v>17</v>
      </c>
      <c r="C376" s="1" t="s">
        <v>17</v>
      </c>
      <c r="D376" s="1" t="s">
        <v>17</v>
      </c>
      <c r="E376" s="1" t="s">
        <v>17</v>
      </c>
      <c r="F376" s="1" t="s">
        <v>17</v>
      </c>
      <c r="G376" s="4" t="str">
        <f>+54 9 3513 88-0594</f>
        <v>#ERROR!</v>
      </c>
      <c r="H376" s="1" t="s">
        <v>17</v>
      </c>
      <c r="I376" s="1">
        <v>0.0</v>
      </c>
      <c r="J376" s="1">
        <v>0.0</v>
      </c>
      <c r="K376" s="1" t="s">
        <v>17</v>
      </c>
      <c r="L376" s="1" t="s">
        <v>17</v>
      </c>
      <c r="M376" s="1" t="s">
        <v>17</v>
      </c>
      <c r="N376" s="1" t="s">
        <v>17</v>
      </c>
      <c r="O376" s="3">
        <v>45603.52643518519</v>
      </c>
      <c r="P376" s="3">
        <v>45603.52643518519</v>
      </c>
    </row>
    <row r="377">
      <c r="A377" s="1" t="s">
        <v>456</v>
      </c>
      <c r="B377" s="1" t="s">
        <v>17</v>
      </c>
      <c r="C377" s="1" t="s">
        <v>17</v>
      </c>
      <c r="D377" s="1" t="s">
        <v>17</v>
      </c>
      <c r="E377" s="1" t="s">
        <v>17</v>
      </c>
      <c r="F377" s="1" t="s">
        <v>17</v>
      </c>
      <c r="G377" s="4" t="str">
        <f>+54 9 3513 08-1620</f>
        <v>#ERROR!</v>
      </c>
      <c r="H377" s="1" t="s">
        <v>17</v>
      </c>
      <c r="I377" s="1">
        <v>0.0</v>
      </c>
      <c r="J377" s="1">
        <v>0.0</v>
      </c>
      <c r="K377" s="1" t="s">
        <v>17</v>
      </c>
      <c r="L377" s="1" t="s">
        <v>17</v>
      </c>
      <c r="M377" s="1" t="s">
        <v>17</v>
      </c>
      <c r="N377" s="1" t="s">
        <v>17</v>
      </c>
      <c r="O377" s="3">
        <v>45603.66952546296</v>
      </c>
      <c r="P377" s="3">
        <v>45603.66952546296</v>
      </c>
    </row>
    <row r="378">
      <c r="A378" s="1" t="s">
        <v>457</v>
      </c>
      <c r="B378" s="1" t="s">
        <v>17</v>
      </c>
      <c r="C378" s="1" t="s">
        <v>17</v>
      </c>
      <c r="D378" s="1" t="s">
        <v>17</v>
      </c>
      <c r="E378" s="1" t="s">
        <v>17</v>
      </c>
      <c r="F378" s="1" t="s">
        <v>17</v>
      </c>
      <c r="G378" s="1" t="s">
        <v>458</v>
      </c>
      <c r="H378" s="1" t="s">
        <v>17</v>
      </c>
      <c r="I378" s="1">
        <v>0.0</v>
      </c>
      <c r="J378" s="1">
        <v>0.0</v>
      </c>
      <c r="K378" s="1" t="s">
        <v>17</v>
      </c>
      <c r="L378" s="1" t="s">
        <v>17</v>
      </c>
      <c r="M378" s="1" t="s">
        <v>17</v>
      </c>
      <c r="N378" s="1" t="s">
        <v>17</v>
      </c>
      <c r="O378" s="3">
        <v>45604.66005787037</v>
      </c>
      <c r="P378" s="3">
        <v>45604.66005787037</v>
      </c>
    </row>
    <row r="379">
      <c r="A379" s="1" t="s">
        <v>459</v>
      </c>
      <c r="B379" s="1" t="s">
        <v>17</v>
      </c>
      <c r="C379" s="1" t="s">
        <v>17</v>
      </c>
      <c r="D379" s="1" t="s">
        <v>17</v>
      </c>
      <c r="E379" s="1" t="s">
        <v>17</v>
      </c>
      <c r="F379" s="1" t="s">
        <v>17</v>
      </c>
      <c r="G379" s="4" t="str">
        <f>+54 9 3512 37-0893</f>
        <v>#ERROR!</v>
      </c>
      <c r="H379" s="1" t="s">
        <v>17</v>
      </c>
      <c r="I379" s="1">
        <v>0.0</v>
      </c>
      <c r="J379" s="1">
        <v>0.0</v>
      </c>
      <c r="K379" s="1" t="s">
        <v>17</v>
      </c>
      <c r="L379" s="1" t="s">
        <v>17</v>
      </c>
      <c r="M379" s="1" t="s">
        <v>17</v>
      </c>
      <c r="N379" s="1" t="s">
        <v>17</v>
      </c>
      <c r="O379" s="3">
        <v>45604.72295138889</v>
      </c>
      <c r="P379" s="3">
        <v>45604.72295138889</v>
      </c>
    </row>
    <row r="380">
      <c r="A380" s="1" t="s">
        <v>460</v>
      </c>
      <c r="B380" s="1" t="s">
        <v>17</v>
      </c>
      <c r="C380" s="1" t="s">
        <v>17</v>
      </c>
      <c r="D380" s="1" t="s">
        <v>17</v>
      </c>
      <c r="E380" s="1" t="s">
        <v>17</v>
      </c>
      <c r="F380" s="1" t="s">
        <v>17</v>
      </c>
      <c r="G380" s="4" t="str">
        <f>+54 9 3516 72-6400</f>
        <v>#ERROR!</v>
      </c>
      <c r="H380" s="1" t="s">
        <v>17</v>
      </c>
      <c r="I380" s="1">
        <v>0.0</v>
      </c>
      <c r="J380" s="1">
        <v>0.0</v>
      </c>
      <c r="K380" s="1" t="s">
        <v>17</v>
      </c>
      <c r="L380" s="1" t="s">
        <v>17</v>
      </c>
      <c r="M380" s="1" t="s">
        <v>17</v>
      </c>
      <c r="N380" s="1" t="s">
        <v>17</v>
      </c>
      <c r="O380" s="3">
        <v>45604.760300925926</v>
      </c>
      <c r="P380" s="3">
        <v>45604.760300925926</v>
      </c>
    </row>
    <row r="381">
      <c r="A381" s="1" t="s">
        <v>461</v>
      </c>
      <c r="B381" s="1">
        <v>96.0</v>
      </c>
      <c r="C381" s="1" t="s">
        <v>462</v>
      </c>
      <c r="D381" s="1" t="s">
        <v>17</v>
      </c>
      <c r="E381" s="1" t="s">
        <v>17</v>
      </c>
      <c r="F381" s="1" t="s">
        <v>17</v>
      </c>
      <c r="G381" s="1" t="s">
        <v>17</v>
      </c>
      <c r="H381" s="1" t="s">
        <v>17</v>
      </c>
      <c r="I381" s="1">
        <v>0.0</v>
      </c>
      <c r="J381" s="1">
        <v>0.0</v>
      </c>
      <c r="K381" s="1" t="s">
        <v>17</v>
      </c>
      <c r="L381" s="1">
        <v>0.0</v>
      </c>
      <c r="M381" s="1" t="s">
        <v>17</v>
      </c>
      <c r="N381" s="1" t="s">
        <v>17</v>
      </c>
      <c r="O381" s="3">
        <v>45605.54849537037</v>
      </c>
      <c r="P381" s="3">
        <v>45605.54849537037</v>
      </c>
    </row>
    <row r="382">
      <c r="A382" s="1" t="s">
        <v>463</v>
      </c>
      <c r="B382" s="1" t="s">
        <v>17</v>
      </c>
      <c r="C382" s="1" t="s">
        <v>17</v>
      </c>
      <c r="D382" s="1" t="s">
        <v>17</v>
      </c>
      <c r="E382" s="1" t="s">
        <v>17</v>
      </c>
      <c r="F382" s="1" t="s">
        <v>17</v>
      </c>
      <c r="G382" s="1" t="s">
        <v>17</v>
      </c>
      <c r="H382" s="1" t="s">
        <v>17</v>
      </c>
      <c r="I382" s="1">
        <v>0.0</v>
      </c>
      <c r="J382" s="1">
        <v>0.0</v>
      </c>
      <c r="K382" s="1" t="s">
        <v>17</v>
      </c>
      <c r="L382" s="1" t="s">
        <v>17</v>
      </c>
      <c r="M382" s="1" t="s">
        <v>17</v>
      </c>
      <c r="N382" s="1" t="s">
        <v>17</v>
      </c>
      <c r="O382" s="3">
        <v>45607.70903935185</v>
      </c>
      <c r="P382" s="3">
        <v>45607.70903935185</v>
      </c>
    </row>
    <row r="383">
      <c r="A383" s="1" t="s">
        <v>464</v>
      </c>
      <c r="B383" s="1" t="s">
        <v>17</v>
      </c>
      <c r="C383" s="1" t="s">
        <v>17</v>
      </c>
      <c r="D383" s="1" t="s">
        <v>17</v>
      </c>
      <c r="E383" s="1" t="s">
        <v>17</v>
      </c>
      <c r="F383" s="1" t="s">
        <v>17</v>
      </c>
      <c r="G383" s="4" t="str">
        <f>+54 9 3571 68-7442</f>
        <v>#ERROR!</v>
      </c>
      <c r="H383" s="1" t="s">
        <v>17</v>
      </c>
      <c r="I383" s="1">
        <v>0.0</v>
      </c>
      <c r="J383" s="1">
        <v>0.0</v>
      </c>
      <c r="K383" s="1" t="s">
        <v>17</v>
      </c>
      <c r="L383" s="1" t="s">
        <v>17</v>
      </c>
      <c r="M383" s="1" t="s">
        <v>17</v>
      </c>
      <c r="N383" s="1" t="s">
        <v>17</v>
      </c>
      <c r="O383" s="3">
        <v>45607.77788194444</v>
      </c>
      <c r="P383" s="3">
        <v>45607.77788194444</v>
      </c>
    </row>
    <row r="384">
      <c r="A384" s="1" t="s">
        <v>465</v>
      </c>
      <c r="B384" s="1" t="s">
        <v>17</v>
      </c>
      <c r="C384" s="1" t="s">
        <v>17</v>
      </c>
      <c r="D384" s="1" t="s">
        <v>17</v>
      </c>
      <c r="E384" s="1" t="s">
        <v>17</v>
      </c>
      <c r="F384" s="1" t="s">
        <v>17</v>
      </c>
      <c r="G384" s="1" t="s">
        <v>17</v>
      </c>
      <c r="H384" s="1" t="s">
        <v>17</v>
      </c>
      <c r="I384" s="1">
        <v>0.0</v>
      </c>
      <c r="J384" s="1">
        <v>0.0</v>
      </c>
      <c r="K384" s="1" t="s">
        <v>17</v>
      </c>
      <c r="L384" s="1" t="s">
        <v>17</v>
      </c>
      <c r="M384" s="1" t="s">
        <v>17</v>
      </c>
      <c r="N384" s="1" t="s">
        <v>17</v>
      </c>
      <c r="O384" s="3">
        <v>45608.585069444445</v>
      </c>
      <c r="P384" s="3">
        <v>45608.585069444445</v>
      </c>
    </row>
    <row r="385">
      <c r="A385" s="1" t="s">
        <v>466</v>
      </c>
      <c r="B385" s="1" t="s">
        <v>17</v>
      </c>
      <c r="C385" s="1" t="s">
        <v>17</v>
      </c>
      <c r="D385" s="1" t="s">
        <v>17</v>
      </c>
      <c r="E385" s="1" t="s">
        <v>17</v>
      </c>
      <c r="F385" s="1" t="s">
        <v>17</v>
      </c>
      <c r="G385" s="4" t="str">
        <f>+54 9 364 456-7575</f>
        <v>#ERROR!</v>
      </c>
      <c r="H385" s="1" t="s">
        <v>17</v>
      </c>
      <c r="I385" s="1">
        <v>0.0</v>
      </c>
      <c r="J385" s="1">
        <v>0.0</v>
      </c>
      <c r="K385" s="1" t="s">
        <v>17</v>
      </c>
      <c r="L385" s="1" t="s">
        <v>17</v>
      </c>
      <c r="M385" s="1" t="s">
        <v>17</v>
      </c>
      <c r="N385" s="1" t="s">
        <v>17</v>
      </c>
      <c r="O385" s="3">
        <v>45609.538090277776</v>
      </c>
      <c r="P385" s="3">
        <v>45609.538090277776</v>
      </c>
    </row>
    <row r="386">
      <c r="A386" s="1" t="s">
        <v>467</v>
      </c>
      <c r="B386" s="1" t="s">
        <v>17</v>
      </c>
      <c r="C386" s="1" t="s">
        <v>17</v>
      </c>
      <c r="D386" s="1" t="s">
        <v>17</v>
      </c>
      <c r="E386" s="1" t="s">
        <v>17</v>
      </c>
      <c r="F386" s="1" t="s">
        <v>17</v>
      </c>
      <c r="G386" s="4" t="str">
        <f>+54 9 3515 99-5937</f>
        <v>#ERROR!</v>
      </c>
      <c r="H386" s="1" t="s">
        <v>17</v>
      </c>
      <c r="I386" s="1">
        <v>0.0</v>
      </c>
      <c r="J386" s="1">
        <v>0.0</v>
      </c>
      <c r="K386" s="1" t="s">
        <v>17</v>
      </c>
      <c r="L386" s="1" t="s">
        <v>17</v>
      </c>
      <c r="M386" s="1" t="s">
        <v>17</v>
      </c>
      <c r="N386" s="1" t="s">
        <v>17</v>
      </c>
      <c r="O386" s="3">
        <v>45609.741481481484</v>
      </c>
      <c r="P386" s="3">
        <v>45609.741481481484</v>
      </c>
    </row>
    <row r="387">
      <c r="A387" s="1" t="s">
        <v>468</v>
      </c>
      <c r="B387" s="1" t="s">
        <v>17</v>
      </c>
      <c r="C387" s="1" t="s">
        <v>17</v>
      </c>
      <c r="D387" s="1" t="s">
        <v>17</v>
      </c>
      <c r="E387" s="1" t="s">
        <v>17</v>
      </c>
      <c r="F387" s="1" t="s">
        <v>17</v>
      </c>
      <c r="G387" s="1">
        <v>3.54162302E9</v>
      </c>
      <c r="H387" s="1" t="s">
        <v>17</v>
      </c>
      <c r="I387" s="1">
        <v>0.0</v>
      </c>
      <c r="J387" s="1">
        <v>0.0</v>
      </c>
      <c r="K387" s="1" t="s">
        <v>17</v>
      </c>
      <c r="L387" s="1" t="s">
        <v>17</v>
      </c>
      <c r="M387" s="1" t="s">
        <v>17</v>
      </c>
      <c r="N387" s="1" t="s">
        <v>17</v>
      </c>
      <c r="O387" s="3">
        <v>45609.76425925926</v>
      </c>
      <c r="P387" s="3">
        <v>45609.76425925926</v>
      </c>
    </row>
    <row r="388">
      <c r="A388" s="1" t="s">
        <v>469</v>
      </c>
      <c r="B388" s="1" t="s">
        <v>17</v>
      </c>
      <c r="C388" s="1" t="s">
        <v>17</v>
      </c>
      <c r="D388" s="1" t="s">
        <v>17</v>
      </c>
      <c r="E388" s="1" t="s">
        <v>17</v>
      </c>
      <c r="F388" s="1" t="s">
        <v>17</v>
      </c>
      <c r="G388" s="1">
        <v>3.54162302E9</v>
      </c>
      <c r="H388" s="1" t="s">
        <v>17</v>
      </c>
      <c r="I388" s="1">
        <v>0.0</v>
      </c>
      <c r="J388" s="1">
        <v>0.0</v>
      </c>
      <c r="K388" s="1" t="s">
        <v>17</v>
      </c>
      <c r="L388" s="1" t="s">
        <v>17</v>
      </c>
      <c r="M388" s="1" t="s">
        <v>17</v>
      </c>
      <c r="N388" s="1" t="s">
        <v>17</v>
      </c>
      <c r="O388" s="3">
        <v>45609.76574074074</v>
      </c>
      <c r="P388" s="3">
        <v>45609.76574074074</v>
      </c>
    </row>
    <row r="389">
      <c r="A389" s="1" t="s">
        <v>470</v>
      </c>
      <c r="B389" s="1" t="s">
        <v>17</v>
      </c>
      <c r="C389" s="1" t="s">
        <v>17</v>
      </c>
      <c r="D389" s="1" t="s">
        <v>17</v>
      </c>
      <c r="E389" s="1" t="s">
        <v>17</v>
      </c>
      <c r="F389" s="1" t="s">
        <v>17</v>
      </c>
      <c r="G389" s="4" t="str">
        <f>+54 9 364 456-7575</f>
        <v>#ERROR!</v>
      </c>
      <c r="H389" s="1" t="s">
        <v>17</v>
      </c>
      <c r="I389" s="1">
        <v>0.0</v>
      </c>
      <c r="J389" s="1">
        <v>0.0</v>
      </c>
      <c r="K389" s="1" t="s">
        <v>17</v>
      </c>
      <c r="L389" s="1" t="s">
        <v>17</v>
      </c>
      <c r="M389" s="1" t="s">
        <v>17</v>
      </c>
      <c r="N389" s="1" t="s">
        <v>17</v>
      </c>
      <c r="O389" s="3">
        <v>45609.77008101852</v>
      </c>
      <c r="P389" s="3">
        <v>45609.77008101852</v>
      </c>
    </row>
    <row r="390">
      <c r="A390" s="1" t="s">
        <v>471</v>
      </c>
      <c r="B390" s="1" t="s">
        <v>17</v>
      </c>
      <c r="C390" s="1" t="s">
        <v>17</v>
      </c>
      <c r="D390" s="1" t="s">
        <v>17</v>
      </c>
      <c r="E390" s="1" t="s">
        <v>17</v>
      </c>
      <c r="F390" s="1" t="s">
        <v>17</v>
      </c>
      <c r="G390" s="4" t="str">
        <f>+54 9 3515 32-2868</f>
        <v>#ERROR!</v>
      </c>
      <c r="H390" s="1" t="s">
        <v>17</v>
      </c>
      <c r="I390" s="1">
        <v>0.0</v>
      </c>
      <c r="J390" s="1">
        <v>0.0</v>
      </c>
      <c r="K390" s="1" t="s">
        <v>17</v>
      </c>
      <c r="L390" s="1" t="s">
        <v>17</v>
      </c>
      <c r="M390" s="1" t="s">
        <v>17</v>
      </c>
      <c r="N390" s="1" t="s">
        <v>17</v>
      </c>
      <c r="O390" s="3">
        <v>45609.771678240744</v>
      </c>
      <c r="P390" s="3">
        <v>45609.771678240744</v>
      </c>
    </row>
    <row r="391">
      <c r="A391" s="1" t="s">
        <v>472</v>
      </c>
      <c r="B391" s="1" t="s">
        <v>17</v>
      </c>
      <c r="C391" s="1" t="s">
        <v>17</v>
      </c>
      <c r="D391" s="1" t="s">
        <v>17</v>
      </c>
      <c r="E391" s="1" t="s">
        <v>17</v>
      </c>
      <c r="F391" s="1" t="s">
        <v>17</v>
      </c>
      <c r="G391" s="4" t="str">
        <f>+54 9 3516 00-0777</f>
        <v>#ERROR!</v>
      </c>
      <c r="H391" s="1" t="s">
        <v>17</v>
      </c>
      <c r="I391" s="1">
        <v>0.0</v>
      </c>
      <c r="J391" s="1">
        <v>0.0</v>
      </c>
      <c r="K391" s="1" t="s">
        <v>17</v>
      </c>
      <c r="L391" s="1" t="s">
        <v>17</v>
      </c>
      <c r="M391" s="1" t="s">
        <v>17</v>
      </c>
      <c r="N391" s="1" t="s">
        <v>17</v>
      </c>
      <c r="O391" s="3">
        <v>45610.678449074076</v>
      </c>
      <c r="P391" s="3">
        <v>45610.678449074076</v>
      </c>
    </row>
    <row r="392">
      <c r="A392" s="1" t="s">
        <v>473</v>
      </c>
      <c r="B392" s="1" t="s">
        <v>17</v>
      </c>
      <c r="C392" s="1" t="s">
        <v>17</v>
      </c>
      <c r="D392" s="1" t="s">
        <v>17</v>
      </c>
      <c r="E392" s="1" t="s">
        <v>17</v>
      </c>
      <c r="F392" s="1" t="s">
        <v>17</v>
      </c>
      <c r="G392" s="4" t="str">
        <f>+54 9 3834 57-2839</f>
        <v>#ERROR!</v>
      </c>
      <c r="H392" s="1" t="s">
        <v>17</v>
      </c>
      <c r="I392" s="1">
        <v>0.0</v>
      </c>
      <c r="J392" s="1">
        <v>0.0</v>
      </c>
      <c r="K392" s="1" t="s">
        <v>17</v>
      </c>
      <c r="L392" s="1" t="s">
        <v>17</v>
      </c>
      <c r="M392" s="1" t="s">
        <v>17</v>
      </c>
      <c r="N392" s="1" t="s">
        <v>17</v>
      </c>
      <c r="O392" s="3">
        <v>45611.51173611111</v>
      </c>
      <c r="P392" s="3">
        <v>45611.51173611111</v>
      </c>
    </row>
    <row r="393">
      <c r="A393" s="1" t="s">
        <v>474</v>
      </c>
      <c r="B393" s="1" t="s">
        <v>17</v>
      </c>
      <c r="C393" s="1" t="s">
        <v>17</v>
      </c>
      <c r="D393" s="1" t="s">
        <v>17</v>
      </c>
      <c r="E393" s="1" t="s">
        <v>17</v>
      </c>
      <c r="F393" s="1" t="s">
        <v>17</v>
      </c>
      <c r="G393" s="4" t="str">
        <f>+54 9 3834 57-2839</f>
        <v>#ERROR!</v>
      </c>
      <c r="H393" s="1" t="s">
        <v>17</v>
      </c>
      <c r="I393" s="1">
        <v>0.0</v>
      </c>
      <c r="J393" s="1">
        <v>0.0</v>
      </c>
      <c r="K393" s="1" t="s">
        <v>17</v>
      </c>
      <c r="L393" s="1" t="s">
        <v>17</v>
      </c>
      <c r="M393" s="1" t="s">
        <v>17</v>
      </c>
      <c r="N393" s="1" t="s">
        <v>17</v>
      </c>
      <c r="O393" s="3">
        <v>45611.51217592593</v>
      </c>
      <c r="P393" s="3">
        <v>45611.51217592593</v>
      </c>
    </row>
    <row r="394">
      <c r="A394" s="1" t="s">
        <v>475</v>
      </c>
      <c r="B394" s="1">
        <v>96.0</v>
      </c>
      <c r="C394" s="1">
        <v>3.1218852E7</v>
      </c>
      <c r="D394" s="1" t="s">
        <v>17</v>
      </c>
      <c r="E394" s="1" t="s">
        <v>17</v>
      </c>
      <c r="F394" s="1" t="s">
        <v>17</v>
      </c>
      <c r="G394" s="1" t="s">
        <v>17</v>
      </c>
      <c r="H394" s="1" t="s">
        <v>17</v>
      </c>
      <c r="I394" s="1">
        <v>0.0</v>
      </c>
      <c r="J394" s="1">
        <v>0.0</v>
      </c>
      <c r="K394" s="1" t="s">
        <v>17</v>
      </c>
      <c r="L394" s="1" t="s">
        <v>17</v>
      </c>
      <c r="M394" s="1" t="s">
        <v>17</v>
      </c>
      <c r="N394" s="1" t="s">
        <v>17</v>
      </c>
      <c r="O394" s="3">
        <v>45618.757789351854</v>
      </c>
      <c r="P394" s="3">
        <v>45618.757789351854</v>
      </c>
    </row>
    <row r="395">
      <c r="A395" s="1" t="s">
        <v>476</v>
      </c>
      <c r="B395" s="1" t="s">
        <v>17</v>
      </c>
      <c r="C395" s="1" t="s">
        <v>17</v>
      </c>
      <c r="D395" s="1" t="s">
        <v>17</v>
      </c>
      <c r="E395" s="1" t="s">
        <v>17</v>
      </c>
      <c r="F395" s="1" t="s">
        <v>17</v>
      </c>
      <c r="G395" s="1" t="s">
        <v>17</v>
      </c>
      <c r="H395" s="1" t="s">
        <v>17</v>
      </c>
      <c r="I395" s="1">
        <v>0.0</v>
      </c>
      <c r="J395" s="1">
        <v>0.0</v>
      </c>
      <c r="K395" s="1" t="s">
        <v>17</v>
      </c>
      <c r="L395" s="1" t="s">
        <v>17</v>
      </c>
      <c r="M395" s="1" t="s">
        <v>17</v>
      </c>
      <c r="N395" s="1" t="s">
        <v>17</v>
      </c>
      <c r="O395" s="3">
        <v>45618.76798611111</v>
      </c>
      <c r="P395" s="3">
        <v>45618.76798611111</v>
      </c>
    </row>
    <row r="396">
      <c r="A396" s="1" t="s">
        <v>477</v>
      </c>
      <c r="B396" s="1" t="s">
        <v>17</v>
      </c>
      <c r="C396" s="1" t="s">
        <v>17</v>
      </c>
      <c r="D396" s="1" t="s">
        <v>17</v>
      </c>
      <c r="E396" s="1" t="s">
        <v>17</v>
      </c>
      <c r="F396" s="1" t="s">
        <v>17</v>
      </c>
      <c r="G396" s="1" t="s">
        <v>17</v>
      </c>
      <c r="H396" s="1" t="s">
        <v>17</v>
      </c>
      <c r="I396" s="1">
        <v>0.0</v>
      </c>
      <c r="J396" s="1">
        <v>0.0</v>
      </c>
      <c r="K396" s="1" t="s">
        <v>17</v>
      </c>
      <c r="L396" s="1" t="s">
        <v>17</v>
      </c>
      <c r="M396" s="1" t="s">
        <v>17</v>
      </c>
      <c r="N396" s="1" t="s">
        <v>17</v>
      </c>
      <c r="O396" s="3">
        <v>45618.769467592596</v>
      </c>
      <c r="P396" s="3">
        <v>45618.769467592596</v>
      </c>
    </row>
    <row r="397">
      <c r="A397" s="1" t="s">
        <v>478</v>
      </c>
      <c r="B397" s="1" t="s">
        <v>17</v>
      </c>
      <c r="C397" s="1" t="s">
        <v>17</v>
      </c>
      <c r="D397" s="1" t="s">
        <v>17</v>
      </c>
      <c r="E397" s="1" t="s">
        <v>17</v>
      </c>
      <c r="F397" s="1" t="s">
        <v>17</v>
      </c>
      <c r="G397" s="1" t="s">
        <v>17</v>
      </c>
      <c r="H397" s="1" t="s">
        <v>17</v>
      </c>
      <c r="I397" s="1">
        <v>0.0</v>
      </c>
      <c r="J397" s="1">
        <v>0.0</v>
      </c>
      <c r="K397" s="1" t="s">
        <v>17</v>
      </c>
      <c r="L397" s="1" t="s">
        <v>17</v>
      </c>
      <c r="M397" s="1" t="s">
        <v>17</v>
      </c>
      <c r="N397" s="1" t="s">
        <v>17</v>
      </c>
      <c r="O397" s="3">
        <v>45618.77043981481</v>
      </c>
      <c r="P397" s="3">
        <v>45618.77043981481</v>
      </c>
    </row>
    <row r="398">
      <c r="A398" s="1" t="s">
        <v>479</v>
      </c>
      <c r="B398" s="1" t="s">
        <v>17</v>
      </c>
      <c r="C398" s="1" t="s">
        <v>17</v>
      </c>
      <c r="D398" s="1" t="s">
        <v>17</v>
      </c>
      <c r="E398" s="1" t="s">
        <v>17</v>
      </c>
      <c r="F398" s="1" t="s">
        <v>17</v>
      </c>
      <c r="G398" s="4" t="str">
        <f>+54 9 11 3124-4999</f>
        <v>#ERROR!</v>
      </c>
      <c r="H398" s="1" t="s">
        <v>17</v>
      </c>
      <c r="I398" s="1">
        <v>0.0</v>
      </c>
      <c r="J398" s="1">
        <v>0.0</v>
      </c>
      <c r="K398" s="1" t="s">
        <v>17</v>
      </c>
      <c r="L398" s="1" t="s">
        <v>17</v>
      </c>
      <c r="M398" s="1" t="s">
        <v>17</v>
      </c>
      <c r="N398" s="1" t="s">
        <v>17</v>
      </c>
      <c r="O398" s="3">
        <v>45621.44168981481</v>
      </c>
      <c r="P398" s="3">
        <v>45621.44168981481</v>
      </c>
    </row>
    <row r="399">
      <c r="A399" s="1" t="s">
        <v>480</v>
      </c>
      <c r="B399" s="1" t="s">
        <v>17</v>
      </c>
      <c r="C399" s="1" t="s">
        <v>17</v>
      </c>
      <c r="D399" s="1" t="s">
        <v>17</v>
      </c>
      <c r="E399" s="1" t="s">
        <v>17</v>
      </c>
      <c r="F399" s="1" t="s">
        <v>17</v>
      </c>
      <c r="G399" s="4" t="str">
        <f>+54 9 3515 14-4217</f>
        <v>#ERROR!</v>
      </c>
      <c r="H399" s="1" t="s">
        <v>17</v>
      </c>
      <c r="I399" s="1">
        <v>0.0</v>
      </c>
      <c r="J399" s="1">
        <v>0.0</v>
      </c>
      <c r="K399" s="1" t="s">
        <v>17</v>
      </c>
      <c r="L399" s="1" t="s">
        <v>17</v>
      </c>
      <c r="M399" s="1" t="s">
        <v>17</v>
      </c>
      <c r="N399" s="1" t="s">
        <v>17</v>
      </c>
      <c r="O399" s="3">
        <v>45621.447488425925</v>
      </c>
      <c r="P399" s="3">
        <v>45621.447488425925</v>
      </c>
    </row>
    <row r="400">
      <c r="A400" s="1" t="s">
        <v>481</v>
      </c>
      <c r="B400" s="1" t="s">
        <v>17</v>
      </c>
      <c r="C400" s="1" t="s">
        <v>17</v>
      </c>
      <c r="D400" s="1" t="s">
        <v>17</v>
      </c>
      <c r="E400" s="1" t="s">
        <v>17</v>
      </c>
      <c r="F400" s="1" t="s">
        <v>17</v>
      </c>
      <c r="G400" s="4" t="str">
        <f>+54 9 3515 14-4217</f>
        <v>#ERROR!</v>
      </c>
      <c r="H400" s="1" t="s">
        <v>17</v>
      </c>
      <c r="I400" s="1">
        <v>0.0</v>
      </c>
      <c r="J400" s="1">
        <v>0.0</v>
      </c>
      <c r="K400" s="1" t="s">
        <v>17</v>
      </c>
      <c r="L400" s="1" t="s">
        <v>17</v>
      </c>
      <c r="M400" s="1" t="s">
        <v>17</v>
      </c>
      <c r="N400" s="1" t="s">
        <v>17</v>
      </c>
      <c r="O400" s="3">
        <v>45621.44855324074</v>
      </c>
      <c r="P400" s="3">
        <v>45621.44855324074</v>
      </c>
    </row>
    <row r="401">
      <c r="A401" s="1" t="s">
        <v>482</v>
      </c>
      <c r="B401" s="1" t="s">
        <v>17</v>
      </c>
      <c r="C401" s="1" t="s">
        <v>17</v>
      </c>
      <c r="D401" s="1" t="s">
        <v>17</v>
      </c>
      <c r="E401" s="1" t="s">
        <v>17</v>
      </c>
      <c r="F401" s="1" t="s">
        <v>17</v>
      </c>
      <c r="G401" s="4" t="str">
        <f>+54 9 3515 14-4217</f>
        <v>#ERROR!</v>
      </c>
      <c r="H401" s="1" t="s">
        <v>17</v>
      </c>
      <c r="I401" s="1">
        <v>0.0</v>
      </c>
      <c r="J401" s="1">
        <v>0.0</v>
      </c>
      <c r="K401" s="1" t="s">
        <v>17</v>
      </c>
      <c r="L401" s="1" t="s">
        <v>17</v>
      </c>
      <c r="M401" s="1" t="s">
        <v>17</v>
      </c>
      <c r="N401" s="1" t="s">
        <v>17</v>
      </c>
      <c r="O401" s="3">
        <v>45621.44877314815</v>
      </c>
      <c r="P401" s="3">
        <v>45621.44877314815</v>
      </c>
    </row>
    <row r="402">
      <c r="A402" s="1" t="s">
        <v>475</v>
      </c>
      <c r="B402" s="1" t="s">
        <v>17</v>
      </c>
      <c r="C402" s="1" t="s">
        <v>17</v>
      </c>
      <c r="D402" s="1" t="s">
        <v>17</v>
      </c>
      <c r="E402" s="1" t="s">
        <v>17</v>
      </c>
      <c r="F402" s="1" t="s">
        <v>17</v>
      </c>
      <c r="G402" s="4" t="str">
        <f>+54 9 3513 22-2055</f>
        <v>#ERROR!</v>
      </c>
      <c r="H402" s="1" t="s">
        <v>17</v>
      </c>
      <c r="I402" s="1">
        <v>0.0</v>
      </c>
      <c r="J402" s="1">
        <v>0.0</v>
      </c>
      <c r="K402" s="1" t="s">
        <v>17</v>
      </c>
      <c r="L402" s="1" t="s">
        <v>17</v>
      </c>
      <c r="M402" s="1" t="s">
        <v>17</v>
      </c>
      <c r="N402" s="1" t="s">
        <v>17</v>
      </c>
      <c r="O402" s="3">
        <v>45621.51216435185</v>
      </c>
      <c r="P402" s="3">
        <v>45621.51216435185</v>
      </c>
    </row>
    <row r="403">
      <c r="A403" s="1" t="s">
        <v>483</v>
      </c>
      <c r="B403" s="1" t="s">
        <v>378</v>
      </c>
      <c r="C403" s="1" t="s">
        <v>17</v>
      </c>
      <c r="D403" s="1" t="s">
        <v>17</v>
      </c>
      <c r="E403" s="1" t="s">
        <v>17</v>
      </c>
      <c r="F403" s="1" t="s">
        <v>17</v>
      </c>
      <c r="G403" s="4" t="str">
        <f>+54 9 2901 61-4820</f>
        <v>#ERROR!</v>
      </c>
      <c r="H403" s="1" t="s">
        <v>17</v>
      </c>
      <c r="I403" s="1">
        <v>0.0</v>
      </c>
      <c r="J403" s="1">
        <v>0.0</v>
      </c>
      <c r="K403" s="1" t="s">
        <v>17</v>
      </c>
      <c r="L403" s="1" t="s">
        <v>17</v>
      </c>
      <c r="M403" s="1" t="s">
        <v>17</v>
      </c>
      <c r="N403" s="1" t="s">
        <v>17</v>
      </c>
      <c r="O403" s="3">
        <v>45621.653391203705</v>
      </c>
      <c r="P403" s="3">
        <v>45621.653391203705</v>
      </c>
    </row>
    <row r="404">
      <c r="A404" s="1" t="s">
        <v>484</v>
      </c>
      <c r="B404" s="1" t="s">
        <v>17</v>
      </c>
      <c r="C404" s="1" t="s">
        <v>17</v>
      </c>
      <c r="D404" s="1" t="s">
        <v>17</v>
      </c>
      <c r="E404" s="1" t="s">
        <v>17</v>
      </c>
      <c r="F404" s="1" t="s">
        <v>17</v>
      </c>
      <c r="G404" s="4" t="str">
        <f>+54 9 2901 61-4820</f>
        <v>#ERROR!</v>
      </c>
      <c r="H404" s="1" t="s">
        <v>17</v>
      </c>
      <c r="I404" s="1">
        <v>0.0</v>
      </c>
      <c r="J404" s="1">
        <v>0.0</v>
      </c>
      <c r="K404" s="1" t="s">
        <v>17</v>
      </c>
      <c r="L404" s="1" t="s">
        <v>17</v>
      </c>
      <c r="M404" s="1" t="s">
        <v>17</v>
      </c>
      <c r="N404" s="1" t="s">
        <v>17</v>
      </c>
      <c r="O404" s="3">
        <v>45621.654756944445</v>
      </c>
      <c r="P404" s="3">
        <v>45621.654756944445</v>
      </c>
    </row>
    <row r="405">
      <c r="A405" s="1" t="s">
        <v>485</v>
      </c>
      <c r="B405" s="1">
        <v>96.0</v>
      </c>
      <c r="C405" s="1">
        <v>3.5612821E7</v>
      </c>
      <c r="D405" s="1" t="s">
        <v>17</v>
      </c>
      <c r="E405" s="1" t="s">
        <v>17</v>
      </c>
      <c r="F405" s="1" t="s">
        <v>17</v>
      </c>
      <c r="G405" s="1">
        <v>3.513880939E9</v>
      </c>
      <c r="H405" s="1" t="s">
        <v>17</v>
      </c>
      <c r="I405" s="1">
        <v>0.0</v>
      </c>
      <c r="J405" s="1">
        <v>0.0</v>
      </c>
      <c r="K405" s="1" t="s">
        <v>17</v>
      </c>
      <c r="L405" s="1" t="s">
        <v>17</v>
      </c>
      <c r="M405" s="1" t="s">
        <v>17</v>
      </c>
      <c r="N405" s="1" t="s">
        <v>17</v>
      </c>
      <c r="O405" s="3">
        <v>45621.80173611111</v>
      </c>
      <c r="P405" s="3">
        <v>45621.80173611111</v>
      </c>
    </row>
    <row r="406">
      <c r="A406" s="1" t="s">
        <v>486</v>
      </c>
      <c r="B406" s="1" t="s">
        <v>17</v>
      </c>
      <c r="C406" s="1" t="s">
        <v>17</v>
      </c>
      <c r="D406" s="1" t="s">
        <v>17</v>
      </c>
      <c r="E406" s="1" t="s">
        <v>17</v>
      </c>
      <c r="F406" s="1" t="s">
        <v>17</v>
      </c>
      <c r="G406" s="4" t="str">
        <f>+54 9 3517 52-7876</f>
        <v>#ERROR!</v>
      </c>
      <c r="H406" s="1" t="s">
        <v>17</v>
      </c>
      <c r="I406" s="1">
        <v>0.0</v>
      </c>
      <c r="J406" s="1">
        <v>0.0</v>
      </c>
      <c r="K406" s="1" t="s">
        <v>17</v>
      </c>
      <c r="L406" s="1" t="s">
        <v>17</v>
      </c>
      <c r="M406" s="1" t="s">
        <v>17</v>
      </c>
      <c r="N406" s="1" t="s">
        <v>17</v>
      </c>
      <c r="O406" s="3">
        <v>45623.70892361111</v>
      </c>
      <c r="P406" s="3">
        <v>45623.70892361111</v>
      </c>
    </row>
    <row r="407">
      <c r="A407" s="1" t="s">
        <v>487</v>
      </c>
      <c r="B407" s="1" t="s">
        <v>17</v>
      </c>
      <c r="C407" s="1" t="s">
        <v>17</v>
      </c>
      <c r="D407" s="1" t="s">
        <v>17</v>
      </c>
      <c r="E407" s="1" t="s">
        <v>17</v>
      </c>
      <c r="F407" s="1" t="s">
        <v>17</v>
      </c>
      <c r="G407" s="4" t="str">
        <f>+54 9 3513 22-8226</f>
        <v>#ERROR!</v>
      </c>
      <c r="H407" s="1" t="s">
        <v>17</v>
      </c>
      <c r="I407" s="1">
        <v>0.0</v>
      </c>
      <c r="J407" s="1">
        <v>0.0</v>
      </c>
      <c r="K407" s="1" t="s">
        <v>17</v>
      </c>
      <c r="L407" s="1" t="s">
        <v>17</v>
      </c>
      <c r="M407" s="1" t="s">
        <v>17</v>
      </c>
      <c r="N407" s="1" t="s">
        <v>17</v>
      </c>
      <c r="O407" s="3">
        <v>45623.73804398148</v>
      </c>
      <c r="P407" s="3">
        <v>45623.73804398148</v>
      </c>
    </row>
    <row r="408">
      <c r="A408" s="1" t="s">
        <v>488</v>
      </c>
      <c r="B408" s="1" t="s">
        <v>17</v>
      </c>
      <c r="C408" s="1" t="s">
        <v>17</v>
      </c>
      <c r="D408" s="1" t="s">
        <v>17</v>
      </c>
      <c r="E408" s="1" t="s">
        <v>17</v>
      </c>
      <c r="F408" s="1" t="s">
        <v>17</v>
      </c>
      <c r="G408" s="4" t="str">
        <f>+54 9 3513 22-8226</f>
        <v>#ERROR!</v>
      </c>
      <c r="H408" s="1" t="s">
        <v>17</v>
      </c>
      <c r="I408" s="1">
        <v>0.0</v>
      </c>
      <c r="J408" s="1">
        <v>0.0</v>
      </c>
      <c r="K408" s="1" t="s">
        <v>17</v>
      </c>
      <c r="L408" s="1" t="s">
        <v>17</v>
      </c>
      <c r="M408" s="1" t="s">
        <v>17</v>
      </c>
      <c r="N408" s="1" t="s">
        <v>17</v>
      </c>
      <c r="O408" s="3">
        <v>45624.38744212963</v>
      </c>
      <c r="P408" s="3">
        <v>45624.38744212963</v>
      </c>
    </row>
    <row r="409">
      <c r="A409" s="1" t="s">
        <v>487</v>
      </c>
      <c r="B409" s="1" t="s">
        <v>17</v>
      </c>
      <c r="C409" s="1" t="s">
        <v>17</v>
      </c>
      <c r="D409" s="1" t="s">
        <v>17</v>
      </c>
      <c r="E409" s="1" t="s">
        <v>17</v>
      </c>
      <c r="F409" s="1" t="s">
        <v>17</v>
      </c>
      <c r="G409" s="4" t="str">
        <f>+54 9 3513 22-8226</f>
        <v>#ERROR!</v>
      </c>
      <c r="H409" s="1" t="s">
        <v>17</v>
      </c>
      <c r="I409" s="1">
        <v>0.0</v>
      </c>
      <c r="J409" s="1">
        <v>0.0</v>
      </c>
      <c r="K409" s="1" t="s">
        <v>17</v>
      </c>
      <c r="L409" s="1" t="s">
        <v>17</v>
      </c>
      <c r="M409" s="1" t="s">
        <v>17</v>
      </c>
      <c r="N409" s="1" t="s">
        <v>17</v>
      </c>
      <c r="O409" s="3">
        <v>45624.38811342593</v>
      </c>
      <c r="P409" s="3">
        <v>45624.38811342593</v>
      </c>
    </row>
    <row r="410">
      <c r="A410" s="1" t="s">
        <v>489</v>
      </c>
      <c r="B410" s="1" t="s">
        <v>17</v>
      </c>
      <c r="C410" s="1" t="s">
        <v>17</v>
      </c>
      <c r="D410" s="1" t="s">
        <v>17</v>
      </c>
      <c r="E410" s="1" t="s">
        <v>17</v>
      </c>
      <c r="F410" s="1" t="s">
        <v>17</v>
      </c>
      <c r="G410" s="4" t="str">
        <f>+54 9 2974 61-6171</f>
        <v>#ERROR!</v>
      </c>
      <c r="H410" s="1" t="s">
        <v>17</v>
      </c>
      <c r="I410" s="1">
        <v>0.0</v>
      </c>
      <c r="J410" s="1">
        <v>0.0</v>
      </c>
      <c r="K410" s="1" t="s">
        <v>17</v>
      </c>
      <c r="L410" s="1" t="s">
        <v>17</v>
      </c>
      <c r="M410" s="1" t="s">
        <v>17</v>
      </c>
      <c r="N410" s="1" t="s">
        <v>17</v>
      </c>
      <c r="O410" s="3">
        <v>45625.773981481485</v>
      </c>
      <c r="P410" s="3">
        <v>45625.773981481485</v>
      </c>
    </row>
    <row r="411">
      <c r="A411" s="1" t="s">
        <v>490</v>
      </c>
      <c r="B411" s="1" t="s">
        <v>17</v>
      </c>
      <c r="C411" s="1" t="s">
        <v>17</v>
      </c>
      <c r="D411" s="1" t="s">
        <v>17</v>
      </c>
      <c r="E411" s="1" t="s">
        <v>17</v>
      </c>
      <c r="F411" s="1" t="s">
        <v>17</v>
      </c>
      <c r="G411" s="4" t="str">
        <f>+54 9 2974 30-4420</f>
        <v>#ERROR!</v>
      </c>
      <c r="H411" s="1" t="s">
        <v>17</v>
      </c>
      <c r="I411" s="1">
        <v>0.0</v>
      </c>
      <c r="J411" s="1">
        <v>0.0</v>
      </c>
      <c r="K411" s="1" t="s">
        <v>17</v>
      </c>
      <c r="L411" s="1" t="s">
        <v>17</v>
      </c>
      <c r="M411" s="1" t="s">
        <v>17</v>
      </c>
      <c r="N411" s="1" t="s">
        <v>17</v>
      </c>
      <c r="O411" s="3">
        <v>45625.78637731481</v>
      </c>
      <c r="P411" s="3">
        <v>45625.78637731481</v>
      </c>
    </row>
    <row r="412">
      <c r="A412" s="1" t="s">
        <v>491</v>
      </c>
      <c r="B412" s="1" t="s">
        <v>17</v>
      </c>
      <c r="C412" s="1" t="s">
        <v>17</v>
      </c>
      <c r="D412" s="1" t="s">
        <v>17</v>
      </c>
      <c r="E412" s="1" t="s">
        <v>17</v>
      </c>
      <c r="F412" s="1" t="s">
        <v>17</v>
      </c>
      <c r="G412" s="4" t="str">
        <f>+54 9 3513 64-5546</f>
        <v>#ERROR!</v>
      </c>
      <c r="H412" s="1" t="s">
        <v>17</v>
      </c>
      <c r="I412" s="1">
        <v>0.0</v>
      </c>
      <c r="J412" s="1">
        <v>0.0</v>
      </c>
      <c r="K412" s="1" t="s">
        <v>17</v>
      </c>
      <c r="L412" s="1" t="s">
        <v>17</v>
      </c>
      <c r="M412" s="1" t="s">
        <v>17</v>
      </c>
      <c r="N412" s="1" t="s">
        <v>17</v>
      </c>
      <c r="O412" s="3">
        <v>45628.68714120371</v>
      </c>
      <c r="P412" s="3">
        <v>45628.68714120371</v>
      </c>
    </row>
    <row r="413">
      <c r="A413" s="1" t="s">
        <v>492</v>
      </c>
      <c r="B413" s="1" t="s">
        <v>17</v>
      </c>
      <c r="C413" s="1" t="s">
        <v>17</v>
      </c>
      <c r="D413" s="1" t="s">
        <v>17</v>
      </c>
      <c r="E413" s="1" t="s">
        <v>17</v>
      </c>
      <c r="F413" s="1" t="s">
        <v>17</v>
      </c>
      <c r="G413" s="4" t="str">
        <f>+54 9 3513 46-5832</f>
        <v>#ERROR!</v>
      </c>
      <c r="H413" s="1" t="s">
        <v>17</v>
      </c>
      <c r="I413" s="1">
        <v>0.0</v>
      </c>
      <c r="J413" s="1">
        <v>0.0</v>
      </c>
      <c r="K413" s="1" t="s">
        <v>17</v>
      </c>
      <c r="L413" s="1" t="s">
        <v>17</v>
      </c>
      <c r="M413" s="1" t="s">
        <v>17</v>
      </c>
      <c r="N413" s="1" t="s">
        <v>17</v>
      </c>
      <c r="O413" s="3">
        <v>45628.717361111114</v>
      </c>
      <c r="P413" s="3">
        <v>45628.717361111114</v>
      </c>
    </row>
    <row r="414">
      <c r="A414" s="1" t="s">
        <v>493</v>
      </c>
      <c r="B414" s="1" t="s">
        <v>17</v>
      </c>
      <c r="C414" s="1" t="s">
        <v>17</v>
      </c>
      <c r="D414" s="1" t="s">
        <v>17</v>
      </c>
      <c r="E414" s="1" t="s">
        <v>17</v>
      </c>
      <c r="F414" s="1" t="s">
        <v>17</v>
      </c>
      <c r="G414" s="4" t="str">
        <f>+54 9 3516 34-9310</f>
        <v>#ERROR!</v>
      </c>
      <c r="H414" s="1" t="s">
        <v>17</v>
      </c>
      <c r="I414" s="1">
        <v>0.0</v>
      </c>
      <c r="J414" s="1">
        <v>0.0</v>
      </c>
      <c r="K414" s="1" t="s">
        <v>17</v>
      </c>
      <c r="L414" s="1" t="s">
        <v>17</v>
      </c>
      <c r="M414" s="1" t="s">
        <v>17</v>
      </c>
      <c r="N414" s="1" t="s">
        <v>17</v>
      </c>
      <c r="O414" s="3">
        <v>45629.7124537037</v>
      </c>
      <c r="P414" s="3">
        <v>45629.7124537037</v>
      </c>
    </row>
    <row r="415">
      <c r="A415" s="1" t="s">
        <v>494</v>
      </c>
      <c r="B415" s="1" t="s">
        <v>17</v>
      </c>
      <c r="C415" s="1" t="s">
        <v>17</v>
      </c>
      <c r="D415" s="1" t="s">
        <v>17</v>
      </c>
      <c r="E415" s="1" t="s">
        <v>17</v>
      </c>
      <c r="F415" s="1" t="s">
        <v>17</v>
      </c>
      <c r="G415" s="4" t="str">
        <f>+54 9 3513 22-2055</f>
        <v>#ERROR!</v>
      </c>
      <c r="H415" s="1" t="s">
        <v>17</v>
      </c>
      <c r="I415" s="1">
        <v>0.0</v>
      </c>
      <c r="J415" s="1">
        <v>0.0</v>
      </c>
      <c r="K415" s="1" t="s">
        <v>17</v>
      </c>
      <c r="L415" s="1" t="s">
        <v>17</v>
      </c>
      <c r="M415" s="1" t="s">
        <v>17</v>
      </c>
      <c r="N415" s="1" t="s">
        <v>17</v>
      </c>
      <c r="O415" s="3">
        <v>45629.714895833335</v>
      </c>
      <c r="P415" s="3">
        <v>45629.714895833335</v>
      </c>
    </row>
    <row r="416">
      <c r="A416" s="1" t="s">
        <v>495</v>
      </c>
      <c r="B416" s="1" t="s">
        <v>17</v>
      </c>
      <c r="C416" s="1" t="s">
        <v>17</v>
      </c>
      <c r="D416" s="1" t="s">
        <v>17</v>
      </c>
      <c r="E416" s="1" t="s">
        <v>17</v>
      </c>
      <c r="F416" s="1" t="s">
        <v>17</v>
      </c>
      <c r="G416" s="4" t="str">
        <f>+54 9 3516 36-0085</f>
        <v>#ERROR!</v>
      </c>
      <c r="H416" s="1" t="s">
        <v>17</v>
      </c>
      <c r="I416" s="1">
        <v>0.0</v>
      </c>
      <c r="J416" s="1">
        <v>0.0</v>
      </c>
      <c r="K416" s="1" t="s">
        <v>17</v>
      </c>
      <c r="L416" s="1" t="s">
        <v>17</v>
      </c>
      <c r="M416" s="1" t="s">
        <v>17</v>
      </c>
      <c r="N416" s="1" t="s">
        <v>17</v>
      </c>
      <c r="O416" s="3">
        <v>45635.45543981482</v>
      </c>
      <c r="P416" s="3">
        <v>45635.45543981482</v>
      </c>
    </row>
    <row r="417">
      <c r="A417" s="1" t="s">
        <v>496</v>
      </c>
      <c r="B417" s="1" t="s">
        <v>17</v>
      </c>
      <c r="C417" s="1" t="s">
        <v>17</v>
      </c>
      <c r="D417" s="1" t="s">
        <v>17</v>
      </c>
      <c r="E417" s="1" t="s">
        <v>17</v>
      </c>
      <c r="F417" s="1" t="s">
        <v>17</v>
      </c>
      <c r="G417" s="4" t="str">
        <f>+54 9 3515 74-2605</f>
        <v>#ERROR!</v>
      </c>
      <c r="H417" s="1" t="s">
        <v>17</v>
      </c>
      <c r="I417" s="1">
        <v>0.0</v>
      </c>
      <c r="J417" s="1">
        <v>0.0</v>
      </c>
      <c r="K417" s="1" t="s">
        <v>17</v>
      </c>
      <c r="L417" s="1" t="s">
        <v>17</v>
      </c>
      <c r="M417" s="1" t="s">
        <v>17</v>
      </c>
      <c r="N417" s="1" t="s">
        <v>17</v>
      </c>
      <c r="O417" s="3">
        <v>45635.458645833336</v>
      </c>
      <c r="P417" s="3">
        <v>45635.458645833336</v>
      </c>
    </row>
    <row r="418">
      <c r="A418" s="1" t="s">
        <v>497</v>
      </c>
      <c r="B418" s="1" t="s">
        <v>17</v>
      </c>
      <c r="C418" s="1" t="s">
        <v>17</v>
      </c>
      <c r="D418" s="1" t="s">
        <v>17</v>
      </c>
      <c r="E418" s="1" t="s">
        <v>17</v>
      </c>
      <c r="F418" s="1" t="s">
        <v>17</v>
      </c>
      <c r="G418" s="1" t="s">
        <v>17</v>
      </c>
      <c r="H418" s="1" t="s">
        <v>17</v>
      </c>
      <c r="I418" s="1">
        <v>0.0</v>
      </c>
      <c r="J418" s="1">
        <v>0.0</v>
      </c>
      <c r="K418" s="1" t="s">
        <v>17</v>
      </c>
      <c r="L418" s="1" t="s">
        <v>17</v>
      </c>
      <c r="M418" s="1" t="s">
        <v>17</v>
      </c>
      <c r="N418" s="1" t="s">
        <v>17</v>
      </c>
      <c r="O418" s="3">
        <v>45656.702152777776</v>
      </c>
      <c r="P418" s="3">
        <v>45656.702152777776</v>
      </c>
    </row>
    <row r="419">
      <c r="A419" s="1" t="s">
        <v>498</v>
      </c>
      <c r="B419" s="1" t="s">
        <v>17</v>
      </c>
      <c r="C419" s="1" t="s">
        <v>17</v>
      </c>
      <c r="D419" s="1" t="s">
        <v>17</v>
      </c>
      <c r="E419" s="1" t="s">
        <v>17</v>
      </c>
      <c r="F419" s="1" t="s">
        <v>17</v>
      </c>
      <c r="G419" s="1" t="s">
        <v>17</v>
      </c>
      <c r="H419" s="1" t="s">
        <v>17</v>
      </c>
      <c r="I419" s="1">
        <v>0.0</v>
      </c>
      <c r="J419" s="1">
        <v>0.0</v>
      </c>
      <c r="K419" s="1" t="s">
        <v>17</v>
      </c>
      <c r="L419" s="1" t="s">
        <v>17</v>
      </c>
      <c r="M419" s="1" t="s">
        <v>17</v>
      </c>
      <c r="N419" s="1" t="s">
        <v>17</v>
      </c>
      <c r="O419" s="3">
        <v>45656.70520833333</v>
      </c>
      <c r="P419" s="3">
        <v>45656.70520833333</v>
      </c>
    </row>
    <row r="420">
      <c r="A420" s="1" t="s">
        <v>499</v>
      </c>
      <c r="B420" s="1" t="s">
        <v>17</v>
      </c>
      <c r="C420" s="1" t="s">
        <v>17</v>
      </c>
      <c r="D420" s="1" t="s">
        <v>17</v>
      </c>
      <c r="E420" s="1" t="s">
        <v>17</v>
      </c>
      <c r="F420" s="1" t="s">
        <v>17</v>
      </c>
      <c r="G420" s="1" t="s">
        <v>17</v>
      </c>
      <c r="H420" s="1" t="s">
        <v>17</v>
      </c>
      <c r="I420" s="1">
        <v>0.0</v>
      </c>
      <c r="J420" s="1">
        <v>0.0</v>
      </c>
      <c r="K420" s="1" t="s">
        <v>17</v>
      </c>
      <c r="L420" s="1" t="s">
        <v>17</v>
      </c>
      <c r="M420" s="1" t="s">
        <v>17</v>
      </c>
      <c r="N420" s="1" t="s">
        <v>17</v>
      </c>
      <c r="O420" s="3">
        <v>45656.70872685185</v>
      </c>
      <c r="P420" s="3">
        <v>45656.70872685185</v>
      </c>
    </row>
    <row r="421">
      <c r="A421" s="1" t="s">
        <v>500</v>
      </c>
      <c r="B421" s="1" t="s">
        <v>17</v>
      </c>
      <c r="C421" s="1" t="s">
        <v>17</v>
      </c>
      <c r="D421" s="1" t="s">
        <v>17</v>
      </c>
      <c r="E421" s="1" t="s">
        <v>17</v>
      </c>
      <c r="F421" s="1" t="s">
        <v>17</v>
      </c>
      <c r="G421" s="1" t="s">
        <v>17</v>
      </c>
      <c r="H421" s="1" t="s">
        <v>17</v>
      </c>
      <c r="I421" s="1">
        <v>0.0</v>
      </c>
      <c r="J421" s="1">
        <v>0.0</v>
      </c>
      <c r="K421" s="1" t="s">
        <v>17</v>
      </c>
      <c r="L421" s="1" t="s">
        <v>17</v>
      </c>
      <c r="M421" s="1" t="s">
        <v>17</v>
      </c>
      <c r="N421" s="1" t="s">
        <v>17</v>
      </c>
      <c r="O421" s="3">
        <v>45656.71055555555</v>
      </c>
      <c r="P421" s="3">
        <v>45656.71055555555</v>
      </c>
    </row>
    <row r="422">
      <c r="A422" s="1" t="s">
        <v>501</v>
      </c>
      <c r="B422" s="1" t="s">
        <v>17</v>
      </c>
      <c r="C422" s="1" t="s">
        <v>17</v>
      </c>
      <c r="D422" s="1" t="s">
        <v>17</v>
      </c>
      <c r="E422" s="1" t="s">
        <v>17</v>
      </c>
      <c r="F422" s="1" t="s">
        <v>17</v>
      </c>
      <c r="G422" s="1" t="s">
        <v>17</v>
      </c>
      <c r="H422" s="1" t="s">
        <v>17</v>
      </c>
      <c r="I422" s="1">
        <v>0.0</v>
      </c>
      <c r="J422" s="1">
        <v>0.0</v>
      </c>
      <c r="K422" s="1" t="s">
        <v>17</v>
      </c>
      <c r="L422" s="1" t="s">
        <v>17</v>
      </c>
      <c r="M422" s="1" t="s">
        <v>17</v>
      </c>
      <c r="N422" s="1" t="s">
        <v>17</v>
      </c>
      <c r="O422" s="3">
        <v>45656.711875</v>
      </c>
      <c r="P422" s="3">
        <v>45656.711875</v>
      </c>
    </row>
    <row r="423">
      <c r="A423" s="1" t="s">
        <v>502</v>
      </c>
      <c r="B423" s="1" t="s">
        <v>17</v>
      </c>
      <c r="C423" s="1" t="s">
        <v>17</v>
      </c>
      <c r="D423" s="1" t="s">
        <v>17</v>
      </c>
      <c r="E423" s="1" t="s">
        <v>17</v>
      </c>
      <c r="F423" s="1" t="s">
        <v>17</v>
      </c>
      <c r="G423" s="1" t="s">
        <v>17</v>
      </c>
      <c r="H423" s="1" t="s">
        <v>17</v>
      </c>
      <c r="I423" s="1">
        <v>0.0</v>
      </c>
      <c r="J423" s="1">
        <v>0.0</v>
      </c>
      <c r="K423" s="1" t="s">
        <v>17</v>
      </c>
      <c r="L423" s="1" t="s">
        <v>17</v>
      </c>
      <c r="M423" s="1" t="s">
        <v>17</v>
      </c>
      <c r="N423" s="1" t="s">
        <v>17</v>
      </c>
      <c r="O423" s="3">
        <v>45656.714780092596</v>
      </c>
      <c r="P423" s="3">
        <v>45656.714780092596</v>
      </c>
    </row>
    <row r="424">
      <c r="A424" s="1" t="s">
        <v>503</v>
      </c>
      <c r="B424" s="1" t="s">
        <v>17</v>
      </c>
      <c r="C424" s="1" t="s">
        <v>17</v>
      </c>
      <c r="D424" s="1" t="s">
        <v>17</v>
      </c>
      <c r="E424" s="1" t="s">
        <v>17</v>
      </c>
      <c r="F424" s="1" t="s">
        <v>17</v>
      </c>
      <c r="G424" s="1" t="s">
        <v>17</v>
      </c>
      <c r="H424" s="1" t="s">
        <v>17</v>
      </c>
      <c r="I424" s="1">
        <v>0.0</v>
      </c>
      <c r="J424" s="1">
        <v>0.0</v>
      </c>
      <c r="K424" s="1" t="s">
        <v>17</v>
      </c>
      <c r="L424" s="1" t="s">
        <v>17</v>
      </c>
      <c r="M424" s="1" t="s">
        <v>17</v>
      </c>
      <c r="N424" s="1" t="s">
        <v>17</v>
      </c>
      <c r="O424" s="3">
        <v>45656.717453703706</v>
      </c>
      <c r="P424" s="3">
        <v>45656.717453703706</v>
      </c>
    </row>
    <row r="425">
      <c r="A425" s="1" t="s">
        <v>504</v>
      </c>
      <c r="B425" s="1" t="s">
        <v>17</v>
      </c>
      <c r="C425" s="1" t="s">
        <v>17</v>
      </c>
      <c r="D425" s="1" t="s">
        <v>17</v>
      </c>
      <c r="E425" s="1" t="s">
        <v>17</v>
      </c>
      <c r="F425" s="1" t="s">
        <v>17</v>
      </c>
      <c r="G425" s="1" t="s">
        <v>17</v>
      </c>
      <c r="H425" s="1" t="s">
        <v>17</v>
      </c>
      <c r="I425" s="1">
        <v>0.0</v>
      </c>
      <c r="J425" s="1">
        <v>0.0</v>
      </c>
      <c r="K425" s="1" t="s">
        <v>17</v>
      </c>
      <c r="L425" s="1" t="s">
        <v>17</v>
      </c>
      <c r="M425" s="1" t="s">
        <v>17</v>
      </c>
      <c r="N425" s="1" t="s">
        <v>17</v>
      </c>
      <c r="O425" s="3">
        <v>45656.71916666667</v>
      </c>
      <c r="P425" s="3">
        <v>45656.71916666667</v>
      </c>
    </row>
    <row r="426">
      <c r="A426" s="1" t="s">
        <v>505</v>
      </c>
      <c r="B426" s="1" t="s">
        <v>17</v>
      </c>
      <c r="C426" s="1" t="s">
        <v>17</v>
      </c>
      <c r="D426" s="1" t="s">
        <v>17</v>
      </c>
      <c r="E426" s="1" t="s">
        <v>17</v>
      </c>
      <c r="F426" s="1" t="s">
        <v>17</v>
      </c>
      <c r="G426" s="1" t="s">
        <v>17</v>
      </c>
      <c r="H426" s="1" t="s">
        <v>17</v>
      </c>
      <c r="I426" s="1">
        <v>0.0</v>
      </c>
      <c r="J426" s="1">
        <v>0.0</v>
      </c>
      <c r="K426" s="1" t="s">
        <v>17</v>
      </c>
      <c r="L426" s="1" t="s">
        <v>17</v>
      </c>
      <c r="M426" s="1" t="s">
        <v>17</v>
      </c>
      <c r="N426" s="1" t="s">
        <v>17</v>
      </c>
      <c r="O426" s="3">
        <v>45656.722708333335</v>
      </c>
      <c r="P426" s="3">
        <v>45656.722708333335</v>
      </c>
    </row>
    <row r="427">
      <c r="A427" s="1" t="s">
        <v>506</v>
      </c>
      <c r="B427" s="1" t="s">
        <v>17</v>
      </c>
      <c r="C427" s="1" t="s">
        <v>17</v>
      </c>
      <c r="D427" s="1" t="s">
        <v>17</v>
      </c>
      <c r="E427" s="1" t="s">
        <v>17</v>
      </c>
      <c r="F427" s="1" t="s">
        <v>17</v>
      </c>
      <c r="G427" s="1" t="s">
        <v>17</v>
      </c>
      <c r="H427" s="1" t="s">
        <v>17</v>
      </c>
      <c r="I427" s="1">
        <v>0.0</v>
      </c>
      <c r="J427" s="1">
        <v>0.0</v>
      </c>
      <c r="K427" s="1" t="s">
        <v>17</v>
      </c>
      <c r="L427" s="1" t="s">
        <v>17</v>
      </c>
      <c r="M427" s="1" t="s">
        <v>17</v>
      </c>
      <c r="N427" s="1" t="s">
        <v>17</v>
      </c>
      <c r="O427" s="3">
        <v>45656.724270833336</v>
      </c>
      <c r="P427" s="3">
        <v>45656.724270833336</v>
      </c>
    </row>
    <row r="428">
      <c r="A428" s="1" t="s">
        <v>507</v>
      </c>
      <c r="B428" s="1" t="s">
        <v>17</v>
      </c>
      <c r="C428" s="1" t="s">
        <v>17</v>
      </c>
      <c r="D428" s="1" t="s">
        <v>17</v>
      </c>
      <c r="E428" s="1" t="s">
        <v>17</v>
      </c>
      <c r="F428" s="1" t="s">
        <v>17</v>
      </c>
      <c r="G428" s="1" t="s">
        <v>17</v>
      </c>
      <c r="H428" s="1" t="s">
        <v>17</v>
      </c>
      <c r="I428" s="1">
        <v>0.0</v>
      </c>
      <c r="J428" s="1">
        <v>0.0</v>
      </c>
      <c r="K428" s="1" t="s">
        <v>17</v>
      </c>
      <c r="L428" s="1" t="s">
        <v>17</v>
      </c>
      <c r="M428" s="1" t="s">
        <v>17</v>
      </c>
      <c r="N428" s="1" t="s">
        <v>17</v>
      </c>
      <c r="O428" s="3">
        <v>45656.7334837963</v>
      </c>
      <c r="P428" s="3">
        <v>45656.7334837963</v>
      </c>
    </row>
    <row r="429">
      <c r="A429" s="1" t="s">
        <v>508</v>
      </c>
      <c r="B429" s="1" t="s">
        <v>17</v>
      </c>
      <c r="C429" s="1" t="s">
        <v>17</v>
      </c>
      <c r="D429" s="1" t="s">
        <v>17</v>
      </c>
      <c r="E429" s="1" t="s">
        <v>17</v>
      </c>
      <c r="F429" s="1" t="s">
        <v>17</v>
      </c>
      <c r="G429" s="1" t="s">
        <v>17</v>
      </c>
      <c r="H429" s="1" t="s">
        <v>17</v>
      </c>
      <c r="I429" s="1">
        <v>0.0</v>
      </c>
      <c r="J429" s="1">
        <v>0.0</v>
      </c>
      <c r="K429" s="1" t="s">
        <v>17</v>
      </c>
      <c r="L429" s="1" t="s">
        <v>17</v>
      </c>
      <c r="M429" s="1" t="s">
        <v>17</v>
      </c>
      <c r="N429" s="1" t="s">
        <v>17</v>
      </c>
      <c r="O429" s="3">
        <v>45656.735972222225</v>
      </c>
      <c r="P429" s="3">
        <v>45656.735972222225</v>
      </c>
    </row>
    <row r="430">
      <c r="A430" s="1" t="s">
        <v>509</v>
      </c>
      <c r="B430" s="1" t="s">
        <v>17</v>
      </c>
      <c r="C430" s="1" t="s">
        <v>17</v>
      </c>
      <c r="D430" s="1" t="s">
        <v>17</v>
      </c>
      <c r="E430" s="1" t="s">
        <v>17</v>
      </c>
      <c r="F430" s="1" t="s">
        <v>17</v>
      </c>
      <c r="G430" s="1" t="s">
        <v>17</v>
      </c>
      <c r="H430" s="1" t="s">
        <v>17</v>
      </c>
      <c r="I430" s="1">
        <v>0.0</v>
      </c>
      <c r="J430" s="1">
        <v>0.0</v>
      </c>
      <c r="K430" s="1" t="s">
        <v>17</v>
      </c>
      <c r="L430" s="1" t="s">
        <v>17</v>
      </c>
      <c r="M430" s="1" t="s">
        <v>17</v>
      </c>
      <c r="N430" s="1" t="s">
        <v>17</v>
      </c>
      <c r="O430" s="3">
        <v>45656.737662037034</v>
      </c>
      <c r="P430" s="3">
        <v>45656.737662037034</v>
      </c>
    </row>
    <row r="431">
      <c r="A431" s="1" t="s">
        <v>510</v>
      </c>
      <c r="B431" s="1" t="s">
        <v>17</v>
      </c>
      <c r="C431" s="1" t="s">
        <v>17</v>
      </c>
      <c r="D431" s="1" t="s">
        <v>17</v>
      </c>
      <c r="E431" s="1" t="s">
        <v>17</v>
      </c>
      <c r="F431" s="1" t="s">
        <v>17</v>
      </c>
      <c r="G431" s="1" t="s">
        <v>17</v>
      </c>
      <c r="H431" s="1" t="s">
        <v>17</v>
      </c>
      <c r="I431" s="1">
        <v>0.0</v>
      </c>
      <c r="J431" s="1">
        <v>0.0</v>
      </c>
      <c r="K431" s="1" t="s">
        <v>17</v>
      </c>
      <c r="L431" s="1" t="s">
        <v>17</v>
      </c>
      <c r="M431" s="1" t="s">
        <v>17</v>
      </c>
      <c r="N431" s="1" t="s">
        <v>17</v>
      </c>
      <c r="O431" s="3">
        <v>45656.740578703706</v>
      </c>
      <c r="P431" s="3">
        <v>45656.740578703706</v>
      </c>
    </row>
    <row r="432">
      <c r="A432" s="1" t="s">
        <v>511</v>
      </c>
      <c r="B432" s="1" t="s">
        <v>17</v>
      </c>
      <c r="C432" s="1" t="s">
        <v>17</v>
      </c>
      <c r="D432" s="1" t="s">
        <v>17</v>
      </c>
      <c r="E432" s="1" t="s">
        <v>17</v>
      </c>
      <c r="F432" s="1" t="s">
        <v>17</v>
      </c>
      <c r="G432" s="1" t="s">
        <v>17</v>
      </c>
      <c r="H432" s="1" t="s">
        <v>17</v>
      </c>
      <c r="I432" s="1">
        <v>0.0</v>
      </c>
      <c r="J432" s="1">
        <v>0.0</v>
      </c>
      <c r="K432" s="1" t="s">
        <v>17</v>
      </c>
      <c r="L432" s="1" t="s">
        <v>17</v>
      </c>
      <c r="M432" s="1" t="s">
        <v>17</v>
      </c>
      <c r="N432" s="1" t="s">
        <v>17</v>
      </c>
      <c r="O432" s="3">
        <v>45656.74212962963</v>
      </c>
      <c r="P432" s="3">
        <v>45656.74212962963</v>
      </c>
    </row>
    <row r="433">
      <c r="A433" s="1" t="s">
        <v>512</v>
      </c>
      <c r="B433" s="1" t="s">
        <v>17</v>
      </c>
      <c r="C433" s="1" t="s">
        <v>17</v>
      </c>
      <c r="D433" s="1" t="s">
        <v>17</v>
      </c>
      <c r="E433" s="1" t="s">
        <v>17</v>
      </c>
      <c r="F433" s="1" t="s">
        <v>17</v>
      </c>
      <c r="G433" s="1" t="s">
        <v>17</v>
      </c>
      <c r="H433" s="1" t="s">
        <v>17</v>
      </c>
      <c r="I433" s="1">
        <v>0.0</v>
      </c>
      <c r="J433" s="1">
        <v>0.0</v>
      </c>
      <c r="K433" s="1" t="s">
        <v>17</v>
      </c>
      <c r="L433" s="1" t="s">
        <v>17</v>
      </c>
      <c r="M433" s="1" t="s">
        <v>17</v>
      </c>
      <c r="N433" s="1" t="s">
        <v>17</v>
      </c>
      <c r="O433" s="3">
        <v>45656.746782407405</v>
      </c>
      <c r="P433" s="3">
        <v>45656.746782407405</v>
      </c>
    </row>
    <row r="434">
      <c r="A434" s="1" t="s">
        <v>513</v>
      </c>
      <c r="B434" s="1" t="s">
        <v>17</v>
      </c>
      <c r="C434" s="1" t="s">
        <v>17</v>
      </c>
      <c r="D434" s="1" t="s">
        <v>17</v>
      </c>
      <c r="E434" s="1" t="s">
        <v>17</v>
      </c>
      <c r="F434" s="1" t="s">
        <v>17</v>
      </c>
      <c r="G434" s="1" t="s">
        <v>17</v>
      </c>
      <c r="H434" s="1" t="s">
        <v>17</v>
      </c>
      <c r="I434" s="1">
        <v>0.0</v>
      </c>
      <c r="J434" s="1">
        <v>0.0</v>
      </c>
      <c r="K434" s="1" t="s">
        <v>17</v>
      </c>
      <c r="L434" s="1" t="s">
        <v>17</v>
      </c>
      <c r="M434" s="1" t="s">
        <v>17</v>
      </c>
      <c r="N434" s="1" t="s">
        <v>17</v>
      </c>
      <c r="O434" s="3">
        <v>45656.74858796296</v>
      </c>
      <c r="P434" s="3">
        <v>45656.74858796296</v>
      </c>
    </row>
    <row r="435">
      <c r="A435" s="1" t="s">
        <v>514</v>
      </c>
      <c r="B435" s="1" t="s">
        <v>17</v>
      </c>
      <c r="C435" s="1" t="s">
        <v>17</v>
      </c>
      <c r="D435" s="1" t="s">
        <v>17</v>
      </c>
      <c r="E435" s="1" t="s">
        <v>17</v>
      </c>
      <c r="F435" s="1" t="s">
        <v>17</v>
      </c>
      <c r="G435" s="1" t="s">
        <v>17</v>
      </c>
      <c r="H435" s="1" t="s">
        <v>17</v>
      </c>
      <c r="I435" s="1">
        <v>0.0</v>
      </c>
      <c r="J435" s="1">
        <v>0.0</v>
      </c>
      <c r="K435" s="1" t="s">
        <v>17</v>
      </c>
      <c r="L435" s="1" t="s">
        <v>17</v>
      </c>
      <c r="M435" s="1" t="s">
        <v>17</v>
      </c>
      <c r="N435" s="1" t="s">
        <v>17</v>
      </c>
      <c r="O435" s="3">
        <v>45656.75040509259</v>
      </c>
      <c r="P435" s="3">
        <v>45656.75040509259</v>
      </c>
    </row>
    <row r="436">
      <c r="A436" s="1" t="s">
        <v>515</v>
      </c>
      <c r="B436" s="1" t="s">
        <v>17</v>
      </c>
      <c r="C436" s="1" t="s">
        <v>17</v>
      </c>
      <c r="D436" s="1" t="s">
        <v>17</v>
      </c>
      <c r="E436" s="1" t="s">
        <v>17</v>
      </c>
      <c r="F436" s="1" t="s">
        <v>17</v>
      </c>
      <c r="G436" s="1" t="s">
        <v>17</v>
      </c>
      <c r="H436" s="1" t="s">
        <v>17</v>
      </c>
      <c r="I436" s="1">
        <v>0.0</v>
      </c>
      <c r="J436" s="1">
        <v>0.0</v>
      </c>
      <c r="K436" s="1" t="s">
        <v>17</v>
      </c>
      <c r="L436" s="1" t="s">
        <v>17</v>
      </c>
      <c r="M436" s="1" t="s">
        <v>17</v>
      </c>
      <c r="N436" s="1" t="s">
        <v>17</v>
      </c>
      <c r="O436" s="3">
        <v>45656.751388888886</v>
      </c>
      <c r="P436" s="3">
        <v>45656.751388888886</v>
      </c>
    </row>
    <row r="437">
      <c r="A437" s="1" t="s">
        <v>516</v>
      </c>
      <c r="B437" s="1" t="s">
        <v>17</v>
      </c>
      <c r="C437" s="1" t="s">
        <v>17</v>
      </c>
      <c r="D437" s="1" t="s">
        <v>17</v>
      </c>
      <c r="E437" s="1" t="s">
        <v>17</v>
      </c>
      <c r="F437" s="1" t="s">
        <v>17</v>
      </c>
      <c r="G437" s="1" t="s">
        <v>17</v>
      </c>
      <c r="H437" s="1" t="s">
        <v>17</v>
      </c>
      <c r="I437" s="1">
        <v>0.0</v>
      </c>
      <c r="J437" s="1">
        <v>0.0</v>
      </c>
      <c r="K437" s="1" t="s">
        <v>17</v>
      </c>
      <c r="L437" s="1" t="s">
        <v>17</v>
      </c>
      <c r="M437" s="1" t="s">
        <v>17</v>
      </c>
      <c r="N437" s="1" t="s">
        <v>17</v>
      </c>
      <c r="O437" s="3">
        <v>45656.76020833333</v>
      </c>
      <c r="P437" s="3">
        <v>45656.76020833333</v>
      </c>
    </row>
    <row r="438">
      <c r="A438" s="1" t="s">
        <v>517</v>
      </c>
      <c r="B438" s="1" t="s">
        <v>17</v>
      </c>
      <c r="C438" s="1" t="s">
        <v>17</v>
      </c>
      <c r="D438" s="1" t="s">
        <v>17</v>
      </c>
      <c r="E438" s="1" t="s">
        <v>17</v>
      </c>
      <c r="F438" s="1" t="s">
        <v>17</v>
      </c>
      <c r="G438" s="1" t="s">
        <v>17</v>
      </c>
      <c r="H438" s="1" t="s">
        <v>17</v>
      </c>
      <c r="I438" s="1">
        <v>0.0</v>
      </c>
      <c r="J438" s="1">
        <v>0.0</v>
      </c>
      <c r="K438" s="1" t="s">
        <v>17</v>
      </c>
      <c r="L438" s="1" t="s">
        <v>17</v>
      </c>
      <c r="M438" s="1" t="s">
        <v>17</v>
      </c>
      <c r="N438" s="1" t="s">
        <v>17</v>
      </c>
      <c r="O438" s="3">
        <v>45656.76152777778</v>
      </c>
      <c r="P438" s="3">
        <v>45656.76152777778</v>
      </c>
    </row>
    <row r="439">
      <c r="A439" s="1" t="s">
        <v>518</v>
      </c>
      <c r="B439" s="1" t="s">
        <v>17</v>
      </c>
      <c r="C439" s="1" t="s">
        <v>17</v>
      </c>
      <c r="D439" s="1" t="s">
        <v>17</v>
      </c>
      <c r="E439" s="1" t="s">
        <v>17</v>
      </c>
      <c r="F439" s="1" t="s">
        <v>17</v>
      </c>
      <c r="G439" s="1" t="s">
        <v>17</v>
      </c>
      <c r="H439" s="1" t="s">
        <v>17</v>
      </c>
      <c r="I439" s="1">
        <v>0.0</v>
      </c>
      <c r="J439" s="1">
        <v>0.0</v>
      </c>
      <c r="K439" s="1" t="s">
        <v>17</v>
      </c>
      <c r="L439" s="1" t="s">
        <v>17</v>
      </c>
      <c r="M439" s="1" t="s">
        <v>17</v>
      </c>
      <c r="N439" s="1" t="s">
        <v>17</v>
      </c>
      <c r="O439" s="3">
        <v>45656.7631712963</v>
      </c>
      <c r="P439" s="3">
        <v>45656.7631712963</v>
      </c>
    </row>
    <row r="440">
      <c r="A440" s="1" t="s">
        <v>519</v>
      </c>
      <c r="B440" s="1" t="s">
        <v>17</v>
      </c>
      <c r="C440" s="1" t="s">
        <v>17</v>
      </c>
      <c r="D440" s="1" t="s">
        <v>17</v>
      </c>
      <c r="E440" s="1" t="s">
        <v>17</v>
      </c>
      <c r="F440" s="1" t="s">
        <v>17</v>
      </c>
      <c r="G440" s="1" t="s">
        <v>17</v>
      </c>
      <c r="H440" s="1" t="s">
        <v>17</v>
      </c>
      <c r="I440" s="1">
        <v>0.0</v>
      </c>
      <c r="J440" s="1">
        <v>0.0</v>
      </c>
      <c r="K440" s="1" t="s">
        <v>17</v>
      </c>
      <c r="L440" s="1" t="s">
        <v>17</v>
      </c>
      <c r="M440" s="1" t="s">
        <v>17</v>
      </c>
      <c r="N440" s="1" t="s">
        <v>17</v>
      </c>
      <c r="O440" s="3">
        <v>45656.76578703704</v>
      </c>
      <c r="P440" s="3">
        <v>45656.76578703704</v>
      </c>
    </row>
    <row r="441">
      <c r="A441" s="1" t="s">
        <v>520</v>
      </c>
      <c r="B441" s="1" t="s">
        <v>17</v>
      </c>
      <c r="C441" s="1" t="s">
        <v>17</v>
      </c>
      <c r="D441" s="1" t="s">
        <v>17</v>
      </c>
      <c r="E441" s="1" t="s">
        <v>17</v>
      </c>
      <c r="F441" s="1" t="s">
        <v>17</v>
      </c>
      <c r="G441" s="1" t="s">
        <v>17</v>
      </c>
      <c r="H441" s="1" t="s">
        <v>17</v>
      </c>
      <c r="I441" s="1">
        <v>0.0</v>
      </c>
      <c r="J441" s="1">
        <v>0.0</v>
      </c>
      <c r="K441" s="1" t="s">
        <v>17</v>
      </c>
      <c r="L441" s="1" t="s">
        <v>17</v>
      </c>
      <c r="M441" s="1" t="s">
        <v>17</v>
      </c>
      <c r="N441" s="1" t="s">
        <v>17</v>
      </c>
      <c r="O441" s="3">
        <v>45656.7668287037</v>
      </c>
      <c r="P441" s="3">
        <v>45656.7668287037</v>
      </c>
    </row>
    <row r="442">
      <c r="A442" s="1" t="s">
        <v>521</v>
      </c>
      <c r="B442" s="1" t="s">
        <v>17</v>
      </c>
      <c r="C442" s="1" t="s">
        <v>17</v>
      </c>
      <c r="D442" s="1" t="s">
        <v>17</v>
      </c>
      <c r="E442" s="1" t="s">
        <v>17</v>
      </c>
      <c r="F442" s="1" t="s">
        <v>17</v>
      </c>
      <c r="G442" s="1" t="s">
        <v>17</v>
      </c>
      <c r="H442" s="1" t="s">
        <v>17</v>
      </c>
      <c r="I442" s="1">
        <v>0.0</v>
      </c>
      <c r="J442" s="1">
        <v>0.0</v>
      </c>
      <c r="K442" s="1" t="s">
        <v>17</v>
      </c>
      <c r="L442" s="1" t="s">
        <v>17</v>
      </c>
      <c r="M442" s="1" t="s">
        <v>17</v>
      </c>
      <c r="N442" s="1" t="s">
        <v>17</v>
      </c>
      <c r="O442" s="3">
        <v>45656.76834490741</v>
      </c>
      <c r="P442" s="3">
        <v>45656.76834490741</v>
      </c>
    </row>
    <row r="443">
      <c r="A443" s="1" t="s">
        <v>522</v>
      </c>
      <c r="B443" s="1" t="s">
        <v>17</v>
      </c>
      <c r="C443" s="1" t="s">
        <v>17</v>
      </c>
      <c r="D443" s="1" t="s">
        <v>17</v>
      </c>
      <c r="E443" s="1" t="s">
        <v>17</v>
      </c>
      <c r="F443" s="1" t="s">
        <v>17</v>
      </c>
      <c r="G443" s="1" t="s">
        <v>17</v>
      </c>
      <c r="H443" s="1" t="s">
        <v>17</v>
      </c>
      <c r="I443" s="1">
        <v>0.0</v>
      </c>
      <c r="J443" s="1">
        <v>0.0</v>
      </c>
      <c r="K443" s="1" t="s">
        <v>17</v>
      </c>
      <c r="L443" s="1" t="s">
        <v>17</v>
      </c>
      <c r="M443" s="1" t="s">
        <v>17</v>
      </c>
      <c r="N443" s="1" t="s">
        <v>17</v>
      </c>
      <c r="O443" s="3">
        <v>45656.76943287037</v>
      </c>
      <c r="P443" s="3">
        <v>45656.76943287037</v>
      </c>
    </row>
    <row r="444">
      <c r="A444" s="1" t="s">
        <v>523</v>
      </c>
      <c r="B444" s="1" t="s">
        <v>17</v>
      </c>
      <c r="C444" s="1" t="s">
        <v>17</v>
      </c>
      <c r="D444" s="1" t="s">
        <v>17</v>
      </c>
      <c r="E444" s="1" t="s">
        <v>17</v>
      </c>
      <c r="F444" s="1" t="s">
        <v>17</v>
      </c>
      <c r="G444" s="1" t="s">
        <v>17</v>
      </c>
      <c r="H444" s="1" t="s">
        <v>17</v>
      </c>
      <c r="I444" s="1">
        <v>0.0</v>
      </c>
      <c r="J444" s="1">
        <v>0.0</v>
      </c>
      <c r="K444" s="1" t="s">
        <v>17</v>
      </c>
      <c r="L444" s="1" t="s">
        <v>17</v>
      </c>
      <c r="M444" s="1" t="s">
        <v>17</v>
      </c>
      <c r="N444" s="1" t="s">
        <v>17</v>
      </c>
      <c r="O444" s="3">
        <v>45656.77056712963</v>
      </c>
      <c r="P444" s="3">
        <v>45656.77056712963</v>
      </c>
    </row>
    <row r="445">
      <c r="A445" s="1" t="s">
        <v>524</v>
      </c>
      <c r="B445" s="1" t="s">
        <v>17</v>
      </c>
      <c r="C445" s="1" t="s">
        <v>17</v>
      </c>
      <c r="D445" s="1" t="s">
        <v>17</v>
      </c>
      <c r="E445" s="1" t="s">
        <v>17</v>
      </c>
      <c r="F445" s="1" t="s">
        <v>17</v>
      </c>
      <c r="G445" s="1" t="s">
        <v>17</v>
      </c>
      <c r="H445" s="1" t="s">
        <v>17</v>
      </c>
      <c r="I445" s="1">
        <v>0.0</v>
      </c>
      <c r="J445" s="1">
        <v>0.0</v>
      </c>
      <c r="K445" s="1" t="s">
        <v>17</v>
      </c>
      <c r="L445" s="1" t="s">
        <v>17</v>
      </c>
      <c r="M445" s="1" t="s">
        <v>17</v>
      </c>
      <c r="N445" s="1" t="s">
        <v>17</v>
      </c>
      <c r="O445" s="3">
        <v>45656.77118055556</v>
      </c>
      <c r="P445" s="3">
        <v>45656.77118055556</v>
      </c>
    </row>
    <row r="446">
      <c r="A446" s="1" t="s">
        <v>525</v>
      </c>
      <c r="B446" s="1" t="s">
        <v>17</v>
      </c>
      <c r="C446" s="1" t="s">
        <v>17</v>
      </c>
      <c r="D446" s="1" t="s">
        <v>17</v>
      </c>
      <c r="E446" s="1" t="s">
        <v>17</v>
      </c>
      <c r="F446" s="1" t="s">
        <v>17</v>
      </c>
      <c r="G446" s="1" t="s">
        <v>17</v>
      </c>
      <c r="H446" s="1" t="s">
        <v>17</v>
      </c>
      <c r="I446" s="1">
        <v>0.0</v>
      </c>
      <c r="J446" s="1">
        <v>0.0</v>
      </c>
      <c r="K446" s="1" t="s">
        <v>17</v>
      </c>
      <c r="L446" s="1" t="s">
        <v>17</v>
      </c>
      <c r="M446" s="1" t="s">
        <v>17</v>
      </c>
      <c r="N446" s="1" t="s">
        <v>17</v>
      </c>
      <c r="O446" s="3">
        <v>45656.77226851852</v>
      </c>
      <c r="P446" s="3">
        <v>45656.77226851852</v>
      </c>
    </row>
    <row r="447">
      <c r="A447" s="1" t="s">
        <v>526</v>
      </c>
      <c r="B447" s="1" t="s">
        <v>17</v>
      </c>
      <c r="C447" s="1" t="s">
        <v>17</v>
      </c>
      <c r="D447" s="1" t="s">
        <v>17</v>
      </c>
      <c r="E447" s="1" t="s">
        <v>17</v>
      </c>
      <c r="F447" s="1" t="s">
        <v>17</v>
      </c>
      <c r="G447" s="1" t="s">
        <v>17</v>
      </c>
      <c r="H447" s="1" t="s">
        <v>17</v>
      </c>
      <c r="I447" s="1">
        <v>0.0</v>
      </c>
      <c r="J447" s="1">
        <v>0.0</v>
      </c>
      <c r="K447" s="1" t="s">
        <v>17</v>
      </c>
      <c r="L447" s="1" t="s">
        <v>17</v>
      </c>
      <c r="M447" s="1" t="s">
        <v>17</v>
      </c>
      <c r="N447" s="1" t="s">
        <v>17</v>
      </c>
      <c r="O447" s="3">
        <v>45656.77326388889</v>
      </c>
      <c r="P447" s="3">
        <v>45656.77326388889</v>
      </c>
    </row>
    <row r="448">
      <c r="A448" s="1" t="s">
        <v>527</v>
      </c>
      <c r="B448" s="1" t="s">
        <v>17</v>
      </c>
      <c r="C448" s="1" t="s">
        <v>17</v>
      </c>
      <c r="D448" s="1" t="s">
        <v>17</v>
      </c>
      <c r="E448" s="1" t="s">
        <v>17</v>
      </c>
      <c r="F448" s="1" t="s">
        <v>17</v>
      </c>
      <c r="G448" s="1" t="s">
        <v>17</v>
      </c>
      <c r="H448" s="1" t="s">
        <v>17</v>
      </c>
      <c r="I448" s="1">
        <v>0.0</v>
      </c>
      <c r="J448" s="1">
        <v>0.0</v>
      </c>
      <c r="K448" s="1" t="s">
        <v>17</v>
      </c>
      <c r="L448" s="1" t="s">
        <v>17</v>
      </c>
      <c r="M448" s="1" t="s">
        <v>17</v>
      </c>
      <c r="N448" s="1" t="s">
        <v>17</v>
      </c>
      <c r="O448" s="3">
        <v>45656.77459490741</v>
      </c>
      <c r="P448" s="3">
        <v>45656.77459490741</v>
      </c>
    </row>
    <row r="449">
      <c r="A449" s="1" t="s">
        <v>528</v>
      </c>
      <c r="B449" s="1" t="s">
        <v>17</v>
      </c>
      <c r="C449" s="1" t="s">
        <v>17</v>
      </c>
      <c r="D449" s="1" t="s">
        <v>17</v>
      </c>
      <c r="E449" s="1" t="s">
        <v>17</v>
      </c>
      <c r="F449" s="1" t="s">
        <v>17</v>
      </c>
      <c r="G449" s="1" t="s">
        <v>17</v>
      </c>
      <c r="H449" s="1" t="s">
        <v>17</v>
      </c>
      <c r="I449" s="1">
        <v>0.0</v>
      </c>
      <c r="J449" s="1">
        <v>0.0</v>
      </c>
      <c r="K449" s="1" t="s">
        <v>17</v>
      </c>
      <c r="L449" s="1" t="s">
        <v>17</v>
      </c>
      <c r="M449" s="1" t="s">
        <v>17</v>
      </c>
      <c r="N449" s="1" t="s">
        <v>17</v>
      </c>
      <c r="O449" s="3">
        <v>45656.78009259259</v>
      </c>
      <c r="P449" s="3">
        <v>45656.78009259259</v>
      </c>
    </row>
    <row r="450">
      <c r="A450" s="1" t="s">
        <v>529</v>
      </c>
      <c r="B450" s="1" t="s">
        <v>17</v>
      </c>
      <c r="C450" s="1" t="s">
        <v>17</v>
      </c>
      <c r="D450" s="1" t="s">
        <v>17</v>
      </c>
      <c r="E450" s="1" t="s">
        <v>17</v>
      </c>
      <c r="F450" s="1" t="s">
        <v>17</v>
      </c>
      <c r="G450" s="1" t="s">
        <v>17</v>
      </c>
      <c r="H450" s="1" t="s">
        <v>17</v>
      </c>
      <c r="I450" s="1">
        <v>0.0</v>
      </c>
      <c r="J450" s="1">
        <v>0.0</v>
      </c>
      <c r="K450" s="1" t="s">
        <v>17</v>
      </c>
      <c r="L450" s="1" t="s">
        <v>17</v>
      </c>
      <c r="M450" s="1" t="s">
        <v>17</v>
      </c>
      <c r="N450" s="1" t="s">
        <v>17</v>
      </c>
      <c r="O450" s="3">
        <v>45656.78134259259</v>
      </c>
      <c r="P450" s="3">
        <v>45656.78134259259</v>
      </c>
    </row>
    <row r="451">
      <c r="A451" s="1" t="s">
        <v>530</v>
      </c>
      <c r="B451" s="1" t="s">
        <v>17</v>
      </c>
      <c r="C451" s="1" t="s">
        <v>17</v>
      </c>
      <c r="D451" s="1" t="s">
        <v>17</v>
      </c>
      <c r="E451" s="1" t="s">
        <v>17</v>
      </c>
      <c r="F451" s="1" t="s">
        <v>17</v>
      </c>
      <c r="G451" s="1" t="s">
        <v>17</v>
      </c>
      <c r="H451" s="1" t="s">
        <v>17</v>
      </c>
      <c r="I451" s="1">
        <v>0.0</v>
      </c>
      <c r="J451" s="1">
        <v>0.0</v>
      </c>
      <c r="K451" s="1" t="s">
        <v>17</v>
      </c>
      <c r="L451" s="1" t="s">
        <v>17</v>
      </c>
      <c r="M451" s="1" t="s">
        <v>17</v>
      </c>
      <c r="N451" s="1" t="s">
        <v>17</v>
      </c>
      <c r="O451" s="3">
        <v>45672.45946759259</v>
      </c>
      <c r="P451" s="3">
        <v>45672.45946759259</v>
      </c>
    </row>
    <row r="452">
      <c r="A452" s="1" t="s">
        <v>531</v>
      </c>
      <c r="B452" s="1">
        <v>96.0</v>
      </c>
      <c r="C452" s="1">
        <v>2.7172525E7</v>
      </c>
      <c r="D452" s="1" t="s">
        <v>17</v>
      </c>
      <c r="E452" s="1" t="s">
        <v>17</v>
      </c>
      <c r="F452" s="1" t="s">
        <v>17</v>
      </c>
      <c r="G452" s="1" t="s">
        <v>532</v>
      </c>
      <c r="H452" s="1" t="s">
        <v>17</v>
      </c>
      <c r="I452" s="1">
        <v>0.0</v>
      </c>
      <c r="J452" s="1">
        <v>0.0</v>
      </c>
      <c r="K452" s="1" t="s">
        <v>17</v>
      </c>
      <c r="L452" s="1" t="s">
        <v>17</v>
      </c>
      <c r="M452" s="1" t="s">
        <v>17</v>
      </c>
      <c r="N452" s="1" t="s">
        <v>17</v>
      </c>
      <c r="O452" s="3">
        <v>45684.550532407404</v>
      </c>
      <c r="P452" s="3">
        <v>45684.550532407404</v>
      </c>
    </row>
    <row r="453">
      <c r="A453" s="1" t="s">
        <v>533</v>
      </c>
      <c r="B453" s="1" t="s">
        <v>17</v>
      </c>
      <c r="C453" s="1" t="s">
        <v>17</v>
      </c>
      <c r="D453" s="1" t="s">
        <v>17</v>
      </c>
      <c r="E453" s="1" t="s">
        <v>17</v>
      </c>
      <c r="F453" s="1" t="s">
        <v>17</v>
      </c>
      <c r="G453" s="1" t="s">
        <v>534</v>
      </c>
      <c r="H453" s="1" t="s">
        <v>17</v>
      </c>
      <c r="I453" s="1">
        <v>0.0</v>
      </c>
      <c r="J453" s="1">
        <v>0.0</v>
      </c>
      <c r="K453" s="1" t="s">
        <v>17</v>
      </c>
      <c r="L453" s="1" t="s">
        <v>17</v>
      </c>
      <c r="M453" s="1" t="s">
        <v>17</v>
      </c>
      <c r="N453" s="1" t="s">
        <v>17</v>
      </c>
      <c r="O453" s="3">
        <v>45685.462118055555</v>
      </c>
      <c r="P453" s="3">
        <v>45685.462118055555</v>
      </c>
    </row>
    <row r="454">
      <c r="A454" s="1" t="s">
        <v>535</v>
      </c>
      <c r="B454" s="1" t="s">
        <v>17</v>
      </c>
      <c r="C454" s="1" t="s">
        <v>17</v>
      </c>
      <c r="D454" s="1" t="s">
        <v>17</v>
      </c>
      <c r="E454" s="1" t="s">
        <v>17</v>
      </c>
      <c r="F454" s="1" t="s">
        <v>17</v>
      </c>
      <c r="G454" s="1" t="s">
        <v>536</v>
      </c>
      <c r="H454" s="1" t="s">
        <v>17</v>
      </c>
      <c r="I454" s="1">
        <v>0.0</v>
      </c>
      <c r="J454" s="1">
        <v>0.0</v>
      </c>
      <c r="K454" s="1" t="s">
        <v>17</v>
      </c>
      <c r="L454" s="1" t="s">
        <v>17</v>
      </c>
      <c r="M454" s="1" t="s">
        <v>17</v>
      </c>
      <c r="N454" s="1" t="s">
        <v>17</v>
      </c>
      <c r="O454" s="3">
        <v>45685.487916666665</v>
      </c>
      <c r="P454" s="3">
        <v>45685.487916666665</v>
      </c>
    </row>
    <row r="455">
      <c r="A455" s="1" t="s">
        <v>537</v>
      </c>
      <c r="B455" s="1" t="s">
        <v>17</v>
      </c>
      <c r="C455" s="1" t="s">
        <v>17</v>
      </c>
      <c r="D455" s="1" t="s">
        <v>17</v>
      </c>
      <c r="E455" s="1" t="s">
        <v>17</v>
      </c>
      <c r="F455" s="1" t="s">
        <v>17</v>
      </c>
      <c r="G455" s="1" t="s">
        <v>538</v>
      </c>
      <c r="H455" s="1" t="s">
        <v>17</v>
      </c>
      <c r="I455" s="1">
        <v>0.0</v>
      </c>
      <c r="J455" s="1">
        <v>0.0</v>
      </c>
      <c r="K455" s="1" t="s">
        <v>17</v>
      </c>
      <c r="L455" s="1" t="s">
        <v>17</v>
      </c>
      <c r="M455" s="1" t="s">
        <v>17</v>
      </c>
      <c r="N455" s="1" t="s">
        <v>17</v>
      </c>
      <c r="O455" s="3">
        <v>45695.71361111111</v>
      </c>
      <c r="P455" s="3">
        <v>45695.71361111111</v>
      </c>
    </row>
    <row r="456">
      <c r="A456" s="1" t="s">
        <v>539</v>
      </c>
      <c r="B456" s="1" t="s">
        <v>17</v>
      </c>
      <c r="C456" s="1" t="s">
        <v>17</v>
      </c>
      <c r="D456" s="1" t="s">
        <v>17</v>
      </c>
      <c r="E456" s="1" t="s">
        <v>17</v>
      </c>
      <c r="F456" s="1" t="s">
        <v>17</v>
      </c>
      <c r="G456" s="1" t="s">
        <v>540</v>
      </c>
      <c r="H456" s="1" t="s">
        <v>17</v>
      </c>
      <c r="I456" s="1">
        <v>0.0</v>
      </c>
      <c r="J456" s="1">
        <v>0.0</v>
      </c>
      <c r="K456" s="1" t="s">
        <v>17</v>
      </c>
      <c r="L456" s="1" t="s">
        <v>17</v>
      </c>
      <c r="M456" s="1" t="s">
        <v>17</v>
      </c>
      <c r="N456" s="1" t="s">
        <v>17</v>
      </c>
      <c r="O456" s="3">
        <v>45695.73642361111</v>
      </c>
      <c r="P456" s="3">
        <v>45695.73642361111</v>
      </c>
    </row>
    <row r="457">
      <c r="A457" s="1" t="s">
        <v>541</v>
      </c>
      <c r="B457" s="1">
        <v>96.0</v>
      </c>
      <c r="C457" s="1">
        <v>4.3994452E7</v>
      </c>
      <c r="D457" s="1" t="s">
        <v>17</v>
      </c>
      <c r="E457" s="1" t="s">
        <v>17</v>
      </c>
      <c r="F457" s="1" t="s">
        <v>17</v>
      </c>
      <c r="G457" s="4" t="str">
        <f>+54 9 3516 78-6700</f>
        <v>#ERROR!</v>
      </c>
      <c r="H457" s="1" t="s">
        <v>17</v>
      </c>
      <c r="I457" s="1">
        <v>0.0</v>
      </c>
      <c r="J457" s="1">
        <v>0.0</v>
      </c>
      <c r="K457" s="1" t="s">
        <v>17</v>
      </c>
      <c r="L457" s="1" t="s">
        <v>17</v>
      </c>
      <c r="M457" s="1" t="s">
        <v>17</v>
      </c>
      <c r="N457" s="1" t="s">
        <v>17</v>
      </c>
      <c r="O457" s="3">
        <v>45695.75231481482</v>
      </c>
      <c r="P457" s="3">
        <v>45695.75231481482</v>
      </c>
    </row>
    <row r="458">
      <c r="A458" s="1" t="s">
        <v>542</v>
      </c>
      <c r="B458" s="1" t="s">
        <v>17</v>
      </c>
      <c r="C458" s="1" t="s">
        <v>17</v>
      </c>
      <c r="D458" s="1" t="s">
        <v>17</v>
      </c>
      <c r="E458" s="1" t="s">
        <v>17</v>
      </c>
      <c r="F458" s="1" t="s">
        <v>17</v>
      </c>
      <c r="G458" s="4" t="str">
        <f>+54 9 3517 61-8307</f>
        <v>#ERROR!</v>
      </c>
      <c r="H458" s="1" t="s">
        <v>17</v>
      </c>
      <c r="I458" s="1">
        <v>0.0</v>
      </c>
      <c r="J458" s="1">
        <v>0.0</v>
      </c>
      <c r="K458" s="1" t="s">
        <v>17</v>
      </c>
      <c r="L458" s="1" t="s">
        <v>17</v>
      </c>
      <c r="M458" s="1" t="s">
        <v>17</v>
      </c>
      <c r="N458" s="1" t="s">
        <v>17</v>
      </c>
      <c r="O458" s="3">
        <v>45695.76268518518</v>
      </c>
      <c r="P458" s="3">
        <v>45695.76268518518</v>
      </c>
    </row>
    <row r="459">
      <c r="A459" s="1" t="s">
        <v>543</v>
      </c>
      <c r="B459" s="1" t="s">
        <v>17</v>
      </c>
      <c r="C459" s="1" t="s">
        <v>17</v>
      </c>
      <c r="D459" s="1" t="s">
        <v>17</v>
      </c>
      <c r="E459" s="1" t="s">
        <v>17</v>
      </c>
      <c r="F459" s="1" t="s">
        <v>17</v>
      </c>
      <c r="G459" s="1" t="s">
        <v>544</v>
      </c>
      <c r="H459" s="1" t="s">
        <v>17</v>
      </c>
      <c r="I459" s="1">
        <v>0.0</v>
      </c>
      <c r="J459" s="1">
        <v>0.0</v>
      </c>
      <c r="K459" s="1" t="s">
        <v>17</v>
      </c>
      <c r="L459" s="1" t="s">
        <v>17</v>
      </c>
      <c r="M459" s="1" t="s">
        <v>17</v>
      </c>
      <c r="N459" s="1" t="s">
        <v>17</v>
      </c>
      <c r="O459" s="3">
        <v>45695.76744212963</v>
      </c>
      <c r="P459" s="3">
        <v>45695.76744212963</v>
      </c>
    </row>
    <row r="460">
      <c r="A460" s="1" t="s">
        <v>545</v>
      </c>
      <c r="B460" s="1" t="s">
        <v>17</v>
      </c>
      <c r="C460" s="1" t="s">
        <v>17</v>
      </c>
      <c r="D460" s="1" t="s">
        <v>17</v>
      </c>
      <c r="E460" s="1" t="s">
        <v>17</v>
      </c>
      <c r="F460" s="1" t="s">
        <v>17</v>
      </c>
      <c r="G460" s="4" t="str">
        <f>+54 9 3564 58-6414</f>
        <v>#ERROR!</v>
      </c>
      <c r="H460" s="1" t="s">
        <v>17</v>
      </c>
      <c r="I460" s="1">
        <v>0.0</v>
      </c>
      <c r="J460" s="1">
        <v>0.0</v>
      </c>
      <c r="K460" s="1" t="s">
        <v>17</v>
      </c>
      <c r="L460" s="1" t="s">
        <v>17</v>
      </c>
      <c r="M460" s="1" t="s">
        <v>17</v>
      </c>
      <c r="N460" s="1" t="s">
        <v>17</v>
      </c>
      <c r="O460" s="3">
        <v>45695.77706018519</v>
      </c>
      <c r="P460" s="3">
        <v>45695.77706018519</v>
      </c>
    </row>
    <row r="461">
      <c r="A461" s="1" t="s">
        <v>546</v>
      </c>
      <c r="B461" s="1">
        <v>96.0</v>
      </c>
      <c r="C461" s="1">
        <v>2.5710265E7</v>
      </c>
      <c r="D461" s="1" t="s">
        <v>17</v>
      </c>
      <c r="E461" s="1" t="s">
        <v>17</v>
      </c>
      <c r="F461" s="1" t="s">
        <v>17</v>
      </c>
      <c r="G461" s="4" t="str">
        <f>+54 9 3515 94-2369</f>
        <v>#ERROR!</v>
      </c>
      <c r="H461" s="1" t="s">
        <v>17</v>
      </c>
      <c r="I461" s="1">
        <v>0.0</v>
      </c>
      <c r="J461" s="1">
        <v>0.0</v>
      </c>
      <c r="K461" s="1" t="s">
        <v>17</v>
      </c>
      <c r="L461" s="1" t="s">
        <v>17</v>
      </c>
      <c r="M461" s="1" t="s">
        <v>17</v>
      </c>
      <c r="N461" s="1" t="s">
        <v>17</v>
      </c>
      <c r="O461" s="3">
        <v>45695.80443287037</v>
      </c>
      <c r="P461" s="3">
        <v>45695.80443287037</v>
      </c>
    </row>
    <row r="462">
      <c r="A462" s="1" t="s">
        <v>547</v>
      </c>
      <c r="B462" s="1" t="s">
        <v>17</v>
      </c>
      <c r="C462" s="1" t="s">
        <v>17</v>
      </c>
      <c r="D462" s="1" t="s">
        <v>17</v>
      </c>
      <c r="E462" s="1" t="s">
        <v>17</v>
      </c>
      <c r="F462" s="1" t="s">
        <v>17</v>
      </c>
      <c r="G462" s="4" t="str">
        <f>+54 9 3515 94-2369</f>
        <v>#ERROR!</v>
      </c>
      <c r="H462" s="1" t="s">
        <v>17</v>
      </c>
      <c r="I462" s="1">
        <v>0.0</v>
      </c>
      <c r="J462" s="1">
        <v>0.0</v>
      </c>
      <c r="K462" s="1" t="s">
        <v>17</v>
      </c>
      <c r="L462" s="1" t="s">
        <v>17</v>
      </c>
      <c r="M462" s="1" t="s">
        <v>17</v>
      </c>
      <c r="N462" s="1" t="s">
        <v>17</v>
      </c>
      <c r="O462" s="3">
        <v>45698.45041666667</v>
      </c>
      <c r="P462" s="3">
        <v>45698.45041666667</v>
      </c>
    </row>
    <row r="463">
      <c r="A463" s="1" t="s">
        <v>548</v>
      </c>
      <c r="B463" s="1" t="s">
        <v>549</v>
      </c>
      <c r="C463" s="1">
        <v>2.0622798E7</v>
      </c>
      <c r="D463" s="1" t="s">
        <v>17</v>
      </c>
      <c r="E463" s="1" t="s">
        <v>17</v>
      </c>
      <c r="F463" s="1" t="s">
        <v>17</v>
      </c>
      <c r="G463" s="4" t="str">
        <f>+54 9 3516 89-6837</f>
        <v>#ERROR!</v>
      </c>
      <c r="H463" s="1" t="s">
        <v>17</v>
      </c>
      <c r="I463" s="1">
        <v>0.0</v>
      </c>
      <c r="J463" s="1">
        <v>0.0</v>
      </c>
      <c r="K463" s="1" t="s">
        <v>17</v>
      </c>
      <c r="L463" s="1" t="s">
        <v>17</v>
      </c>
      <c r="M463" s="1" t="s">
        <v>17</v>
      </c>
      <c r="N463" s="1" t="s">
        <v>17</v>
      </c>
      <c r="O463" s="3">
        <v>45698.4627662037</v>
      </c>
      <c r="P463" s="3">
        <v>45698.4627662037</v>
      </c>
    </row>
    <row r="464">
      <c r="A464" s="1" t="s">
        <v>212</v>
      </c>
      <c r="B464" s="1" t="s">
        <v>17</v>
      </c>
      <c r="C464" s="1" t="s">
        <v>17</v>
      </c>
      <c r="D464" s="1" t="s">
        <v>17</v>
      </c>
      <c r="E464" s="1" t="s">
        <v>17</v>
      </c>
      <c r="F464" s="1" t="s">
        <v>17</v>
      </c>
      <c r="G464" s="4" t="str">
        <f>+54 9 3515 19-1225</f>
        <v>#ERROR!</v>
      </c>
      <c r="H464" s="1" t="s">
        <v>17</v>
      </c>
      <c r="I464" s="1">
        <v>0.0</v>
      </c>
      <c r="J464" s="1">
        <v>0.0</v>
      </c>
      <c r="K464" s="1" t="s">
        <v>17</v>
      </c>
      <c r="L464" s="1" t="s">
        <v>17</v>
      </c>
      <c r="M464" s="1" t="s">
        <v>17</v>
      </c>
      <c r="N464" s="1" t="s">
        <v>17</v>
      </c>
      <c r="O464" s="3">
        <v>45698.470972222225</v>
      </c>
      <c r="P464" s="3">
        <v>45698.470972222225</v>
      </c>
    </row>
    <row r="465">
      <c r="A465" s="1" t="s">
        <v>550</v>
      </c>
      <c r="B465" s="1" t="s">
        <v>17</v>
      </c>
      <c r="C465" s="1" t="s">
        <v>17</v>
      </c>
      <c r="D465" s="1" t="s">
        <v>17</v>
      </c>
      <c r="E465" s="1" t="s">
        <v>17</v>
      </c>
      <c r="F465" s="1" t="s">
        <v>17</v>
      </c>
      <c r="G465" s="4" t="str">
        <f>+54 9 3515 59-0058</f>
        <v>#ERROR!</v>
      </c>
      <c r="H465" s="1" t="s">
        <v>17</v>
      </c>
      <c r="I465" s="1">
        <v>0.0</v>
      </c>
      <c r="J465" s="1">
        <v>0.0</v>
      </c>
      <c r="K465" s="1" t="s">
        <v>17</v>
      </c>
      <c r="L465" s="1" t="s">
        <v>17</v>
      </c>
      <c r="M465" s="1" t="s">
        <v>17</v>
      </c>
      <c r="N465" s="1" t="s">
        <v>17</v>
      </c>
      <c r="O465" s="3">
        <v>45698.47707175926</v>
      </c>
      <c r="P465" s="3">
        <v>45698.47707175926</v>
      </c>
    </row>
    <row r="466">
      <c r="A466" s="1" t="s">
        <v>551</v>
      </c>
      <c r="B466" s="1" t="s">
        <v>17</v>
      </c>
      <c r="C466" s="1" t="s">
        <v>17</v>
      </c>
      <c r="D466" s="1" t="s">
        <v>17</v>
      </c>
      <c r="E466" s="1" t="s">
        <v>17</v>
      </c>
      <c r="F466" s="1" t="s">
        <v>17</v>
      </c>
      <c r="G466" s="4" t="str">
        <f>+54 9 2233 00-5286</f>
        <v>#ERROR!</v>
      </c>
      <c r="H466" s="1" t="s">
        <v>17</v>
      </c>
      <c r="I466" s="1">
        <v>0.0</v>
      </c>
      <c r="J466" s="1">
        <v>0.0</v>
      </c>
      <c r="K466" s="1" t="s">
        <v>17</v>
      </c>
      <c r="L466" s="1" t="s">
        <v>17</v>
      </c>
      <c r="M466" s="1" t="s">
        <v>17</v>
      </c>
      <c r="N466" s="1" t="s">
        <v>17</v>
      </c>
      <c r="O466" s="3">
        <v>45698.48380787037</v>
      </c>
      <c r="P466" s="3">
        <v>45698.48380787037</v>
      </c>
    </row>
    <row r="467">
      <c r="A467" s="1" t="s">
        <v>552</v>
      </c>
      <c r="B467" s="1" t="s">
        <v>17</v>
      </c>
      <c r="C467" s="1" t="s">
        <v>17</v>
      </c>
      <c r="D467" s="1" t="s">
        <v>17</v>
      </c>
      <c r="E467" s="1" t="s">
        <v>17</v>
      </c>
      <c r="F467" s="1" t="s">
        <v>17</v>
      </c>
      <c r="G467" s="4" t="str">
        <f>+54 9 11 6951-5124</f>
        <v>#ERROR!</v>
      </c>
      <c r="H467" s="1" t="s">
        <v>17</v>
      </c>
      <c r="I467" s="1">
        <v>0.0</v>
      </c>
      <c r="J467" s="1">
        <v>0.0</v>
      </c>
      <c r="K467" s="1" t="s">
        <v>17</v>
      </c>
      <c r="L467" s="1" t="s">
        <v>17</v>
      </c>
      <c r="M467" s="1" t="s">
        <v>17</v>
      </c>
      <c r="N467" s="1" t="s">
        <v>17</v>
      </c>
      <c r="O467" s="3">
        <v>45698.490219907406</v>
      </c>
      <c r="P467" s="3">
        <v>45698.490219907406</v>
      </c>
    </row>
    <row r="468">
      <c r="A468" s="1" t="s">
        <v>553</v>
      </c>
      <c r="B468" s="1" t="s">
        <v>17</v>
      </c>
      <c r="C468" s="1" t="s">
        <v>17</v>
      </c>
      <c r="D468" s="1" t="s">
        <v>17</v>
      </c>
      <c r="E468" s="1" t="s">
        <v>17</v>
      </c>
      <c r="F468" s="1" t="s">
        <v>17</v>
      </c>
      <c r="G468" s="4" t="str">
        <f>+54 9 3515 15-4069</f>
        <v>#ERROR!</v>
      </c>
      <c r="H468" s="1" t="s">
        <v>17</v>
      </c>
      <c r="I468" s="1">
        <v>0.0</v>
      </c>
      <c r="J468" s="1">
        <v>0.0</v>
      </c>
      <c r="K468" s="1" t="s">
        <v>17</v>
      </c>
      <c r="L468" s="1" t="s">
        <v>17</v>
      </c>
      <c r="M468" s="1" t="s">
        <v>17</v>
      </c>
      <c r="N468" s="1" t="s">
        <v>17</v>
      </c>
      <c r="O468" s="3">
        <v>45698.49438657407</v>
      </c>
      <c r="P468" s="3">
        <v>45698.49438657407</v>
      </c>
    </row>
    <row r="469">
      <c r="A469" s="1" t="s">
        <v>554</v>
      </c>
      <c r="B469" s="1" t="s">
        <v>17</v>
      </c>
      <c r="C469" s="1" t="s">
        <v>17</v>
      </c>
      <c r="D469" s="1" t="s">
        <v>17</v>
      </c>
      <c r="E469" s="1" t="s">
        <v>17</v>
      </c>
      <c r="F469" s="1" t="s">
        <v>17</v>
      </c>
      <c r="G469" s="1" t="s">
        <v>555</v>
      </c>
      <c r="H469" s="1" t="s">
        <v>17</v>
      </c>
      <c r="I469" s="1">
        <v>0.0</v>
      </c>
      <c r="J469" s="1">
        <v>0.0</v>
      </c>
      <c r="K469" s="1" t="s">
        <v>17</v>
      </c>
      <c r="L469" s="1" t="s">
        <v>17</v>
      </c>
      <c r="M469" s="1" t="s">
        <v>17</v>
      </c>
      <c r="N469" s="1" t="s">
        <v>17</v>
      </c>
      <c r="O469" s="3">
        <v>45698.51693287037</v>
      </c>
      <c r="P469" s="3">
        <v>45698.51693287037</v>
      </c>
    </row>
    <row r="470">
      <c r="A470" s="1" t="s">
        <v>556</v>
      </c>
      <c r="B470" s="1" t="s">
        <v>17</v>
      </c>
      <c r="C470" s="1" t="s">
        <v>17</v>
      </c>
      <c r="D470" s="1" t="s">
        <v>17</v>
      </c>
      <c r="E470" s="1" t="s">
        <v>17</v>
      </c>
      <c r="F470" s="1" t="s">
        <v>17</v>
      </c>
      <c r="G470" s="4" t="str">
        <f>+54 9 3516 20-2685</f>
        <v>#ERROR!</v>
      </c>
      <c r="H470" s="1" t="s">
        <v>17</v>
      </c>
      <c r="I470" s="1">
        <v>0.0</v>
      </c>
      <c r="J470" s="1">
        <v>0.0</v>
      </c>
      <c r="K470" s="1" t="s">
        <v>17</v>
      </c>
      <c r="L470" s="1" t="s">
        <v>17</v>
      </c>
      <c r="M470" s="1" t="s">
        <v>17</v>
      </c>
      <c r="N470" s="1" t="s">
        <v>17</v>
      </c>
      <c r="O470" s="3">
        <v>45698.52027777778</v>
      </c>
      <c r="P470" s="3">
        <v>45698.52027777778</v>
      </c>
    </row>
    <row r="471">
      <c r="A471" s="1" t="s">
        <v>557</v>
      </c>
      <c r="B471" s="1" t="s">
        <v>17</v>
      </c>
      <c r="C471" s="1" t="s">
        <v>17</v>
      </c>
      <c r="D471" s="1" t="s">
        <v>17</v>
      </c>
      <c r="E471" s="1" t="s">
        <v>17</v>
      </c>
      <c r="F471" s="1" t="s">
        <v>17</v>
      </c>
      <c r="G471" s="4" t="str">
        <f>+54 9 3513 25-5228</f>
        <v>#ERROR!</v>
      </c>
      <c r="H471" s="1" t="s">
        <v>17</v>
      </c>
      <c r="I471" s="1">
        <v>0.0</v>
      </c>
      <c r="J471" s="1">
        <v>0.0</v>
      </c>
      <c r="K471" s="1" t="s">
        <v>17</v>
      </c>
      <c r="L471" s="1" t="s">
        <v>17</v>
      </c>
      <c r="M471" s="1" t="s">
        <v>17</v>
      </c>
      <c r="N471" s="1" t="s">
        <v>17</v>
      </c>
      <c r="O471" s="3">
        <v>45698.52612268519</v>
      </c>
      <c r="P471" s="3">
        <v>45698.52612268519</v>
      </c>
    </row>
    <row r="472">
      <c r="A472" s="1" t="s">
        <v>558</v>
      </c>
      <c r="B472" s="1" t="s">
        <v>17</v>
      </c>
      <c r="C472" s="1" t="s">
        <v>17</v>
      </c>
      <c r="D472" s="1" t="s">
        <v>17</v>
      </c>
      <c r="E472" s="1" t="s">
        <v>17</v>
      </c>
      <c r="F472" s="1" t="s">
        <v>17</v>
      </c>
      <c r="G472" s="4" t="str">
        <f>+54 9 3515 92-6280</f>
        <v>#ERROR!</v>
      </c>
      <c r="H472" s="1" t="s">
        <v>17</v>
      </c>
      <c r="I472" s="1">
        <v>0.0</v>
      </c>
      <c r="J472" s="1">
        <v>0.0</v>
      </c>
      <c r="K472" s="1" t="s">
        <v>17</v>
      </c>
      <c r="L472" s="1" t="s">
        <v>17</v>
      </c>
      <c r="M472" s="1" t="s">
        <v>17</v>
      </c>
      <c r="N472" s="1" t="s">
        <v>17</v>
      </c>
      <c r="O472" s="3">
        <v>45698.67184027778</v>
      </c>
      <c r="P472" s="3">
        <v>45698.67184027778</v>
      </c>
    </row>
    <row r="473">
      <c r="A473" s="1" t="s">
        <v>559</v>
      </c>
      <c r="B473" s="1" t="s">
        <v>17</v>
      </c>
      <c r="C473" s="1" t="s">
        <v>17</v>
      </c>
      <c r="D473" s="1" t="s">
        <v>17</v>
      </c>
      <c r="E473" s="1" t="s">
        <v>17</v>
      </c>
      <c r="F473" s="1" t="s">
        <v>17</v>
      </c>
      <c r="G473" s="4" t="str">
        <f>+54 9 3517 70-8144</f>
        <v>#ERROR!</v>
      </c>
      <c r="H473" s="1" t="s">
        <v>17</v>
      </c>
      <c r="I473" s="1">
        <v>0.0</v>
      </c>
      <c r="J473" s="1">
        <v>0.0</v>
      </c>
      <c r="K473" s="1" t="s">
        <v>17</v>
      </c>
      <c r="L473" s="1" t="s">
        <v>17</v>
      </c>
      <c r="M473" s="1" t="s">
        <v>17</v>
      </c>
      <c r="N473" s="1" t="s">
        <v>17</v>
      </c>
      <c r="O473" s="3">
        <v>45698.679502314815</v>
      </c>
      <c r="P473" s="3">
        <v>45698.679502314815</v>
      </c>
    </row>
    <row r="474">
      <c r="A474" s="1" t="s">
        <v>560</v>
      </c>
      <c r="B474" s="1" t="s">
        <v>17</v>
      </c>
      <c r="C474" s="1" t="s">
        <v>17</v>
      </c>
      <c r="D474" s="1" t="s">
        <v>17</v>
      </c>
      <c r="E474" s="1" t="s">
        <v>17</v>
      </c>
      <c r="F474" s="1" t="s">
        <v>17</v>
      </c>
      <c r="G474" s="4" t="str">
        <f>+54 9 3513 73-0908</f>
        <v>#ERROR!</v>
      </c>
      <c r="H474" s="1" t="s">
        <v>17</v>
      </c>
      <c r="I474" s="1">
        <v>0.0</v>
      </c>
      <c r="J474" s="1">
        <v>0.0</v>
      </c>
      <c r="K474" s="1" t="s">
        <v>17</v>
      </c>
      <c r="L474" s="1" t="s">
        <v>17</v>
      </c>
      <c r="M474" s="1" t="s">
        <v>17</v>
      </c>
      <c r="N474" s="1" t="s">
        <v>17</v>
      </c>
      <c r="O474" s="3">
        <v>45698.70633101852</v>
      </c>
      <c r="P474" s="3">
        <v>45698.70633101852</v>
      </c>
    </row>
    <row r="475">
      <c r="A475" s="1" t="s">
        <v>561</v>
      </c>
      <c r="B475" s="1" t="s">
        <v>17</v>
      </c>
      <c r="C475" s="1" t="s">
        <v>17</v>
      </c>
      <c r="D475" s="1" t="s">
        <v>17</v>
      </c>
      <c r="E475" s="1" t="s">
        <v>17</v>
      </c>
      <c r="F475" s="1" t="s">
        <v>17</v>
      </c>
      <c r="G475" s="4" t="str">
        <f>+54 9 3512 07-0962</f>
        <v>#ERROR!</v>
      </c>
      <c r="H475" s="1" t="s">
        <v>17</v>
      </c>
      <c r="I475" s="1">
        <v>0.0</v>
      </c>
      <c r="J475" s="1">
        <v>0.0</v>
      </c>
      <c r="K475" s="1" t="s">
        <v>17</v>
      </c>
      <c r="L475" s="1" t="s">
        <v>17</v>
      </c>
      <c r="M475" s="1" t="s">
        <v>17</v>
      </c>
      <c r="N475" s="1" t="s">
        <v>17</v>
      </c>
      <c r="O475" s="3">
        <v>45698.73394675926</v>
      </c>
      <c r="P475" s="3">
        <v>45698.73394675926</v>
      </c>
    </row>
    <row r="476">
      <c r="A476" s="1" t="s">
        <v>562</v>
      </c>
      <c r="B476" s="1" t="s">
        <v>549</v>
      </c>
      <c r="C476" s="1">
        <v>2.7579433E7</v>
      </c>
      <c r="D476" s="1" t="s">
        <v>17</v>
      </c>
      <c r="E476" s="1" t="s">
        <v>17</v>
      </c>
      <c r="F476" s="1" t="s">
        <v>17</v>
      </c>
      <c r="G476" s="4" t="str">
        <f>+54 9 3513 96-7950</f>
        <v>#ERROR!</v>
      </c>
      <c r="H476" s="1" t="s">
        <v>17</v>
      </c>
      <c r="I476" s="1">
        <v>0.0</v>
      </c>
      <c r="J476" s="1">
        <v>0.0</v>
      </c>
      <c r="K476" s="1" t="s">
        <v>17</v>
      </c>
      <c r="L476" s="1" t="s">
        <v>17</v>
      </c>
      <c r="M476" s="1" t="s">
        <v>17</v>
      </c>
      <c r="N476" s="1" t="s">
        <v>17</v>
      </c>
      <c r="O476" s="3">
        <v>45698.73862268519</v>
      </c>
      <c r="P476" s="3">
        <v>45698.73862268519</v>
      </c>
    </row>
    <row r="477">
      <c r="A477" s="1" t="s">
        <v>563</v>
      </c>
      <c r="B477" s="1" t="s">
        <v>17</v>
      </c>
      <c r="C477" s="1" t="s">
        <v>17</v>
      </c>
      <c r="D477" s="1" t="s">
        <v>17</v>
      </c>
      <c r="E477" s="1" t="s">
        <v>17</v>
      </c>
      <c r="F477" s="1" t="s">
        <v>17</v>
      </c>
      <c r="G477" s="4" t="str">
        <f>+54 9 3512 15-5079</f>
        <v>#ERROR!</v>
      </c>
      <c r="H477" s="1" t="s">
        <v>17</v>
      </c>
      <c r="I477" s="1">
        <v>0.0</v>
      </c>
      <c r="J477" s="1">
        <v>0.0</v>
      </c>
      <c r="K477" s="1" t="s">
        <v>17</v>
      </c>
      <c r="L477" s="1" t="s">
        <v>17</v>
      </c>
      <c r="M477" s="1" t="s">
        <v>17</v>
      </c>
      <c r="N477" s="1" t="s">
        <v>17</v>
      </c>
      <c r="O477" s="3">
        <v>45698.74538194444</v>
      </c>
      <c r="P477" s="3">
        <v>45698.74538194444</v>
      </c>
    </row>
    <row r="478">
      <c r="A478" s="1" t="s">
        <v>564</v>
      </c>
      <c r="B478" s="1" t="s">
        <v>17</v>
      </c>
      <c r="C478" s="1" t="s">
        <v>17</v>
      </c>
      <c r="D478" s="1" t="s">
        <v>17</v>
      </c>
      <c r="E478" s="1" t="s">
        <v>17</v>
      </c>
      <c r="F478" s="1" t="s">
        <v>17</v>
      </c>
      <c r="G478" s="1" t="s">
        <v>565</v>
      </c>
      <c r="H478" s="1" t="s">
        <v>17</v>
      </c>
      <c r="I478" s="1">
        <v>0.0</v>
      </c>
      <c r="J478" s="1">
        <v>0.0</v>
      </c>
      <c r="K478" s="1" t="s">
        <v>17</v>
      </c>
      <c r="L478" s="1" t="s">
        <v>17</v>
      </c>
      <c r="M478" s="1" t="s">
        <v>17</v>
      </c>
      <c r="N478" s="1" t="s">
        <v>17</v>
      </c>
      <c r="O478" s="3">
        <v>45698.74922453704</v>
      </c>
      <c r="P478" s="3">
        <v>45698.74922453704</v>
      </c>
    </row>
    <row r="479">
      <c r="A479" s="1" t="s">
        <v>566</v>
      </c>
      <c r="B479" s="1" t="s">
        <v>17</v>
      </c>
      <c r="C479" s="1" t="s">
        <v>17</v>
      </c>
      <c r="D479" s="1" t="s">
        <v>17</v>
      </c>
      <c r="E479" s="1" t="s">
        <v>17</v>
      </c>
      <c r="F479" s="1" t="s">
        <v>17</v>
      </c>
      <c r="G479" s="4" t="str">
        <f>+54 9 3515 10-4752</f>
        <v>#ERROR!</v>
      </c>
      <c r="H479" s="1" t="s">
        <v>17</v>
      </c>
      <c r="I479" s="1">
        <v>0.0</v>
      </c>
      <c r="J479" s="1">
        <v>0.0</v>
      </c>
      <c r="K479" s="1" t="s">
        <v>17</v>
      </c>
      <c r="L479" s="1" t="s">
        <v>17</v>
      </c>
      <c r="M479" s="1" t="s">
        <v>17</v>
      </c>
      <c r="N479" s="1" t="s">
        <v>17</v>
      </c>
      <c r="O479" s="3">
        <v>45698.753287037034</v>
      </c>
      <c r="P479" s="3">
        <v>45698.753287037034</v>
      </c>
    </row>
    <row r="480">
      <c r="A480" s="1" t="s">
        <v>567</v>
      </c>
      <c r="B480" s="1" t="s">
        <v>17</v>
      </c>
      <c r="C480" s="1" t="s">
        <v>17</v>
      </c>
      <c r="D480" s="1" t="s">
        <v>17</v>
      </c>
      <c r="E480" s="1" t="s">
        <v>17</v>
      </c>
      <c r="F480" s="1" t="s">
        <v>17</v>
      </c>
      <c r="G480" s="1" t="s">
        <v>17</v>
      </c>
      <c r="H480" s="1" t="s">
        <v>17</v>
      </c>
      <c r="I480" s="1">
        <v>0.0</v>
      </c>
      <c r="J480" s="1">
        <v>0.0</v>
      </c>
      <c r="K480" s="1" t="s">
        <v>17</v>
      </c>
      <c r="L480" s="1" t="s">
        <v>17</v>
      </c>
      <c r="M480" s="1" t="s">
        <v>17</v>
      </c>
      <c r="N480" s="1" t="s">
        <v>17</v>
      </c>
      <c r="O480" s="3">
        <v>45698.75984953704</v>
      </c>
      <c r="P480" s="3">
        <v>45698.75984953704</v>
      </c>
    </row>
    <row r="481">
      <c r="A481" s="1" t="s">
        <v>568</v>
      </c>
      <c r="B481" s="1" t="s">
        <v>17</v>
      </c>
      <c r="C481" s="1" t="s">
        <v>17</v>
      </c>
      <c r="D481" s="1" t="s">
        <v>17</v>
      </c>
      <c r="E481" s="1" t="s">
        <v>17</v>
      </c>
      <c r="F481" s="1" t="s">
        <v>17</v>
      </c>
      <c r="G481" s="4" t="str">
        <f>+54 9 3513 85-9264</f>
        <v>#ERROR!</v>
      </c>
      <c r="H481" s="1" t="s">
        <v>17</v>
      </c>
      <c r="I481" s="1">
        <v>0.0</v>
      </c>
      <c r="J481" s="1">
        <v>0.0</v>
      </c>
      <c r="K481" s="1" t="s">
        <v>17</v>
      </c>
      <c r="L481" s="1" t="s">
        <v>17</v>
      </c>
      <c r="M481" s="1" t="s">
        <v>17</v>
      </c>
      <c r="N481" s="1" t="s">
        <v>17</v>
      </c>
      <c r="O481" s="3">
        <v>45698.766435185185</v>
      </c>
      <c r="P481" s="3">
        <v>45698.766435185185</v>
      </c>
    </row>
    <row r="482">
      <c r="A482" s="1" t="s">
        <v>569</v>
      </c>
      <c r="B482" s="1" t="s">
        <v>17</v>
      </c>
      <c r="C482" s="1" t="s">
        <v>17</v>
      </c>
      <c r="D482" s="1" t="s">
        <v>17</v>
      </c>
      <c r="E482" s="1" t="s">
        <v>17</v>
      </c>
      <c r="F482" s="1" t="s">
        <v>17</v>
      </c>
      <c r="G482" s="4" t="str">
        <f>+54 9 3544 61-8326</f>
        <v>#ERROR!</v>
      </c>
      <c r="H482" s="1" t="s">
        <v>17</v>
      </c>
      <c r="I482" s="1">
        <v>0.0</v>
      </c>
      <c r="J482" s="1">
        <v>0.0</v>
      </c>
      <c r="K482" s="1" t="s">
        <v>17</v>
      </c>
      <c r="L482" s="1" t="s">
        <v>17</v>
      </c>
      <c r="M482" s="1" t="s">
        <v>17</v>
      </c>
      <c r="N482" s="1" t="s">
        <v>17</v>
      </c>
      <c r="O482" s="3">
        <v>45698.773564814815</v>
      </c>
      <c r="P482" s="3">
        <v>45698.773564814815</v>
      </c>
    </row>
    <row r="483">
      <c r="A483" s="1" t="s">
        <v>570</v>
      </c>
      <c r="B483" s="1" t="s">
        <v>17</v>
      </c>
      <c r="C483" s="1" t="s">
        <v>17</v>
      </c>
      <c r="D483" s="1" t="s">
        <v>17</v>
      </c>
      <c r="E483" s="1" t="s">
        <v>17</v>
      </c>
      <c r="F483" s="1" t="s">
        <v>17</v>
      </c>
      <c r="G483" s="4" t="str">
        <f>+54 9 3513 05-8873</f>
        <v>#ERROR!</v>
      </c>
      <c r="H483" s="1" t="s">
        <v>17</v>
      </c>
      <c r="I483" s="1">
        <v>0.0</v>
      </c>
      <c r="J483" s="1">
        <v>0.0</v>
      </c>
      <c r="K483" s="1" t="s">
        <v>17</v>
      </c>
      <c r="L483" s="1" t="s">
        <v>17</v>
      </c>
      <c r="M483" s="1" t="s">
        <v>17</v>
      </c>
      <c r="N483" s="1" t="s">
        <v>17</v>
      </c>
      <c r="O483" s="3">
        <v>45698.777453703704</v>
      </c>
      <c r="P483" s="3">
        <v>45698.777453703704</v>
      </c>
    </row>
    <row r="484">
      <c r="A484" s="1" t="s">
        <v>571</v>
      </c>
      <c r="B484" s="1" t="s">
        <v>17</v>
      </c>
      <c r="C484" s="1" t="s">
        <v>17</v>
      </c>
      <c r="D484" s="1" t="s">
        <v>17</v>
      </c>
      <c r="E484" s="1" t="s">
        <v>17</v>
      </c>
      <c r="F484" s="1" t="s">
        <v>17</v>
      </c>
      <c r="G484" s="4" t="str">
        <f>+54 9 3512 25-2472</f>
        <v>#ERROR!</v>
      </c>
      <c r="H484" s="1" t="s">
        <v>17</v>
      </c>
      <c r="I484" s="1">
        <v>0.0</v>
      </c>
      <c r="J484" s="1">
        <v>0.0</v>
      </c>
      <c r="K484" s="1" t="s">
        <v>17</v>
      </c>
      <c r="L484" s="1" t="s">
        <v>17</v>
      </c>
      <c r="M484" s="1" t="s">
        <v>17</v>
      </c>
      <c r="N484" s="1" t="s">
        <v>17</v>
      </c>
      <c r="O484" s="3">
        <v>45698.781331018516</v>
      </c>
      <c r="P484" s="3">
        <v>45698.781331018516</v>
      </c>
    </row>
    <row r="485">
      <c r="A485" s="1" t="s">
        <v>572</v>
      </c>
      <c r="B485" s="1" t="s">
        <v>17</v>
      </c>
      <c r="C485" s="1" t="s">
        <v>17</v>
      </c>
      <c r="D485" s="1" t="s">
        <v>17</v>
      </c>
      <c r="E485" s="1" t="s">
        <v>17</v>
      </c>
      <c r="F485" s="1" t="s">
        <v>17</v>
      </c>
      <c r="G485" s="1" t="s">
        <v>17</v>
      </c>
      <c r="H485" s="1" t="s">
        <v>17</v>
      </c>
      <c r="I485" s="1">
        <v>0.0</v>
      </c>
      <c r="J485" s="1">
        <v>0.0</v>
      </c>
      <c r="K485" s="1" t="s">
        <v>17</v>
      </c>
      <c r="L485" s="1" t="s">
        <v>17</v>
      </c>
      <c r="M485" s="1" t="s">
        <v>17</v>
      </c>
      <c r="N485" s="1" t="s">
        <v>17</v>
      </c>
      <c r="O485" s="3">
        <v>45698.79054398148</v>
      </c>
      <c r="P485" s="3">
        <v>45698.79054398148</v>
      </c>
    </row>
    <row r="486">
      <c r="A486" s="1" t="s">
        <v>573</v>
      </c>
      <c r="B486" s="1" t="s">
        <v>17</v>
      </c>
      <c r="C486" s="1" t="s">
        <v>17</v>
      </c>
      <c r="D486" s="1" t="s">
        <v>17</v>
      </c>
      <c r="E486" s="1" t="s">
        <v>17</v>
      </c>
      <c r="F486" s="1" t="s">
        <v>17</v>
      </c>
      <c r="G486" s="1" t="s">
        <v>17</v>
      </c>
      <c r="H486" s="1" t="s">
        <v>17</v>
      </c>
      <c r="I486" s="1">
        <v>0.0</v>
      </c>
      <c r="J486" s="1">
        <v>0.0</v>
      </c>
      <c r="K486" s="1" t="s">
        <v>17</v>
      </c>
      <c r="L486" s="1" t="s">
        <v>17</v>
      </c>
      <c r="M486" s="1" t="s">
        <v>17</v>
      </c>
      <c r="N486" s="1" t="s">
        <v>17</v>
      </c>
      <c r="O486" s="3">
        <v>45698.794328703705</v>
      </c>
      <c r="P486" s="3">
        <v>45698.794328703705</v>
      </c>
    </row>
    <row r="487">
      <c r="A487" s="1" t="s">
        <v>574</v>
      </c>
      <c r="B487" s="1" t="s">
        <v>17</v>
      </c>
      <c r="C487" s="1" t="s">
        <v>17</v>
      </c>
      <c r="D487" s="1" t="s">
        <v>17</v>
      </c>
      <c r="E487" s="1" t="s">
        <v>17</v>
      </c>
      <c r="F487" s="1" t="s">
        <v>17</v>
      </c>
      <c r="G487" s="1" t="s">
        <v>17</v>
      </c>
      <c r="H487" s="1" t="s">
        <v>17</v>
      </c>
      <c r="I487" s="1">
        <v>0.0</v>
      </c>
      <c r="J487" s="1">
        <v>0.0</v>
      </c>
      <c r="K487" s="1" t="s">
        <v>17</v>
      </c>
      <c r="L487" s="1" t="s">
        <v>17</v>
      </c>
      <c r="M487" s="1" t="s">
        <v>17</v>
      </c>
      <c r="N487" s="1" t="s">
        <v>17</v>
      </c>
      <c r="O487" s="3">
        <v>45698.79636574074</v>
      </c>
      <c r="P487" s="3">
        <v>45698.79636574074</v>
      </c>
    </row>
    <row r="488">
      <c r="A488" s="1" t="s">
        <v>575</v>
      </c>
      <c r="B488" s="1" t="s">
        <v>17</v>
      </c>
      <c r="C488" s="1" t="s">
        <v>17</v>
      </c>
      <c r="D488" s="1" t="s">
        <v>17</v>
      </c>
      <c r="E488" s="1" t="s">
        <v>17</v>
      </c>
      <c r="F488" s="1" t="s">
        <v>17</v>
      </c>
      <c r="G488" s="1" t="s">
        <v>17</v>
      </c>
      <c r="H488" s="1" t="s">
        <v>17</v>
      </c>
      <c r="I488" s="1">
        <v>0.0</v>
      </c>
      <c r="J488" s="1">
        <v>0.0</v>
      </c>
      <c r="K488" s="1" t="s">
        <v>17</v>
      </c>
      <c r="L488" s="1" t="s">
        <v>17</v>
      </c>
      <c r="M488" s="1" t="s">
        <v>17</v>
      </c>
      <c r="N488" s="1" t="s">
        <v>17</v>
      </c>
      <c r="O488" s="3">
        <v>45698.79828703704</v>
      </c>
      <c r="P488" s="3">
        <v>45698.79828703704</v>
      </c>
    </row>
    <row r="489">
      <c r="A489" s="1" t="s">
        <v>576</v>
      </c>
      <c r="B489" s="1" t="s">
        <v>17</v>
      </c>
      <c r="C489" s="1" t="s">
        <v>17</v>
      </c>
      <c r="D489" s="1" t="s">
        <v>17</v>
      </c>
      <c r="E489" s="1" t="s">
        <v>17</v>
      </c>
      <c r="F489" s="1" t="s">
        <v>17</v>
      </c>
      <c r="G489" s="4" t="str">
        <f>+54 9 3804 66-7650</f>
        <v>#ERROR!</v>
      </c>
      <c r="H489" s="1" t="s">
        <v>17</v>
      </c>
      <c r="I489" s="1">
        <v>0.0</v>
      </c>
      <c r="J489" s="1">
        <v>0.0</v>
      </c>
      <c r="K489" s="1" t="s">
        <v>17</v>
      </c>
      <c r="L489" s="1" t="s">
        <v>17</v>
      </c>
      <c r="M489" s="1" t="s">
        <v>17</v>
      </c>
      <c r="N489" s="1" t="s">
        <v>17</v>
      </c>
      <c r="O489" s="3">
        <v>45699.74234953704</v>
      </c>
      <c r="P489" s="3">
        <v>45699.74234953704</v>
      </c>
    </row>
    <row r="490">
      <c r="A490" s="1" t="s">
        <v>577</v>
      </c>
      <c r="B490" s="1" t="s">
        <v>17</v>
      </c>
      <c r="C490" s="1" t="s">
        <v>17</v>
      </c>
      <c r="D490" s="1" t="s">
        <v>17</v>
      </c>
      <c r="E490" s="1" t="s">
        <v>17</v>
      </c>
      <c r="F490" s="1" t="s">
        <v>17</v>
      </c>
      <c r="G490" s="4" t="str">
        <f>+54 9 3515 58-1779</f>
        <v>#ERROR!</v>
      </c>
      <c r="H490" s="1" t="s">
        <v>17</v>
      </c>
      <c r="I490" s="1">
        <v>0.0</v>
      </c>
      <c r="J490" s="1">
        <v>0.0</v>
      </c>
      <c r="K490" s="1" t="s">
        <v>17</v>
      </c>
      <c r="L490" s="1" t="s">
        <v>17</v>
      </c>
      <c r="M490" s="1" t="s">
        <v>17</v>
      </c>
      <c r="N490" s="1" t="s">
        <v>17</v>
      </c>
      <c r="O490" s="3">
        <v>45699.75854166667</v>
      </c>
      <c r="P490" s="3">
        <v>45699.75854166667</v>
      </c>
    </row>
    <row r="491">
      <c r="A491" s="1" t="s">
        <v>578</v>
      </c>
      <c r="B491" s="1" t="s">
        <v>17</v>
      </c>
      <c r="C491" s="1" t="s">
        <v>17</v>
      </c>
      <c r="D491" s="1" t="s">
        <v>17</v>
      </c>
      <c r="E491" s="1" t="s">
        <v>17</v>
      </c>
      <c r="F491" s="1" t="s">
        <v>17</v>
      </c>
      <c r="G491" s="4" t="str">
        <f>+54 9 3516 82-9299</f>
        <v>#ERROR!</v>
      </c>
      <c r="H491" s="1" t="s">
        <v>17</v>
      </c>
      <c r="I491" s="1">
        <v>0.0</v>
      </c>
      <c r="J491" s="1">
        <v>0.0</v>
      </c>
      <c r="K491" s="1" t="s">
        <v>17</v>
      </c>
      <c r="L491" s="1" t="s">
        <v>17</v>
      </c>
      <c r="M491" s="1" t="s">
        <v>17</v>
      </c>
      <c r="N491" s="1" t="s">
        <v>17</v>
      </c>
      <c r="O491" s="3">
        <v>45699.78732638889</v>
      </c>
      <c r="P491" s="3">
        <v>45699.78732638889</v>
      </c>
    </row>
    <row r="492">
      <c r="A492" s="1" t="s">
        <v>579</v>
      </c>
      <c r="B492" s="1" t="s">
        <v>17</v>
      </c>
      <c r="C492" s="1" t="s">
        <v>17</v>
      </c>
      <c r="D492" s="1" t="s">
        <v>17</v>
      </c>
      <c r="E492" s="1" t="s">
        <v>17</v>
      </c>
      <c r="F492" s="1" t="s">
        <v>17</v>
      </c>
      <c r="G492" s="1" t="s">
        <v>580</v>
      </c>
      <c r="H492" s="1" t="s">
        <v>17</v>
      </c>
      <c r="I492" s="1">
        <v>0.0</v>
      </c>
      <c r="J492" s="1">
        <v>0.0</v>
      </c>
      <c r="K492" s="1" t="s">
        <v>17</v>
      </c>
      <c r="L492" s="1" t="s">
        <v>17</v>
      </c>
      <c r="M492" s="1" t="s">
        <v>17</v>
      </c>
      <c r="N492" s="1" t="s">
        <v>17</v>
      </c>
      <c r="O492" s="3">
        <v>45699.78797453704</v>
      </c>
      <c r="P492" s="3">
        <v>45699.78797453704</v>
      </c>
    </row>
    <row r="493">
      <c r="A493" s="1" t="s">
        <v>581</v>
      </c>
      <c r="B493" s="1" t="s">
        <v>17</v>
      </c>
      <c r="C493" s="1" t="s">
        <v>17</v>
      </c>
      <c r="D493" s="1" t="s">
        <v>17</v>
      </c>
      <c r="E493" s="1" t="s">
        <v>17</v>
      </c>
      <c r="F493" s="1" t="s">
        <v>17</v>
      </c>
      <c r="G493" s="4" t="str">
        <f>+54 9 3513 86-6909</f>
        <v>#ERROR!</v>
      </c>
      <c r="H493" s="1" t="s">
        <v>17</v>
      </c>
      <c r="I493" s="1">
        <v>0.0</v>
      </c>
      <c r="J493" s="1">
        <v>0.0</v>
      </c>
      <c r="K493" s="1" t="s">
        <v>17</v>
      </c>
      <c r="L493" s="1" t="s">
        <v>17</v>
      </c>
      <c r="M493" s="1" t="s">
        <v>17</v>
      </c>
      <c r="N493" s="1" t="s">
        <v>17</v>
      </c>
      <c r="O493" s="3">
        <v>45712.733310185184</v>
      </c>
      <c r="P493" s="3">
        <v>45712.733310185184</v>
      </c>
    </row>
    <row r="494">
      <c r="A494" s="1" t="s">
        <v>582</v>
      </c>
      <c r="B494" s="1" t="s">
        <v>17</v>
      </c>
      <c r="C494" s="1" t="s">
        <v>17</v>
      </c>
      <c r="D494" s="1" t="s">
        <v>17</v>
      </c>
      <c r="E494" s="1" t="s">
        <v>17</v>
      </c>
      <c r="F494" s="1" t="s">
        <v>17</v>
      </c>
      <c r="G494" s="4" t="str">
        <f>+54 9 3512 57-0600</f>
        <v>#ERROR!</v>
      </c>
      <c r="H494" s="1" t="s">
        <v>17</v>
      </c>
      <c r="I494" s="1">
        <v>0.0</v>
      </c>
      <c r="J494" s="1">
        <v>0.0</v>
      </c>
      <c r="K494" s="1" t="s">
        <v>17</v>
      </c>
      <c r="L494" s="1" t="s">
        <v>17</v>
      </c>
      <c r="M494" s="1" t="s">
        <v>17</v>
      </c>
      <c r="N494" s="1" t="s">
        <v>17</v>
      </c>
      <c r="O494" s="3">
        <v>45712.77138888889</v>
      </c>
      <c r="P494" s="3">
        <v>45712.77138888889</v>
      </c>
    </row>
    <row r="495">
      <c r="A495" s="1" t="s">
        <v>583</v>
      </c>
      <c r="B495" s="1" t="s">
        <v>17</v>
      </c>
      <c r="C495" s="1" t="s">
        <v>17</v>
      </c>
      <c r="D495" s="1" t="s">
        <v>17</v>
      </c>
      <c r="E495" s="1" t="s">
        <v>17</v>
      </c>
      <c r="F495" s="1" t="s">
        <v>17</v>
      </c>
      <c r="G495" s="1" t="s">
        <v>17</v>
      </c>
      <c r="H495" s="1" t="s">
        <v>17</v>
      </c>
      <c r="I495" s="1">
        <v>0.0</v>
      </c>
      <c r="J495" s="1">
        <v>0.0</v>
      </c>
      <c r="K495" s="1" t="s">
        <v>17</v>
      </c>
      <c r="L495" s="1" t="s">
        <v>17</v>
      </c>
      <c r="M495" s="1" t="s">
        <v>17</v>
      </c>
      <c r="N495" s="1" t="s">
        <v>17</v>
      </c>
      <c r="O495" s="3">
        <v>45714.782175925924</v>
      </c>
      <c r="P495" s="3">
        <v>45714.782175925924</v>
      </c>
    </row>
    <row r="496">
      <c r="A496" s="1" t="s">
        <v>584</v>
      </c>
      <c r="B496" s="1" t="s">
        <v>17</v>
      </c>
      <c r="C496" s="1" t="s">
        <v>17</v>
      </c>
      <c r="D496" s="1" t="s">
        <v>17</v>
      </c>
      <c r="E496" s="1" t="s">
        <v>17</v>
      </c>
      <c r="F496" s="1" t="s">
        <v>17</v>
      </c>
      <c r="G496" s="1" t="s">
        <v>585</v>
      </c>
      <c r="H496" s="1" t="s">
        <v>586</v>
      </c>
      <c r="I496" s="1">
        <v>0.0</v>
      </c>
      <c r="J496" s="1">
        <v>0.0</v>
      </c>
      <c r="K496" s="1" t="s">
        <v>17</v>
      </c>
      <c r="L496" s="1" t="s">
        <v>17</v>
      </c>
      <c r="M496" s="1" t="s">
        <v>17</v>
      </c>
      <c r="N496" s="1" t="s">
        <v>17</v>
      </c>
      <c r="O496" s="3">
        <v>45726.704722222225</v>
      </c>
      <c r="P496" s="3">
        <v>45726.704722222225</v>
      </c>
    </row>
    <row r="497">
      <c r="A497" s="1" t="s">
        <v>587</v>
      </c>
      <c r="B497" s="1" t="s">
        <v>17</v>
      </c>
      <c r="C497" s="1" t="s">
        <v>17</v>
      </c>
      <c r="D497" s="1" t="s">
        <v>17</v>
      </c>
      <c r="E497" s="1" t="s">
        <v>17</v>
      </c>
      <c r="F497" s="1" t="s">
        <v>17</v>
      </c>
      <c r="G497" s="1" t="s">
        <v>17</v>
      </c>
      <c r="H497" s="1" t="s">
        <v>17</v>
      </c>
      <c r="I497" s="1">
        <v>0.0</v>
      </c>
      <c r="J497" s="1">
        <v>0.0</v>
      </c>
      <c r="K497" s="1" t="s">
        <v>17</v>
      </c>
      <c r="L497" s="1" t="s">
        <v>17</v>
      </c>
      <c r="M497" s="1" t="s">
        <v>17</v>
      </c>
      <c r="N497" s="1" t="s">
        <v>17</v>
      </c>
      <c r="O497" s="3">
        <v>45726.71087962963</v>
      </c>
      <c r="P497" s="3">
        <v>45726.71087962963</v>
      </c>
    </row>
    <row r="498">
      <c r="A498" s="1" t="s">
        <v>588</v>
      </c>
      <c r="B498" s="1" t="s">
        <v>17</v>
      </c>
      <c r="C498" s="1" t="s">
        <v>17</v>
      </c>
      <c r="D498" s="1" t="s">
        <v>17</v>
      </c>
      <c r="E498" s="1" t="s">
        <v>17</v>
      </c>
      <c r="F498" s="1" t="s">
        <v>17</v>
      </c>
      <c r="G498" s="1" t="s">
        <v>17</v>
      </c>
      <c r="H498" s="1" t="s">
        <v>17</v>
      </c>
      <c r="I498" s="1">
        <v>0.0</v>
      </c>
      <c r="J498" s="1">
        <v>0.0</v>
      </c>
      <c r="K498" s="1" t="s">
        <v>17</v>
      </c>
      <c r="L498" s="1" t="s">
        <v>17</v>
      </c>
      <c r="M498" s="1" t="s">
        <v>17</v>
      </c>
      <c r="N498" s="1" t="s">
        <v>17</v>
      </c>
      <c r="O498" s="3">
        <v>45726.712326388886</v>
      </c>
      <c r="P498" s="3">
        <v>45726.712326388886</v>
      </c>
    </row>
    <row r="499">
      <c r="A499" s="1" t="s">
        <v>589</v>
      </c>
      <c r="B499" s="1" t="s">
        <v>17</v>
      </c>
      <c r="C499" s="1" t="s">
        <v>17</v>
      </c>
      <c r="D499" s="1" t="s">
        <v>17</v>
      </c>
      <c r="E499" s="1" t="s">
        <v>17</v>
      </c>
      <c r="F499" s="1" t="s">
        <v>17</v>
      </c>
      <c r="G499" s="1" t="s">
        <v>590</v>
      </c>
      <c r="H499" s="1" t="s">
        <v>17</v>
      </c>
      <c r="I499" s="1">
        <v>0.0</v>
      </c>
      <c r="J499" s="1">
        <v>0.0</v>
      </c>
      <c r="K499" s="1" t="s">
        <v>17</v>
      </c>
      <c r="L499" s="1" t="s">
        <v>17</v>
      </c>
      <c r="M499" s="1" t="s">
        <v>17</v>
      </c>
      <c r="N499" s="1" t="s">
        <v>17</v>
      </c>
      <c r="O499" s="3">
        <v>45733.911261574074</v>
      </c>
      <c r="P499" s="3">
        <v>45733.911261574074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8.88"/>
    <col customWidth="1" min="4" max="4" width="17.25"/>
  </cols>
  <sheetData>
    <row r="1">
      <c r="A1" s="1" t="s">
        <v>591</v>
      </c>
      <c r="B1" s="1" t="s">
        <v>0</v>
      </c>
      <c r="C1" s="1" t="s">
        <v>592</v>
      </c>
      <c r="D1" s="1" t="s">
        <v>593</v>
      </c>
    </row>
    <row r="2">
      <c r="A2" s="1">
        <v>1.0</v>
      </c>
      <c r="B2" s="1" t="s">
        <v>24</v>
      </c>
      <c r="C2" s="3">
        <v>45113.78871527778</v>
      </c>
      <c r="D2" s="1">
        <v>18004.14</v>
      </c>
    </row>
    <row r="3">
      <c r="A3" s="1">
        <v>2.0</v>
      </c>
      <c r="B3" s="1" t="s">
        <v>25</v>
      </c>
      <c r="C3" s="3">
        <v>45118.750023148146</v>
      </c>
      <c r="D3" s="1">
        <v>17000.0</v>
      </c>
    </row>
    <row r="4">
      <c r="A4" s="1">
        <v>3.0</v>
      </c>
      <c r="B4" s="1" t="s">
        <v>26</v>
      </c>
      <c r="C4" s="3">
        <v>45119.65568287037</v>
      </c>
      <c r="D4" s="1">
        <v>28075.6</v>
      </c>
    </row>
    <row r="5">
      <c r="A5" s="1">
        <v>4.0</v>
      </c>
      <c r="B5" s="1" t="s">
        <v>21</v>
      </c>
      <c r="C5" s="3">
        <v>45119.695856481485</v>
      </c>
      <c r="D5" s="1">
        <v>59097.2</v>
      </c>
    </row>
    <row r="6">
      <c r="A6" s="1">
        <v>5.0</v>
      </c>
      <c r="B6" s="1" t="s">
        <v>50</v>
      </c>
      <c r="C6" s="3">
        <v>45132.81582175926</v>
      </c>
      <c r="D6" s="1">
        <v>33698.22</v>
      </c>
    </row>
    <row r="7">
      <c r="A7" s="1">
        <v>6.0</v>
      </c>
      <c r="B7" s="1" t="s">
        <v>55</v>
      </c>
      <c r="C7" s="3">
        <v>45139.78650462963</v>
      </c>
      <c r="D7" s="1">
        <v>52575.06</v>
      </c>
    </row>
    <row r="8">
      <c r="A8" s="1">
        <v>7.0</v>
      </c>
      <c r="B8" s="1" t="s">
        <v>58</v>
      </c>
      <c r="C8" s="3">
        <v>45147.39181712963</v>
      </c>
      <c r="D8" s="1">
        <v>35903.28</v>
      </c>
    </row>
    <row r="9">
      <c r="A9" s="1">
        <v>8.0</v>
      </c>
      <c r="B9" s="1" t="s">
        <v>65</v>
      </c>
      <c r="C9" s="3">
        <v>45148.64769675926</v>
      </c>
      <c r="D9" s="1">
        <v>30000.0</v>
      </c>
    </row>
    <row r="10">
      <c r="A10" s="1">
        <v>9.0</v>
      </c>
      <c r="B10" s="1" t="s">
        <v>66</v>
      </c>
      <c r="C10" s="3">
        <v>45148.78519675926</v>
      </c>
      <c r="D10" s="1">
        <v>49000.0</v>
      </c>
    </row>
    <row r="11">
      <c r="A11" s="1">
        <v>10.0</v>
      </c>
      <c r="B11" s="1" t="s">
        <v>65</v>
      </c>
      <c r="C11" s="3">
        <v>45152.51740740741</v>
      </c>
      <c r="D11" s="1">
        <v>35000.0</v>
      </c>
    </row>
    <row r="12">
      <c r="A12" s="1">
        <v>11.0</v>
      </c>
      <c r="B12" s="1" t="s">
        <v>63</v>
      </c>
      <c r="C12" s="3">
        <v>45154.71604166667</v>
      </c>
      <c r="D12" s="1">
        <v>20506.88</v>
      </c>
    </row>
    <row r="13">
      <c r="A13" s="1">
        <v>12.0</v>
      </c>
      <c r="B13" s="1" t="s">
        <v>67</v>
      </c>
      <c r="C13" s="3">
        <v>45154.78233796296</v>
      </c>
      <c r="D13" s="1">
        <v>40921.66</v>
      </c>
    </row>
    <row r="14">
      <c r="A14" s="1">
        <v>13.0</v>
      </c>
      <c r="B14" s="1" t="s">
        <v>63</v>
      </c>
      <c r="C14" s="3">
        <v>45166.70767361111</v>
      </c>
      <c r="D14" s="1">
        <v>16400.0</v>
      </c>
    </row>
    <row r="15">
      <c r="A15" s="1">
        <v>14.0</v>
      </c>
      <c r="B15" s="1" t="s">
        <v>72</v>
      </c>
      <c r="C15" s="3">
        <v>45167.781701388885</v>
      </c>
      <c r="D15" s="1">
        <v>46800.0</v>
      </c>
    </row>
    <row r="16">
      <c r="A16" s="1">
        <v>15.0</v>
      </c>
      <c r="B16" s="1" t="s">
        <v>72</v>
      </c>
      <c r="C16" s="3">
        <v>45167.81285879629</v>
      </c>
      <c r="D16" s="1">
        <v>44200.0</v>
      </c>
    </row>
    <row r="17">
      <c r="A17" s="1">
        <v>16.0</v>
      </c>
      <c r="B17" s="1" t="s">
        <v>66</v>
      </c>
      <c r="C17" s="3">
        <v>45176.68517361111</v>
      </c>
      <c r="D17" s="1">
        <v>63087.5</v>
      </c>
    </row>
    <row r="18">
      <c r="A18" s="1">
        <v>17.0</v>
      </c>
      <c r="B18" s="1" t="s">
        <v>87</v>
      </c>
      <c r="C18" s="3">
        <v>45177.67951388889</v>
      </c>
      <c r="D18" s="1">
        <v>56778.75</v>
      </c>
    </row>
    <row r="19">
      <c r="A19" s="1">
        <v>18.0</v>
      </c>
      <c r="B19" s="1" t="s">
        <v>85</v>
      </c>
      <c r="C19" s="3">
        <v>45178.8218287037</v>
      </c>
      <c r="D19" s="1">
        <v>51664.0</v>
      </c>
    </row>
    <row r="20">
      <c r="A20" s="1">
        <v>19.0</v>
      </c>
      <c r="B20" s="1" t="s">
        <v>85</v>
      </c>
      <c r="C20" s="3">
        <v>45180.463738425926</v>
      </c>
      <c r="D20" s="1">
        <v>51664.0</v>
      </c>
    </row>
    <row r="21">
      <c r="A21" s="1">
        <v>20.0</v>
      </c>
      <c r="B21" s="1" t="s">
        <v>89</v>
      </c>
      <c r="C21" s="3">
        <v>45180.53706018518</v>
      </c>
      <c r="D21" s="1">
        <v>32616.0</v>
      </c>
    </row>
    <row r="22">
      <c r="A22" s="1">
        <v>21.0</v>
      </c>
      <c r="B22" s="1" t="s">
        <v>82</v>
      </c>
      <c r="C22" s="3">
        <v>45181.55438657408</v>
      </c>
      <c r="D22" s="1">
        <v>70733.58</v>
      </c>
    </row>
    <row r="23">
      <c r="A23" s="1">
        <v>22.0</v>
      </c>
      <c r="B23" s="1" t="s">
        <v>82</v>
      </c>
      <c r="C23" s="3">
        <v>45181.57193287037</v>
      </c>
      <c r="D23" s="1">
        <v>70733.58</v>
      </c>
    </row>
    <row r="24">
      <c r="A24" s="1">
        <v>23.0</v>
      </c>
      <c r="B24" s="1" t="s">
        <v>85</v>
      </c>
      <c r="C24" s="3">
        <v>45183.38322916667</v>
      </c>
      <c r="D24" s="1">
        <v>700.0</v>
      </c>
    </row>
    <row r="25">
      <c r="A25" s="1">
        <v>24.0</v>
      </c>
      <c r="B25" s="1" t="s">
        <v>93</v>
      </c>
      <c r="C25" s="3">
        <v>45188.64895833333</v>
      </c>
      <c r="D25" s="1">
        <v>41075.1</v>
      </c>
    </row>
    <row r="26">
      <c r="A26" s="1">
        <v>25.0</v>
      </c>
      <c r="B26" s="1" t="s">
        <v>79</v>
      </c>
      <c r="C26" s="3">
        <v>45198.72659722222</v>
      </c>
      <c r="D26" s="1">
        <v>45062.5</v>
      </c>
    </row>
    <row r="27">
      <c r="A27" s="1">
        <v>26.0</v>
      </c>
      <c r="B27" s="1" t="s">
        <v>98</v>
      </c>
      <c r="C27" s="3">
        <v>45198.76703703704</v>
      </c>
      <c r="D27" s="1">
        <v>800.0</v>
      </c>
    </row>
    <row r="28">
      <c r="A28" s="1">
        <v>27.0</v>
      </c>
      <c r="B28" s="1" t="s">
        <v>99</v>
      </c>
      <c r="C28" s="3">
        <v>45201.78633101852</v>
      </c>
      <c r="D28" s="1">
        <v>43200.0</v>
      </c>
    </row>
    <row r="29">
      <c r="A29" s="1">
        <v>28.0</v>
      </c>
      <c r="B29" s="1" t="s">
        <v>73</v>
      </c>
      <c r="C29" s="3">
        <v>45203.47846064815</v>
      </c>
      <c r="D29" s="1">
        <v>51210.0</v>
      </c>
    </row>
    <row r="30">
      <c r="A30" s="1">
        <v>29.0</v>
      </c>
      <c r="B30" s="1" t="s">
        <v>61</v>
      </c>
      <c r="C30" s="3">
        <v>45203.48489583333</v>
      </c>
      <c r="D30" s="1">
        <v>94985.09</v>
      </c>
    </row>
    <row r="31">
      <c r="A31" s="1">
        <v>30.0</v>
      </c>
      <c r="B31" s="1" t="s">
        <v>100</v>
      </c>
      <c r="C31" s="3">
        <v>45203.85564814815</v>
      </c>
      <c r="D31" s="1">
        <v>51975.94</v>
      </c>
    </row>
    <row r="32">
      <c r="A32" s="1">
        <v>31.0</v>
      </c>
      <c r="B32" s="1" t="s">
        <v>73</v>
      </c>
      <c r="C32" s="3">
        <v>45204.502546296295</v>
      </c>
      <c r="D32" s="1">
        <v>45000.0</v>
      </c>
    </row>
    <row r="33">
      <c r="A33" s="1">
        <v>32.0</v>
      </c>
      <c r="B33" s="1" t="s">
        <v>87</v>
      </c>
      <c r="C33" s="3">
        <v>45210.804664351854</v>
      </c>
      <c r="D33" s="1">
        <v>50000.0</v>
      </c>
    </row>
    <row r="34">
      <c r="A34" s="1">
        <v>33.0</v>
      </c>
      <c r="B34" s="1" t="s">
        <v>110</v>
      </c>
      <c r="C34" s="3">
        <v>45211.771875</v>
      </c>
      <c r="D34" s="1">
        <v>29601.0</v>
      </c>
    </row>
    <row r="35">
      <c r="A35" s="1">
        <v>34.0</v>
      </c>
      <c r="B35" s="1" t="s">
        <v>114</v>
      </c>
      <c r="C35" s="3">
        <v>45211.88814814815</v>
      </c>
      <c r="D35" s="1">
        <v>87245.17</v>
      </c>
    </row>
    <row r="36">
      <c r="A36" s="1">
        <v>35.0</v>
      </c>
      <c r="B36" s="1" t="s">
        <v>72</v>
      </c>
      <c r="C36" s="3">
        <v>45216.73960648148</v>
      </c>
      <c r="D36" s="1">
        <v>18349.24</v>
      </c>
    </row>
    <row r="37">
      <c r="A37" s="1">
        <v>36.0</v>
      </c>
      <c r="B37" s="1" t="s">
        <v>114</v>
      </c>
      <c r="C37" s="3">
        <v>45216.83059027778</v>
      </c>
      <c r="D37" s="1">
        <v>24380.0</v>
      </c>
    </row>
    <row r="38">
      <c r="A38" s="1">
        <v>37.0</v>
      </c>
      <c r="B38" s="1" t="s">
        <v>119</v>
      </c>
      <c r="C38" s="3">
        <v>45217.68420138889</v>
      </c>
      <c r="D38" s="1">
        <v>55388.04</v>
      </c>
    </row>
    <row r="39">
      <c r="A39" s="1">
        <v>38.0</v>
      </c>
      <c r="B39" s="1" t="s">
        <v>114</v>
      </c>
      <c r="C39" s="3">
        <v>45217.7416087963</v>
      </c>
      <c r="D39" s="1">
        <v>18353.26</v>
      </c>
    </row>
    <row r="40">
      <c r="A40" s="1">
        <v>39.0</v>
      </c>
      <c r="B40" s="1" t="s">
        <v>110</v>
      </c>
      <c r="C40" s="3">
        <v>45217.802349537036</v>
      </c>
      <c r="D40" s="1">
        <v>18349.24</v>
      </c>
    </row>
    <row r="41">
      <c r="A41" s="1">
        <v>40.0</v>
      </c>
      <c r="B41" s="1" t="s">
        <v>116</v>
      </c>
      <c r="C41" s="3">
        <v>45217.85291666666</v>
      </c>
      <c r="D41" s="1">
        <v>66483.88</v>
      </c>
    </row>
    <row r="42">
      <c r="A42" s="1">
        <v>41.0</v>
      </c>
      <c r="B42" s="1" t="s">
        <v>123</v>
      </c>
      <c r="C42" s="3">
        <v>45218.69278935185</v>
      </c>
      <c r="D42" s="1">
        <v>90000.0</v>
      </c>
    </row>
    <row r="43">
      <c r="A43" s="1">
        <v>42.0</v>
      </c>
      <c r="B43" s="1" t="s">
        <v>124</v>
      </c>
      <c r="C43" s="3">
        <v>45218.69800925926</v>
      </c>
      <c r="D43" s="1">
        <v>90000.0</v>
      </c>
    </row>
    <row r="44">
      <c r="A44" s="1">
        <v>43.0</v>
      </c>
      <c r="B44" s="1" t="s">
        <v>125</v>
      </c>
      <c r="C44" s="3">
        <v>45218.70415509259</v>
      </c>
      <c r="D44" s="1">
        <v>50000.0</v>
      </c>
    </row>
    <row r="45">
      <c r="A45" s="1">
        <v>44.0</v>
      </c>
      <c r="B45" s="1" t="s">
        <v>123</v>
      </c>
      <c r="C45" s="3">
        <v>45218.70680555556</v>
      </c>
      <c r="D45" s="1">
        <v>35000.0</v>
      </c>
    </row>
    <row r="46">
      <c r="A46" s="1">
        <v>45.0</v>
      </c>
      <c r="B46" s="1" t="s">
        <v>126</v>
      </c>
      <c r="C46" s="3">
        <v>45218.711643518516</v>
      </c>
      <c r="D46" s="1">
        <v>36432.0</v>
      </c>
    </row>
    <row r="47">
      <c r="A47" s="1">
        <v>46.0</v>
      </c>
      <c r="B47" s="1" t="s">
        <v>127</v>
      </c>
      <c r="C47" s="3">
        <v>45218.84700231482</v>
      </c>
      <c r="D47" s="1">
        <v>58854.0</v>
      </c>
    </row>
    <row r="48">
      <c r="A48" s="1">
        <v>47.0</v>
      </c>
      <c r="B48" s="1" t="s">
        <v>128</v>
      </c>
      <c r="C48" s="3">
        <v>45219.4746875</v>
      </c>
      <c r="D48" s="1">
        <v>61520.0</v>
      </c>
    </row>
    <row r="49">
      <c r="A49" s="1">
        <v>48.0</v>
      </c>
      <c r="B49" s="1" t="s">
        <v>129</v>
      </c>
      <c r="C49" s="3">
        <v>45219.47861111111</v>
      </c>
      <c r="D49" s="1">
        <v>67068.0</v>
      </c>
    </row>
    <row r="50">
      <c r="A50" s="1">
        <v>49.0</v>
      </c>
      <c r="B50" s="1" t="s">
        <v>130</v>
      </c>
      <c r="C50" s="3">
        <v>45220.86237268519</v>
      </c>
      <c r="D50" s="1">
        <v>69299.0</v>
      </c>
    </row>
    <row r="51">
      <c r="A51" s="1">
        <v>50.0</v>
      </c>
      <c r="B51" s="1" t="s">
        <v>127</v>
      </c>
      <c r="C51" s="3">
        <v>45225.54814814815</v>
      </c>
      <c r="D51" s="1">
        <v>57548.77</v>
      </c>
    </row>
    <row r="52">
      <c r="A52" s="1">
        <v>51.0</v>
      </c>
      <c r="B52" s="1" t="s">
        <v>149</v>
      </c>
      <c r="C52" s="3">
        <v>45236.44167824074</v>
      </c>
      <c r="D52" s="1">
        <v>7000.0</v>
      </c>
    </row>
    <row r="53">
      <c r="A53" s="1">
        <v>52.0</v>
      </c>
      <c r="B53" s="1" t="s">
        <v>120</v>
      </c>
      <c r="C53" s="3">
        <v>45236.625243055554</v>
      </c>
      <c r="D53" s="1">
        <v>25007.7</v>
      </c>
    </row>
    <row r="54">
      <c r="A54" s="1">
        <v>53.0</v>
      </c>
      <c r="B54" s="1" t="s">
        <v>157</v>
      </c>
      <c r="C54" s="3">
        <v>45238.83372685185</v>
      </c>
      <c r="D54" s="1">
        <v>96342.4</v>
      </c>
    </row>
    <row r="55">
      <c r="A55" s="1">
        <v>54.0</v>
      </c>
      <c r="B55" s="1" t="s">
        <v>130</v>
      </c>
      <c r="C55" s="3">
        <v>45239.51660879629</v>
      </c>
      <c r="D55" s="1">
        <v>70000.0</v>
      </c>
    </row>
    <row r="56">
      <c r="A56" s="1">
        <v>55.0</v>
      </c>
      <c r="B56" s="1" t="s">
        <v>163</v>
      </c>
      <c r="C56" s="3">
        <v>45239.816296296296</v>
      </c>
      <c r="D56" s="1">
        <v>13300.0</v>
      </c>
    </row>
    <row r="57">
      <c r="A57" s="1">
        <v>56.0</v>
      </c>
      <c r="B57" s="1" t="s">
        <v>164</v>
      </c>
      <c r="C57" s="3">
        <v>45239.833402777775</v>
      </c>
      <c r="D57" s="1">
        <v>53636.34</v>
      </c>
    </row>
    <row r="58">
      <c r="A58" s="1">
        <v>57.0</v>
      </c>
      <c r="B58" s="1" t="s">
        <v>155</v>
      </c>
      <c r="C58" s="3">
        <v>45243.51770833333</v>
      </c>
      <c r="D58" s="1">
        <v>18044.72</v>
      </c>
    </row>
    <row r="59">
      <c r="A59" s="1">
        <v>58.0</v>
      </c>
      <c r="B59" s="1" t="s">
        <v>61</v>
      </c>
      <c r="C59" s="3">
        <v>45245.76587962963</v>
      </c>
      <c r="D59" s="1">
        <v>65463.75</v>
      </c>
    </row>
    <row r="60">
      <c r="A60" s="1">
        <v>59.0</v>
      </c>
      <c r="B60" s="1" t="s">
        <v>87</v>
      </c>
      <c r="C60" s="3">
        <v>45245.76814814815</v>
      </c>
      <c r="D60" s="1">
        <v>38000.0</v>
      </c>
    </row>
    <row r="61">
      <c r="A61" s="1">
        <v>60.0</v>
      </c>
      <c r="B61" s="1" t="s">
        <v>183</v>
      </c>
      <c r="C61" s="3">
        <v>45246.72387731481</v>
      </c>
      <c r="D61" s="1">
        <v>56440.0</v>
      </c>
    </row>
    <row r="62">
      <c r="A62" s="1">
        <v>61.0</v>
      </c>
      <c r="B62" s="1" t="s">
        <v>182</v>
      </c>
      <c r="C62" s="3">
        <v>45246.82653935185</v>
      </c>
      <c r="D62" s="1">
        <v>169523.87</v>
      </c>
    </row>
    <row r="63">
      <c r="A63" s="1">
        <v>62.0</v>
      </c>
      <c r="B63" s="1" t="s">
        <v>181</v>
      </c>
      <c r="C63" s="3">
        <v>45247.494479166664</v>
      </c>
      <c r="D63" s="1">
        <v>65663.6</v>
      </c>
    </row>
    <row r="64">
      <c r="A64" s="1">
        <v>63.0</v>
      </c>
      <c r="B64" s="1" t="s">
        <v>185</v>
      </c>
      <c r="C64" s="3">
        <v>45251.79021990741</v>
      </c>
      <c r="D64" s="1">
        <v>32887.69</v>
      </c>
    </row>
    <row r="65">
      <c r="A65" s="1">
        <v>64.0</v>
      </c>
      <c r="B65" s="1" t="s">
        <v>87</v>
      </c>
      <c r="C65" s="3">
        <v>45251.79409722222</v>
      </c>
      <c r="D65" s="1">
        <v>66376.57</v>
      </c>
    </row>
    <row r="66">
      <c r="A66" s="1">
        <v>1.0</v>
      </c>
      <c r="B66" s="1" t="s">
        <v>87</v>
      </c>
      <c r="C66" s="3">
        <v>45211.0</v>
      </c>
      <c r="D66" s="1">
        <v>38000.0</v>
      </c>
    </row>
    <row r="67">
      <c r="A67" s="1">
        <v>65.0</v>
      </c>
      <c r="B67" s="1" t="s">
        <v>87</v>
      </c>
      <c r="C67" s="3">
        <v>45252.71947916667</v>
      </c>
      <c r="D67" s="1">
        <v>56420.08</v>
      </c>
    </row>
    <row r="68">
      <c r="A68" s="1">
        <v>66.0</v>
      </c>
      <c r="B68" s="1" t="s">
        <v>188</v>
      </c>
      <c r="C68" s="3">
        <v>45264.77600694444</v>
      </c>
      <c r="D68" s="1">
        <v>151800.0</v>
      </c>
    </row>
    <row r="69">
      <c r="A69" s="1">
        <v>67.0</v>
      </c>
      <c r="B69" s="1" t="s">
        <v>190</v>
      </c>
      <c r="C69" s="3">
        <v>45266.43767361111</v>
      </c>
      <c r="D69" s="1">
        <v>204000.0</v>
      </c>
    </row>
    <row r="70">
      <c r="A70" s="1">
        <v>68.0</v>
      </c>
      <c r="B70" s="1" t="s">
        <v>186</v>
      </c>
      <c r="C70" s="3">
        <v>45266.85474537037</v>
      </c>
      <c r="D70" s="1">
        <v>7500.0</v>
      </c>
    </row>
    <row r="71">
      <c r="A71" s="1">
        <v>69.0</v>
      </c>
      <c r="B71" s="1" t="s">
        <v>65</v>
      </c>
      <c r="C71" s="3">
        <v>45275.48694444444</v>
      </c>
      <c r="D71" s="1">
        <v>26000.0</v>
      </c>
    </row>
    <row r="72">
      <c r="A72" s="1">
        <v>70.0</v>
      </c>
      <c r="B72" s="1" t="s">
        <v>191</v>
      </c>
      <c r="C72" s="3">
        <v>45275.76778935185</v>
      </c>
      <c r="D72" s="1">
        <v>90600.0</v>
      </c>
    </row>
    <row r="73">
      <c r="A73" s="1">
        <v>71.0</v>
      </c>
      <c r="B73" s="1" t="s">
        <v>192</v>
      </c>
      <c r="C73" s="3">
        <v>45280.507939814815</v>
      </c>
      <c r="D73" s="1">
        <v>277200.0</v>
      </c>
    </row>
    <row r="74">
      <c r="A74" s="1">
        <v>72.0</v>
      </c>
      <c r="B74" s="1" t="s">
        <v>194</v>
      </c>
      <c r="C74" s="3">
        <v>45282.79366898148</v>
      </c>
      <c r="D74" s="1">
        <v>122548.14</v>
      </c>
    </row>
    <row r="75">
      <c r="A75" s="1">
        <v>73.0</v>
      </c>
      <c r="B75" s="1" t="s">
        <v>194</v>
      </c>
      <c r="C75" s="3">
        <v>45282.79518518518</v>
      </c>
      <c r="D75" s="1">
        <v>2000.0</v>
      </c>
    </row>
    <row r="76">
      <c r="A76" s="1">
        <v>74.0</v>
      </c>
      <c r="B76" s="1" t="s">
        <v>181</v>
      </c>
      <c r="C76" s="3">
        <v>45282.834444444445</v>
      </c>
      <c r="D76" s="1">
        <v>46900.0</v>
      </c>
    </row>
    <row r="77">
      <c r="A77" s="1">
        <v>75.0</v>
      </c>
      <c r="B77" s="1" t="s">
        <v>195</v>
      </c>
      <c r="C77" s="3">
        <v>45283.82037037037</v>
      </c>
      <c r="D77" s="1">
        <v>41600.0</v>
      </c>
    </row>
    <row r="78">
      <c r="A78" s="1">
        <v>76.0</v>
      </c>
      <c r="B78" s="1" t="s">
        <v>196</v>
      </c>
      <c r="C78" s="3">
        <v>45289.45601851852</v>
      </c>
      <c r="D78" s="1">
        <v>80100.0</v>
      </c>
    </row>
    <row r="79">
      <c r="A79" s="1">
        <v>77.0</v>
      </c>
      <c r="B79" s="1" t="s">
        <v>206</v>
      </c>
      <c r="C79" s="3">
        <v>45293.685694444444</v>
      </c>
      <c r="D79" s="1">
        <v>72006.83</v>
      </c>
    </row>
    <row r="80">
      <c r="A80" s="1">
        <v>78.0</v>
      </c>
      <c r="B80" s="1" t="s">
        <v>114</v>
      </c>
      <c r="C80" s="3">
        <v>45295.48023148148</v>
      </c>
      <c r="D80" s="1">
        <v>72500.0</v>
      </c>
    </row>
    <row r="81">
      <c r="A81" s="1">
        <v>79.0</v>
      </c>
      <c r="B81" s="1" t="s">
        <v>210</v>
      </c>
      <c r="C81" s="3">
        <v>45301.4434837963</v>
      </c>
      <c r="D81" s="1">
        <v>2000.0</v>
      </c>
    </row>
    <row r="82">
      <c r="A82" s="1">
        <v>80.0</v>
      </c>
      <c r="B82" s="1" t="s">
        <v>211</v>
      </c>
      <c r="C82" s="3">
        <v>45309.872245370374</v>
      </c>
      <c r="D82" s="1">
        <v>266110.0</v>
      </c>
    </row>
    <row r="83">
      <c r="A83" s="1">
        <v>81.0</v>
      </c>
      <c r="B83" s="1" t="s">
        <v>212</v>
      </c>
      <c r="C83" s="3">
        <v>45317.49010416667</v>
      </c>
      <c r="D83" s="1">
        <v>127690.0</v>
      </c>
    </row>
    <row r="84">
      <c r="A84" s="1">
        <v>82.0</v>
      </c>
      <c r="B84" s="1" t="s">
        <v>214</v>
      </c>
      <c r="C84" s="3">
        <v>45317.52258101852</v>
      </c>
      <c r="D84" s="1">
        <v>161089.0</v>
      </c>
    </row>
    <row r="85">
      <c r="A85" s="1">
        <v>83.0</v>
      </c>
      <c r="B85" s="1" t="s">
        <v>213</v>
      </c>
      <c r="C85" s="3">
        <v>45317.528275462966</v>
      </c>
      <c r="D85" s="1">
        <v>165000.0</v>
      </c>
    </row>
    <row r="86">
      <c r="A86" s="1">
        <v>84.0</v>
      </c>
      <c r="B86" s="1" t="s">
        <v>215</v>
      </c>
      <c r="C86" s="3">
        <v>45317.77234953704</v>
      </c>
      <c r="D86" s="1">
        <v>125150.0</v>
      </c>
    </row>
    <row r="87">
      <c r="A87" s="1">
        <v>85.0</v>
      </c>
      <c r="B87" s="1" t="s">
        <v>216</v>
      </c>
      <c r="C87" s="3">
        <v>45317.79001157408</v>
      </c>
      <c r="D87" s="1">
        <v>52000.0</v>
      </c>
    </row>
    <row r="88">
      <c r="A88" s="1">
        <v>86.0</v>
      </c>
      <c r="B88" s="1" t="s">
        <v>211</v>
      </c>
      <c r="C88" s="3">
        <v>45328.428935185184</v>
      </c>
      <c r="D88" s="1">
        <v>249400.0</v>
      </c>
    </row>
    <row r="89">
      <c r="A89" s="1">
        <v>87.0</v>
      </c>
      <c r="B89" s="1" t="s">
        <v>217</v>
      </c>
      <c r="C89" s="3">
        <v>45328.4405787037</v>
      </c>
      <c r="D89" s="1">
        <v>97700.0</v>
      </c>
    </row>
    <row r="90">
      <c r="A90" s="1">
        <v>88.0</v>
      </c>
      <c r="B90" s="1" t="s">
        <v>218</v>
      </c>
      <c r="C90" s="3">
        <v>45334.52144675926</v>
      </c>
      <c r="D90" s="1">
        <v>75680.96</v>
      </c>
    </row>
    <row r="91">
      <c r="A91" s="1">
        <v>89.0</v>
      </c>
      <c r="B91" s="1" t="s">
        <v>219</v>
      </c>
      <c r="C91" s="3">
        <v>45335.78445601852</v>
      </c>
      <c r="D91" s="1">
        <v>97100.0</v>
      </c>
    </row>
    <row r="92">
      <c r="A92" s="1">
        <v>90.0</v>
      </c>
      <c r="B92" s="1" t="s">
        <v>220</v>
      </c>
      <c r="C92" s="3">
        <v>45336.736284722225</v>
      </c>
      <c r="D92" s="1">
        <v>200607.0</v>
      </c>
    </row>
    <row r="93">
      <c r="A93" s="1">
        <v>91.0</v>
      </c>
      <c r="B93" s="1" t="s">
        <v>212</v>
      </c>
      <c r="C93" s="3">
        <v>45344.49291666667</v>
      </c>
      <c r="D93" s="1">
        <v>55000.0</v>
      </c>
    </row>
    <row r="94">
      <c r="A94" s="1">
        <v>92.0</v>
      </c>
      <c r="B94" s="1" t="s">
        <v>127</v>
      </c>
      <c r="C94" s="3">
        <v>45344.4943287037</v>
      </c>
      <c r="D94" s="1">
        <v>16900.0</v>
      </c>
    </row>
    <row r="95">
      <c r="A95" s="1">
        <v>93.0</v>
      </c>
      <c r="B95" s="1" t="s">
        <v>221</v>
      </c>
      <c r="C95" s="3">
        <v>45344.75116898148</v>
      </c>
      <c r="D95" s="1">
        <v>338000.0</v>
      </c>
    </row>
    <row r="96">
      <c r="A96" s="1">
        <v>94.0</v>
      </c>
      <c r="B96" s="1" t="s">
        <v>222</v>
      </c>
      <c r="C96" s="3">
        <v>45344.76002314815</v>
      </c>
      <c r="D96" s="1">
        <v>72500.0</v>
      </c>
    </row>
    <row r="97">
      <c r="A97" s="1">
        <v>95.0</v>
      </c>
      <c r="B97" s="1" t="s">
        <v>221</v>
      </c>
      <c r="C97" s="3">
        <v>45345.39502314815</v>
      </c>
      <c r="D97" s="1">
        <v>388000.0</v>
      </c>
    </row>
    <row r="98">
      <c r="A98" s="1">
        <v>96.0</v>
      </c>
      <c r="B98" s="1" t="s">
        <v>221</v>
      </c>
      <c r="C98" s="3">
        <v>45348.876550925925</v>
      </c>
      <c r="D98" s="1">
        <v>388000.0</v>
      </c>
    </row>
    <row r="99">
      <c r="A99" s="1">
        <v>97.0</v>
      </c>
      <c r="B99" s="1" t="s">
        <v>221</v>
      </c>
      <c r="C99" s="3">
        <v>45349.48532407408</v>
      </c>
      <c r="D99" s="1">
        <v>388000.0</v>
      </c>
    </row>
    <row r="100">
      <c r="A100" s="1">
        <v>98.0</v>
      </c>
      <c r="B100" s="1" t="s">
        <v>48</v>
      </c>
      <c r="C100" s="3">
        <v>45350.82361111111</v>
      </c>
      <c r="D100" s="1">
        <v>48000.0</v>
      </c>
    </row>
    <row r="101">
      <c r="A101" s="1">
        <v>99.0</v>
      </c>
      <c r="B101" s="1" t="s">
        <v>227</v>
      </c>
      <c r="C101" s="3">
        <v>45355.85613425926</v>
      </c>
      <c r="D101" s="1">
        <v>156542.0</v>
      </c>
    </row>
    <row r="102">
      <c r="A102" s="1">
        <v>100.0</v>
      </c>
      <c r="B102" s="1" t="s">
        <v>225</v>
      </c>
      <c r="C102" s="3">
        <v>45355.87333333334</v>
      </c>
      <c r="D102" s="1">
        <v>167700.0</v>
      </c>
    </row>
    <row r="103">
      <c r="A103" s="1">
        <v>101.0</v>
      </c>
      <c r="B103" s="1" t="s">
        <v>127</v>
      </c>
      <c r="C103" s="3">
        <v>45356.712743055556</v>
      </c>
      <c r="D103" s="1">
        <v>2000.0</v>
      </c>
    </row>
    <row r="104">
      <c r="A104" s="1">
        <v>102.0</v>
      </c>
      <c r="B104" s="1" t="s">
        <v>229</v>
      </c>
      <c r="C104" s="3">
        <v>45359.4334375</v>
      </c>
      <c r="D104" s="1">
        <v>38500.0</v>
      </c>
    </row>
    <row r="105">
      <c r="A105" s="1">
        <v>103.0</v>
      </c>
      <c r="B105" s="1" t="s">
        <v>230</v>
      </c>
      <c r="C105" s="3">
        <v>45363.49208333333</v>
      </c>
      <c r="D105" s="1">
        <v>32561.0</v>
      </c>
    </row>
    <row r="106">
      <c r="A106" s="1">
        <v>104.0</v>
      </c>
      <c r="B106" s="1" t="s">
        <v>127</v>
      </c>
      <c r="C106" s="3">
        <v>45385.53229166667</v>
      </c>
      <c r="D106" s="1">
        <v>33800.0</v>
      </c>
    </row>
    <row r="107">
      <c r="A107" s="1">
        <v>105.0</v>
      </c>
      <c r="B107" s="1" t="s">
        <v>238</v>
      </c>
      <c r="C107" s="3">
        <v>45386.38822916667</v>
      </c>
      <c r="D107" s="1">
        <v>164500.0</v>
      </c>
    </row>
    <row r="108">
      <c r="A108" s="1">
        <v>106.0</v>
      </c>
      <c r="B108" s="1" t="s">
        <v>239</v>
      </c>
      <c r="C108" s="3">
        <v>45386.39256944445</v>
      </c>
      <c r="D108" s="1">
        <v>57000.0</v>
      </c>
    </row>
    <row r="109">
      <c r="A109" s="1">
        <v>107.0</v>
      </c>
      <c r="B109" s="1" t="s">
        <v>242</v>
      </c>
      <c r="C109" s="3">
        <v>45386.39857638889</v>
      </c>
      <c r="D109" s="1">
        <v>168325.0</v>
      </c>
    </row>
    <row r="110">
      <c r="A110" s="1">
        <v>108.0</v>
      </c>
      <c r="B110" s="1" t="s">
        <v>244</v>
      </c>
      <c r="C110" s="3">
        <v>45387.82133101852</v>
      </c>
      <c r="D110" s="1">
        <v>120700.0</v>
      </c>
    </row>
    <row r="111">
      <c r="A111" s="1">
        <v>109.0</v>
      </c>
      <c r="B111" s="1" t="s">
        <v>245</v>
      </c>
      <c r="C111" s="3">
        <v>45387.82482638889</v>
      </c>
      <c r="D111" s="1">
        <v>35000.0</v>
      </c>
    </row>
    <row r="112">
      <c r="A112" s="1">
        <v>110.0</v>
      </c>
      <c r="B112" s="1" t="s">
        <v>246</v>
      </c>
      <c r="C112" s="3">
        <v>45387.82572916667</v>
      </c>
      <c r="D112" s="1">
        <v>35000.0</v>
      </c>
    </row>
    <row r="113">
      <c r="A113" s="1">
        <v>111.0</v>
      </c>
      <c r="B113" s="1" t="s">
        <v>238</v>
      </c>
      <c r="C113" s="3">
        <v>45390.77547453704</v>
      </c>
      <c r="D113" s="1">
        <v>2000.0</v>
      </c>
    </row>
    <row r="114">
      <c r="A114" s="1">
        <v>112.0</v>
      </c>
      <c r="B114" s="1" t="s">
        <v>248</v>
      </c>
      <c r="C114" s="3">
        <v>45392.73946759259</v>
      </c>
      <c r="D114" s="1">
        <v>30000.0</v>
      </c>
    </row>
    <row r="115">
      <c r="A115" s="1">
        <v>113.0</v>
      </c>
      <c r="B115" s="1" t="s">
        <v>250</v>
      </c>
      <c r="C115" s="3">
        <v>45393.410162037035</v>
      </c>
      <c r="D115" s="1">
        <v>150800.0</v>
      </c>
    </row>
    <row r="116">
      <c r="A116" s="1">
        <v>114.0</v>
      </c>
      <c r="B116" s="1" t="s">
        <v>252</v>
      </c>
      <c r="C116" s="3">
        <v>45394.63737268518</v>
      </c>
      <c r="D116" s="1">
        <v>170000.0</v>
      </c>
    </row>
    <row r="117">
      <c r="A117" s="1">
        <v>115.0</v>
      </c>
      <c r="B117" s="1" t="s">
        <v>245</v>
      </c>
      <c r="C117" s="3">
        <v>45394.63929398148</v>
      </c>
      <c r="D117" s="1">
        <v>6000.0</v>
      </c>
    </row>
    <row r="118">
      <c r="A118" s="1">
        <v>116.0</v>
      </c>
      <c r="B118" s="1" t="s">
        <v>252</v>
      </c>
      <c r="C118" s="3">
        <v>45394.639756944445</v>
      </c>
      <c r="D118" s="1">
        <v>3000.0</v>
      </c>
    </row>
    <row r="119">
      <c r="A119" s="1">
        <v>117.0</v>
      </c>
      <c r="B119" s="1" t="s">
        <v>253</v>
      </c>
      <c r="C119" s="3">
        <v>45399.46811342592</v>
      </c>
      <c r="D119" s="1">
        <v>108800.0</v>
      </c>
    </row>
    <row r="120">
      <c r="A120" s="1">
        <v>118.0</v>
      </c>
      <c r="B120" s="1" t="s">
        <v>255</v>
      </c>
      <c r="C120" s="3">
        <v>45404.741736111115</v>
      </c>
      <c r="D120" s="1">
        <v>48006.83</v>
      </c>
    </row>
    <row r="121">
      <c r="A121" s="1">
        <v>119.0</v>
      </c>
      <c r="B121" s="1" t="s">
        <v>256</v>
      </c>
      <c r="C121" s="3">
        <v>45407.40759259259</v>
      </c>
      <c r="D121" s="1">
        <v>24500.0</v>
      </c>
    </row>
    <row r="122">
      <c r="A122" s="1">
        <v>120.0</v>
      </c>
      <c r="B122" s="1" t="s">
        <v>258</v>
      </c>
      <c r="C122" s="3">
        <v>45409.58621527778</v>
      </c>
      <c r="D122" s="1">
        <v>98900.0</v>
      </c>
    </row>
    <row r="123">
      <c r="A123" s="1">
        <v>121.0</v>
      </c>
      <c r="B123" s="1" t="s">
        <v>257</v>
      </c>
      <c r="C123" s="3">
        <v>45411.73112268518</v>
      </c>
      <c r="D123" s="1">
        <v>336000.0</v>
      </c>
    </row>
    <row r="124">
      <c r="A124" s="1">
        <v>122.0</v>
      </c>
      <c r="B124" s="1" t="s">
        <v>259</v>
      </c>
      <c r="C124" s="3">
        <v>45411.7359375</v>
      </c>
      <c r="D124" s="1">
        <v>54500.0</v>
      </c>
    </row>
    <row r="125">
      <c r="A125" s="1">
        <v>123.0</v>
      </c>
      <c r="B125" s="1" t="s">
        <v>262</v>
      </c>
      <c r="C125" s="3">
        <v>45415.710335648146</v>
      </c>
      <c r="D125" s="1">
        <v>52500.0</v>
      </c>
    </row>
    <row r="126">
      <c r="A126" s="1">
        <v>124.0</v>
      </c>
      <c r="B126" s="1" t="s">
        <v>260</v>
      </c>
      <c r="C126" s="3">
        <v>45416.53045138889</v>
      </c>
      <c r="D126" s="1">
        <v>104720.0</v>
      </c>
    </row>
    <row r="127">
      <c r="A127" s="1">
        <v>125.0</v>
      </c>
      <c r="B127" s="1" t="s">
        <v>261</v>
      </c>
      <c r="C127" s="3">
        <v>45416.540983796294</v>
      </c>
      <c r="D127" s="1">
        <v>433500.0</v>
      </c>
    </row>
    <row r="128">
      <c r="A128" s="1">
        <v>126.0</v>
      </c>
      <c r="B128" s="1" t="s">
        <v>263</v>
      </c>
      <c r="C128" s="3">
        <v>45416.55134259259</v>
      </c>
      <c r="D128" s="1">
        <v>60000.0</v>
      </c>
    </row>
    <row r="129">
      <c r="A129" s="1">
        <v>127.0</v>
      </c>
      <c r="B129" s="1" t="s">
        <v>264</v>
      </c>
      <c r="C129" s="3">
        <v>45419.737395833334</v>
      </c>
      <c r="D129" s="1">
        <v>155300.0</v>
      </c>
    </row>
    <row r="130">
      <c r="A130" s="1">
        <v>128.0</v>
      </c>
      <c r="B130" s="1" t="s">
        <v>265</v>
      </c>
      <c r="C130" s="3">
        <v>45421.703101851854</v>
      </c>
      <c r="D130" s="1">
        <v>75000.0</v>
      </c>
    </row>
    <row r="131">
      <c r="A131" s="1">
        <v>129.0</v>
      </c>
      <c r="B131" s="1" t="s">
        <v>267</v>
      </c>
      <c r="C131" s="3">
        <v>45426.59460648148</v>
      </c>
      <c r="D131" s="1">
        <v>109500.0</v>
      </c>
    </row>
    <row r="132">
      <c r="A132" s="1">
        <v>130.0</v>
      </c>
      <c r="B132" s="1" t="s">
        <v>268</v>
      </c>
      <c r="C132" s="3">
        <v>45427.73756944444</v>
      </c>
      <c r="D132" s="1">
        <v>109796.0</v>
      </c>
    </row>
    <row r="133">
      <c r="A133" s="1">
        <v>131.0</v>
      </c>
      <c r="B133" s="1" t="s">
        <v>269</v>
      </c>
      <c r="C133" s="3">
        <v>45434.503854166665</v>
      </c>
      <c r="D133" s="1">
        <v>48500.0</v>
      </c>
    </row>
    <row r="134">
      <c r="A134" s="1">
        <v>132.0</v>
      </c>
      <c r="B134" s="1" t="s">
        <v>273</v>
      </c>
      <c r="C134" s="3">
        <v>45439.726689814815</v>
      </c>
      <c r="D134" s="1">
        <v>60000.0</v>
      </c>
    </row>
    <row r="135">
      <c r="A135" s="1">
        <v>133.0</v>
      </c>
      <c r="B135" s="1" t="s">
        <v>272</v>
      </c>
      <c r="C135" s="3">
        <v>45439.75928240741</v>
      </c>
      <c r="D135" s="1">
        <v>573326.07</v>
      </c>
    </row>
    <row r="136">
      <c r="A136" s="1">
        <v>134.0</v>
      </c>
      <c r="B136" s="1" t="s">
        <v>271</v>
      </c>
      <c r="C136" s="3">
        <v>45439.76388888889</v>
      </c>
      <c r="D136" s="1">
        <v>40524.0</v>
      </c>
    </row>
    <row r="137">
      <c r="A137" s="1">
        <v>135.0</v>
      </c>
      <c r="B137" s="1" t="s">
        <v>276</v>
      </c>
      <c r="C137" s="3">
        <v>45441.41976851852</v>
      </c>
      <c r="D137" s="1">
        <v>89500.0</v>
      </c>
    </row>
    <row r="138">
      <c r="A138" s="1">
        <v>136.0</v>
      </c>
      <c r="B138" s="1" t="s">
        <v>277</v>
      </c>
      <c r="C138" s="3">
        <v>45441.44626157408</v>
      </c>
      <c r="D138" s="1">
        <v>202436.0</v>
      </c>
    </row>
    <row r="139">
      <c r="A139" s="1">
        <v>137.0</v>
      </c>
      <c r="B139" s="1" t="s">
        <v>273</v>
      </c>
      <c r="C139" s="3">
        <v>45443.606145833335</v>
      </c>
      <c r="D139" s="1">
        <v>40000.0</v>
      </c>
    </row>
    <row r="140">
      <c r="A140" s="1">
        <v>138.0</v>
      </c>
      <c r="B140" s="1" t="s">
        <v>278</v>
      </c>
      <c r="C140" s="3">
        <v>45443.73716435185</v>
      </c>
      <c r="D140" s="1">
        <v>65439.0</v>
      </c>
    </row>
    <row r="141">
      <c r="A141" s="1">
        <v>139.0</v>
      </c>
      <c r="B141" s="1" t="s">
        <v>279</v>
      </c>
      <c r="C141" s="3">
        <v>45443.741481481484</v>
      </c>
      <c r="D141" s="1">
        <v>13300.0</v>
      </c>
    </row>
    <row r="142">
      <c r="A142" s="1">
        <v>140.0</v>
      </c>
      <c r="B142" s="1" t="s">
        <v>280</v>
      </c>
      <c r="C142" s="3">
        <v>45443.75134259259</v>
      </c>
      <c r="D142" s="1">
        <v>310100.0</v>
      </c>
    </row>
    <row r="143">
      <c r="A143" s="1">
        <v>141.0</v>
      </c>
      <c r="B143" s="1" t="s">
        <v>281</v>
      </c>
      <c r="C143" s="3">
        <v>45446.53238425926</v>
      </c>
      <c r="D143" s="1">
        <v>210513.0</v>
      </c>
    </row>
    <row r="144">
      <c r="A144" s="1">
        <v>142.0</v>
      </c>
      <c r="B144" s="1" t="s">
        <v>282</v>
      </c>
      <c r="C144" s="3">
        <v>45449.49621527778</v>
      </c>
      <c r="D144" s="1">
        <v>69478.0</v>
      </c>
    </row>
    <row r="145">
      <c r="A145" s="1">
        <v>143.0</v>
      </c>
      <c r="B145" s="1" t="s">
        <v>283</v>
      </c>
      <c r="C145" s="3">
        <v>45449.506053240744</v>
      </c>
      <c r="D145" s="1">
        <v>78452.0</v>
      </c>
    </row>
    <row r="146">
      <c r="A146" s="1">
        <v>144.0</v>
      </c>
      <c r="B146" s="1" t="s">
        <v>287</v>
      </c>
      <c r="C146" s="3">
        <v>45457.635462962964</v>
      </c>
      <c r="D146" s="1">
        <v>84500.0</v>
      </c>
    </row>
    <row r="147">
      <c r="A147" s="1">
        <v>145.0</v>
      </c>
      <c r="B147" s="1" t="s">
        <v>288</v>
      </c>
      <c r="C147" s="3">
        <v>45457.640810185185</v>
      </c>
      <c r="D147" s="1">
        <v>58650.0</v>
      </c>
    </row>
    <row r="148">
      <c r="A148" s="1">
        <v>146.0</v>
      </c>
      <c r="B148" s="1" t="s">
        <v>289</v>
      </c>
      <c r="C148" s="3">
        <v>45457.65288194444</v>
      </c>
      <c r="D148" s="1">
        <v>227800.0</v>
      </c>
    </row>
    <row r="149">
      <c r="A149" s="1">
        <v>147.0</v>
      </c>
      <c r="B149" s="1" t="s">
        <v>290</v>
      </c>
      <c r="C149" s="3">
        <v>45457.66609953704</v>
      </c>
      <c r="D149" s="1">
        <v>205980.0</v>
      </c>
    </row>
    <row r="150">
      <c r="A150" s="1">
        <v>148.0</v>
      </c>
      <c r="B150" s="1" t="s">
        <v>291</v>
      </c>
      <c r="C150" s="3">
        <v>45457.673368055555</v>
      </c>
      <c r="D150" s="1">
        <v>73897.0</v>
      </c>
    </row>
    <row r="151">
      <c r="A151" s="1">
        <v>149.0</v>
      </c>
      <c r="B151" s="1" t="s">
        <v>293</v>
      </c>
      <c r="C151" s="3">
        <v>45457.689675925925</v>
      </c>
      <c r="D151" s="1">
        <v>270780.0</v>
      </c>
    </row>
    <row r="152">
      <c r="A152" s="1">
        <v>150.0</v>
      </c>
      <c r="B152" s="1" t="s">
        <v>294</v>
      </c>
      <c r="C152" s="3">
        <v>45457.713900462964</v>
      </c>
      <c r="D152" s="1">
        <v>64600.0</v>
      </c>
    </row>
    <row r="153">
      <c r="A153" s="1">
        <v>151.0</v>
      </c>
      <c r="B153" s="1" t="s">
        <v>295</v>
      </c>
      <c r="C153" s="3">
        <v>45462.761354166665</v>
      </c>
      <c r="D153" s="1">
        <v>74364.0</v>
      </c>
    </row>
    <row r="154">
      <c r="A154" s="1">
        <v>152.0</v>
      </c>
      <c r="B154" s="1" t="s">
        <v>296</v>
      </c>
      <c r="C154" s="3">
        <v>45464.65215277778</v>
      </c>
      <c r="D154" s="1">
        <v>138100.0</v>
      </c>
    </row>
    <row r="155">
      <c r="A155" s="1">
        <v>153.0</v>
      </c>
      <c r="B155" s="1" t="s">
        <v>297</v>
      </c>
      <c r="C155" s="3">
        <v>45465.51708333333</v>
      </c>
      <c r="D155" s="1">
        <v>55168.0</v>
      </c>
    </row>
    <row r="156">
      <c r="A156" s="1">
        <v>154.0</v>
      </c>
      <c r="B156" s="1" t="s">
        <v>298</v>
      </c>
      <c r="C156" s="3">
        <v>45465.52563657407</v>
      </c>
      <c r="D156" s="1">
        <v>140000.0</v>
      </c>
    </row>
    <row r="157">
      <c r="A157" s="1">
        <v>155.0</v>
      </c>
      <c r="B157" s="1" t="s">
        <v>299</v>
      </c>
      <c r="C157" s="3">
        <v>45469.75849537037</v>
      </c>
      <c r="D157" s="1">
        <v>305500.0</v>
      </c>
    </row>
    <row r="158">
      <c r="A158" s="1">
        <v>156.0</v>
      </c>
      <c r="B158" s="1" t="s">
        <v>302</v>
      </c>
      <c r="C158" s="3">
        <v>45472.53891203704</v>
      </c>
      <c r="D158" s="1">
        <v>52200.0</v>
      </c>
    </row>
    <row r="159">
      <c r="A159" s="1">
        <v>157.0</v>
      </c>
      <c r="B159" s="1" t="s">
        <v>303</v>
      </c>
      <c r="C159" s="3">
        <v>45472.54258101852</v>
      </c>
      <c r="D159" s="1">
        <v>22000.0</v>
      </c>
    </row>
    <row r="160">
      <c r="A160" s="1">
        <v>158.0</v>
      </c>
      <c r="B160" s="1" t="s">
        <v>306</v>
      </c>
      <c r="C160" s="3">
        <v>45477.48956018518</v>
      </c>
      <c r="D160" s="1">
        <v>967300.0</v>
      </c>
    </row>
    <row r="161">
      <c r="A161" s="1">
        <v>159.0</v>
      </c>
      <c r="B161" s="1" t="s">
        <v>311</v>
      </c>
      <c r="C161" s="3">
        <v>45484.47383101852</v>
      </c>
      <c r="D161" s="1">
        <v>472000.0</v>
      </c>
    </row>
    <row r="162">
      <c r="A162" s="1">
        <v>160.0</v>
      </c>
      <c r="B162" s="1" t="s">
        <v>290</v>
      </c>
      <c r="C162" s="3">
        <v>45484.52390046296</v>
      </c>
      <c r="D162" s="1">
        <v>30000.0</v>
      </c>
    </row>
    <row r="163">
      <c r="A163" s="1">
        <v>161.0</v>
      </c>
      <c r="B163" s="1" t="s">
        <v>312</v>
      </c>
      <c r="C163" s="3">
        <v>45484.5353125</v>
      </c>
      <c r="D163" s="1">
        <v>62000.0</v>
      </c>
    </row>
    <row r="164">
      <c r="A164" s="1">
        <v>162.0</v>
      </c>
      <c r="B164" s="1" t="s">
        <v>314</v>
      </c>
      <c r="C164" s="3">
        <v>45491.696377314816</v>
      </c>
      <c r="D164" s="1">
        <v>174600.0</v>
      </c>
    </row>
    <row r="165">
      <c r="A165" s="1">
        <v>163.0</v>
      </c>
      <c r="B165" s="1" t="s">
        <v>315</v>
      </c>
      <c r="C165" s="3">
        <v>45491.70792824074</v>
      </c>
      <c r="D165" s="1">
        <v>80000.0</v>
      </c>
    </row>
    <row r="166">
      <c r="A166" s="1">
        <v>164.0</v>
      </c>
      <c r="B166" s="1" t="s">
        <v>317</v>
      </c>
      <c r="C166" s="3">
        <v>45491.80825231481</v>
      </c>
      <c r="D166" s="1">
        <v>110700.0</v>
      </c>
    </row>
    <row r="167">
      <c r="A167" s="1">
        <v>165.0</v>
      </c>
      <c r="B167" s="1" t="s">
        <v>316</v>
      </c>
      <c r="C167" s="3">
        <v>45491.81061342593</v>
      </c>
      <c r="D167" s="1">
        <v>80000.0</v>
      </c>
    </row>
    <row r="168">
      <c r="A168" s="1">
        <v>166.0</v>
      </c>
      <c r="B168" s="1" t="s">
        <v>318</v>
      </c>
      <c r="C168" s="3">
        <v>45491.81927083333</v>
      </c>
      <c r="D168" s="1">
        <v>300500.0</v>
      </c>
    </row>
    <row r="169">
      <c r="A169" s="1">
        <v>167.0</v>
      </c>
      <c r="B169" s="1" t="s">
        <v>319</v>
      </c>
      <c r="C169" s="3">
        <v>45491.83219907407</v>
      </c>
      <c r="D169" s="1">
        <v>123200.0</v>
      </c>
    </row>
    <row r="170">
      <c r="A170" s="1">
        <v>168.0</v>
      </c>
      <c r="B170" s="1" t="s">
        <v>323</v>
      </c>
      <c r="C170" s="3">
        <v>45502.61740740741</v>
      </c>
      <c r="D170" s="1">
        <v>1074140.0</v>
      </c>
    </row>
    <row r="171">
      <c r="A171" s="1">
        <v>169.0</v>
      </c>
      <c r="B171" s="1" t="s">
        <v>324</v>
      </c>
      <c r="C171" s="3">
        <v>45502.62287037037</v>
      </c>
      <c r="D171" s="1">
        <v>64600.0</v>
      </c>
    </row>
    <row r="172">
      <c r="A172" s="1">
        <v>170.0</v>
      </c>
      <c r="B172" s="1" t="s">
        <v>325</v>
      </c>
      <c r="C172" s="3">
        <v>45502.64261574074</v>
      </c>
      <c r="D172" s="1">
        <v>479280.0</v>
      </c>
    </row>
    <row r="173">
      <c r="A173" s="1">
        <v>171.0</v>
      </c>
      <c r="B173" s="1" t="s">
        <v>326</v>
      </c>
      <c r="C173" s="3">
        <v>45502.66290509259</v>
      </c>
      <c r="D173" s="1">
        <v>207820.0</v>
      </c>
    </row>
    <row r="174">
      <c r="A174" s="1">
        <v>172.0</v>
      </c>
      <c r="B174" s="1" t="s">
        <v>327</v>
      </c>
      <c r="C174" s="3">
        <v>45502.67439814815</v>
      </c>
      <c r="D174" s="1">
        <v>227000.0</v>
      </c>
    </row>
    <row r="175">
      <c r="A175" s="1">
        <v>173.0</v>
      </c>
      <c r="B175" s="1" t="s">
        <v>328</v>
      </c>
      <c r="C175" s="3">
        <v>45502.68780092592</v>
      </c>
      <c r="D175" s="1">
        <v>448000.0</v>
      </c>
    </row>
    <row r="176">
      <c r="A176" s="1">
        <v>174.0</v>
      </c>
      <c r="B176" s="1" t="s">
        <v>329</v>
      </c>
      <c r="C176" s="3">
        <v>45502.73391203704</v>
      </c>
      <c r="D176" s="1">
        <v>25000.0</v>
      </c>
    </row>
    <row r="177">
      <c r="A177" s="1">
        <v>175.0</v>
      </c>
      <c r="B177" s="1" t="s">
        <v>331</v>
      </c>
      <c r="C177" s="3">
        <v>45502.7784375</v>
      </c>
      <c r="D177" s="1">
        <v>75000.0</v>
      </c>
    </row>
    <row r="178">
      <c r="A178" s="1">
        <v>176.0</v>
      </c>
      <c r="B178" s="1" t="s">
        <v>301</v>
      </c>
      <c r="C178" s="3">
        <v>45502.79023148148</v>
      </c>
      <c r="D178" s="1">
        <v>597000.0</v>
      </c>
    </row>
    <row r="179">
      <c r="A179" s="1">
        <v>177.0</v>
      </c>
      <c r="B179" s="1" t="s">
        <v>333</v>
      </c>
      <c r="C179" s="3">
        <v>45502.79418981481</v>
      </c>
      <c r="D179" s="1">
        <v>100000.0</v>
      </c>
    </row>
    <row r="180">
      <c r="A180" s="1">
        <v>178.0</v>
      </c>
      <c r="B180" s="1" t="s">
        <v>334</v>
      </c>
      <c r="C180" s="3">
        <v>45502.8047337963</v>
      </c>
      <c r="D180" s="1">
        <v>87200.0</v>
      </c>
    </row>
    <row r="181">
      <c r="A181" s="1">
        <v>179.0</v>
      </c>
      <c r="B181" s="1" t="s">
        <v>335</v>
      </c>
      <c r="C181" s="3">
        <v>45502.811261574076</v>
      </c>
      <c r="D181" s="1">
        <v>57000.0</v>
      </c>
    </row>
    <row r="182">
      <c r="A182" s="1">
        <v>180.0</v>
      </c>
      <c r="B182" s="1" t="s">
        <v>338</v>
      </c>
      <c r="C182" s="3">
        <v>45503.41761574074</v>
      </c>
      <c r="D182" s="1">
        <v>1144300.0</v>
      </c>
    </row>
    <row r="183">
      <c r="A183" s="1">
        <v>181.0</v>
      </c>
      <c r="B183" s="1" t="s">
        <v>339</v>
      </c>
      <c r="C183" s="3">
        <v>45503.493263888886</v>
      </c>
      <c r="D183" s="1">
        <v>480400.0</v>
      </c>
    </row>
    <row r="184">
      <c r="A184" s="1">
        <v>182.0</v>
      </c>
      <c r="B184" s="1" t="s">
        <v>342</v>
      </c>
      <c r="C184" s="3">
        <v>45503.5212962963</v>
      </c>
      <c r="D184" s="1">
        <v>44300.0</v>
      </c>
    </row>
    <row r="185">
      <c r="A185" s="1">
        <v>183.0</v>
      </c>
      <c r="B185" s="1" t="s">
        <v>343</v>
      </c>
      <c r="C185" s="3">
        <v>45503.52585648148</v>
      </c>
      <c r="D185" s="1">
        <v>95000.0</v>
      </c>
    </row>
    <row r="186">
      <c r="A186" s="1">
        <v>184.0</v>
      </c>
      <c r="B186" s="1" t="s">
        <v>344</v>
      </c>
      <c r="C186" s="3">
        <v>45503.541875</v>
      </c>
      <c r="D186" s="1">
        <v>30000.0</v>
      </c>
    </row>
    <row r="187">
      <c r="A187" s="1">
        <v>185.0</v>
      </c>
      <c r="B187" s="1" t="s">
        <v>345</v>
      </c>
      <c r="C187" s="3">
        <v>45503.65075231482</v>
      </c>
      <c r="D187" s="1">
        <v>75000.0</v>
      </c>
    </row>
    <row r="188">
      <c r="A188" s="1">
        <v>186.0</v>
      </c>
      <c r="B188" s="1" t="s">
        <v>301</v>
      </c>
      <c r="C188" s="3">
        <v>45503.68084490741</v>
      </c>
      <c r="D188" s="1">
        <v>71400.0</v>
      </c>
    </row>
    <row r="189">
      <c r="A189" s="1">
        <v>187.0</v>
      </c>
      <c r="B189" s="1" t="s">
        <v>347</v>
      </c>
      <c r="C189" s="3">
        <v>45503.72516203704</v>
      </c>
      <c r="D189" s="1">
        <v>122000.0</v>
      </c>
    </row>
    <row r="190">
      <c r="A190" s="1">
        <v>188.0</v>
      </c>
      <c r="B190" s="1" t="s">
        <v>348</v>
      </c>
      <c r="C190" s="3">
        <v>45505.760196759256</v>
      </c>
      <c r="D190" s="1">
        <v>66000.0</v>
      </c>
    </row>
    <row r="191">
      <c r="A191" s="1">
        <v>189.0</v>
      </c>
      <c r="B191" s="1" t="s">
        <v>352</v>
      </c>
      <c r="C191" s="3">
        <v>45510.57655092593</v>
      </c>
      <c r="D191" s="1">
        <v>110000.0</v>
      </c>
    </row>
    <row r="192">
      <c r="A192" s="1">
        <v>190.0</v>
      </c>
      <c r="B192" s="1" t="s">
        <v>354</v>
      </c>
      <c r="C192" s="3">
        <v>45510.58393518518</v>
      </c>
      <c r="D192" s="1">
        <v>168120.0</v>
      </c>
    </row>
    <row r="193">
      <c r="A193" s="1">
        <v>191.0</v>
      </c>
      <c r="B193" s="1" t="s">
        <v>353</v>
      </c>
      <c r="C193" s="3">
        <v>45510.58730324074</v>
      </c>
      <c r="D193" s="1">
        <v>110000.0</v>
      </c>
    </row>
    <row r="194">
      <c r="A194" s="1">
        <v>192.0</v>
      </c>
      <c r="B194" s="1" t="s">
        <v>355</v>
      </c>
      <c r="C194" s="3">
        <v>45510.59856481481</v>
      </c>
      <c r="D194" s="1">
        <v>161849.0</v>
      </c>
    </row>
    <row r="195">
      <c r="A195" s="1">
        <v>193.0</v>
      </c>
      <c r="B195" s="1" t="s">
        <v>356</v>
      </c>
      <c r="C195" s="3">
        <v>45512.67390046296</v>
      </c>
      <c r="D195" s="1">
        <v>403200.0</v>
      </c>
    </row>
    <row r="196">
      <c r="A196" s="1">
        <v>194.0</v>
      </c>
      <c r="B196" s="1" t="s">
        <v>357</v>
      </c>
      <c r="C196" s="3">
        <v>45513.54306712963</v>
      </c>
      <c r="D196" s="1">
        <v>110400.0</v>
      </c>
    </row>
    <row r="197">
      <c r="A197" s="1">
        <v>195.0</v>
      </c>
      <c r="B197" s="1" t="s">
        <v>359</v>
      </c>
      <c r="C197" s="3">
        <v>45513.56253472222</v>
      </c>
      <c r="D197" s="1">
        <v>9400.0</v>
      </c>
    </row>
    <row r="198">
      <c r="A198" s="1">
        <v>196.0</v>
      </c>
      <c r="B198" s="1" t="s">
        <v>350</v>
      </c>
      <c r="C198" s="3">
        <v>45513.68241898148</v>
      </c>
      <c r="D198" s="1">
        <v>11000.0</v>
      </c>
    </row>
    <row r="199">
      <c r="A199" s="1">
        <v>197.0</v>
      </c>
      <c r="B199" s="1" t="s">
        <v>360</v>
      </c>
      <c r="C199" s="3">
        <v>45514.48185185185</v>
      </c>
      <c r="D199" s="1">
        <v>90000.0</v>
      </c>
    </row>
    <row r="200">
      <c r="A200" s="1">
        <v>198.0</v>
      </c>
      <c r="B200" s="1" t="s">
        <v>361</v>
      </c>
      <c r="C200" s="3">
        <v>45516.71440972222</v>
      </c>
      <c r="D200" s="1">
        <v>30000.0</v>
      </c>
    </row>
    <row r="201">
      <c r="A201" s="1">
        <v>199.0</v>
      </c>
      <c r="B201" s="1" t="s">
        <v>362</v>
      </c>
      <c r="C201" s="3">
        <v>45516.74909722222</v>
      </c>
      <c r="D201" s="1">
        <v>151200.0</v>
      </c>
    </row>
    <row r="202">
      <c r="A202" s="1">
        <v>200.0</v>
      </c>
      <c r="B202" s="1" t="s">
        <v>363</v>
      </c>
      <c r="C202" s="3">
        <v>45517.49859953704</v>
      </c>
      <c r="D202" s="1">
        <v>30000.0</v>
      </c>
    </row>
    <row r="203">
      <c r="A203" s="1">
        <v>201.0</v>
      </c>
      <c r="B203" s="1" t="s">
        <v>362</v>
      </c>
      <c r="C203" s="3">
        <v>45519.67938657408</v>
      </c>
      <c r="D203" s="1">
        <v>0.0</v>
      </c>
    </row>
    <row r="204">
      <c r="A204" s="1">
        <v>202.0</v>
      </c>
      <c r="B204" s="1" t="s">
        <v>364</v>
      </c>
      <c r="C204" s="3">
        <v>45519.70903935185</v>
      </c>
      <c r="D204" s="1">
        <v>470800.0</v>
      </c>
    </row>
    <row r="205">
      <c r="A205" s="1">
        <v>203.0</v>
      </c>
      <c r="B205" s="1" t="s">
        <v>365</v>
      </c>
      <c r="C205" s="3">
        <v>45519.716840277775</v>
      </c>
      <c r="D205" s="1">
        <v>127500.0</v>
      </c>
    </row>
    <row r="206">
      <c r="A206" s="1">
        <v>204.0</v>
      </c>
      <c r="B206" s="1" t="s">
        <v>366</v>
      </c>
      <c r="C206" s="3">
        <v>45519.719293981485</v>
      </c>
      <c r="D206" s="1">
        <v>79000.0</v>
      </c>
    </row>
    <row r="207">
      <c r="A207" s="1">
        <v>205.0</v>
      </c>
      <c r="B207" s="1" t="s">
        <v>365</v>
      </c>
      <c r="C207" s="3">
        <v>45520.51027777778</v>
      </c>
      <c r="D207" s="1">
        <v>0.0</v>
      </c>
    </row>
    <row r="208">
      <c r="A208" s="1">
        <v>206.0</v>
      </c>
      <c r="B208" s="1" t="s">
        <v>367</v>
      </c>
      <c r="C208" s="3">
        <v>45520.61369212963</v>
      </c>
      <c r="D208" s="1">
        <v>125000.0</v>
      </c>
    </row>
    <row r="209">
      <c r="A209" s="1">
        <v>207.0</v>
      </c>
      <c r="B209" s="1" t="s">
        <v>359</v>
      </c>
      <c r="C209" s="3">
        <v>45539.51540509259</v>
      </c>
      <c r="D209" s="1">
        <v>280000.0</v>
      </c>
    </row>
    <row r="210">
      <c r="A210" s="1">
        <v>208.0</v>
      </c>
      <c r="B210" s="1" t="s">
        <v>368</v>
      </c>
      <c r="C210" s="3">
        <v>45539.53666666667</v>
      </c>
      <c r="D210" s="1">
        <v>159600.0</v>
      </c>
    </row>
    <row r="211">
      <c r="A211" s="1">
        <v>209.0</v>
      </c>
      <c r="B211" s="1" t="s">
        <v>369</v>
      </c>
      <c r="C211" s="3">
        <v>45539.623703703706</v>
      </c>
      <c r="D211" s="1">
        <v>99600.0</v>
      </c>
    </row>
    <row r="212">
      <c r="A212" s="1">
        <v>210.0</v>
      </c>
      <c r="B212" s="1" t="s">
        <v>370</v>
      </c>
      <c r="C212" s="3">
        <v>45539.76446759259</v>
      </c>
      <c r="D212" s="1">
        <v>85000.0</v>
      </c>
    </row>
    <row r="213">
      <c r="A213" s="1">
        <v>211.0</v>
      </c>
      <c r="B213" s="1" t="s">
        <v>371</v>
      </c>
      <c r="C213" s="3">
        <v>45541.59311342592</v>
      </c>
      <c r="D213" s="1">
        <v>190000.0</v>
      </c>
    </row>
    <row r="214">
      <c r="A214" s="1">
        <v>212.0</v>
      </c>
      <c r="B214" s="1" t="s">
        <v>372</v>
      </c>
      <c r="C214" s="3">
        <v>45545.50046296296</v>
      </c>
      <c r="D214" s="1">
        <v>388000.0</v>
      </c>
    </row>
    <row r="215">
      <c r="A215" s="1">
        <v>213.0</v>
      </c>
      <c r="B215" s="1" t="s">
        <v>377</v>
      </c>
      <c r="C215" s="3">
        <v>45546.665</v>
      </c>
      <c r="D215" s="1">
        <v>166600.0</v>
      </c>
    </row>
    <row r="216">
      <c r="A216" s="1">
        <v>214.0</v>
      </c>
      <c r="B216" s="1" t="s">
        <v>382</v>
      </c>
      <c r="C216" s="3">
        <v>45546.69819444444</v>
      </c>
      <c r="D216" s="1">
        <v>146000.0</v>
      </c>
    </row>
    <row r="217">
      <c r="A217" s="1">
        <v>215.0</v>
      </c>
      <c r="B217" s="1" t="s">
        <v>383</v>
      </c>
      <c r="C217" s="3">
        <v>45546.76306712963</v>
      </c>
      <c r="D217" s="1">
        <v>307400.0</v>
      </c>
    </row>
    <row r="218">
      <c r="A218" s="1">
        <v>216.0</v>
      </c>
      <c r="B218" s="1" t="s">
        <v>385</v>
      </c>
      <c r="C218" s="3">
        <v>45547.52113425926</v>
      </c>
      <c r="D218" s="1">
        <v>191200.0</v>
      </c>
    </row>
    <row r="219">
      <c r="A219" s="1">
        <v>217.0</v>
      </c>
      <c r="B219" s="1" t="s">
        <v>386</v>
      </c>
      <c r="C219" s="3">
        <v>45547.54112268519</v>
      </c>
      <c r="D219" s="1">
        <v>0.0</v>
      </c>
    </row>
    <row r="220">
      <c r="A220" s="1">
        <v>218.0</v>
      </c>
      <c r="B220" s="1" t="s">
        <v>386</v>
      </c>
      <c r="C220" s="3">
        <v>45547.54267361111</v>
      </c>
      <c r="D220" s="1">
        <v>0.0</v>
      </c>
    </row>
    <row r="221">
      <c r="A221" s="1">
        <v>219.0</v>
      </c>
      <c r="B221" s="1" t="s">
        <v>390</v>
      </c>
      <c r="C221" s="3">
        <v>45548.72256944444</v>
      </c>
      <c r="D221" s="1">
        <v>344400.0</v>
      </c>
    </row>
    <row r="222">
      <c r="A222" s="1">
        <v>220.0</v>
      </c>
      <c r="B222" s="1" t="s">
        <v>388</v>
      </c>
      <c r="C222" s="3">
        <v>45548.77322916667</v>
      </c>
      <c r="D222" s="1">
        <v>89000.0</v>
      </c>
    </row>
    <row r="223">
      <c r="A223" s="1">
        <v>221.0</v>
      </c>
      <c r="B223" s="1" t="s">
        <v>391</v>
      </c>
      <c r="C223" s="3">
        <v>45551.61755787037</v>
      </c>
      <c r="D223" s="1">
        <v>465500.0</v>
      </c>
    </row>
    <row r="224">
      <c r="A224" s="1">
        <v>222.0</v>
      </c>
      <c r="B224" s="1" t="s">
        <v>392</v>
      </c>
      <c r="C224" s="3">
        <v>45551.62</v>
      </c>
      <c r="D224" s="1">
        <v>101000.0</v>
      </c>
    </row>
    <row r="225">
      <c r="A225" s="1">
        <v>223.0</v>
      </c>
      <c r="B225" s="1" t="s">
        <v>393</v>
      </c>
      <c r="C225" s="3">
        <v>45553.61226851852</v>
      </c>
      <c r="D225" s="1">
        <v>145200.0</v>
      </c>
    </row>
    <row r="226">
      <c r="A226" s="1">
        <v>224.0</v>
      </c>
      <c r="B226" s="1" t="s">
        <v>395</v>
      </c>
      <c r="C226" s="3">
        <v>45554.587372685186</v>
      </c>
      <c r="D226" s="1">
        <v>222400.0</v>
      </c>
    </row>
    <row r="227">
      <c r="A227" s="1">
        <v>225.0</v>
      </c>
      <c r="B227" s="1" t="s">
        <v>396</v>
      </c>
      <c r="C227" s="3">
        <v>45555.73888888889</v>
      </c>
      <c r="D227" s="1">
        <v>70000.0</v>
      </c>
    </row>
    <row r="228">
      <c r="A228" s="1">
        <v>226.0</v>
      </c>
      <c r="B228" s="1" t="s">
        <v>397</v>
      </c>
      <c r="C228" s="3">
        <v>45555.805972222224</v>
      </c>
      <c r="D228" s="1">
        <v>123400.0</v>
      </c>
    </row>
    <row r="229">
      <c r="A229" s="1">
        <v>227.0</v>
      </c>
      <c r="B229" s="1" t="s">
        <v>398</v>
      </c>
      <c r="C229" s="3">
        <v>45556.4383912037</v>
      </c>
      <c r="D229" s="1">
        <v>133400.0</v>
      </c>
    </row>
    <row r="230">
      <c r="A230" s="1">
        <v>228.0</v>
      </c>
      <c r="B230" s="1" t="s">
        <v>397</v>
      </c>
      <c r="C230" s="3">
        <v>45556.44645833333</v>
      </c>
      <c r="D230" s="1">
        <v>0.0</v>
      </c>
    </row>
    <row r="231">
      <c r="A231" s="1">
        <v>229.0</v>
      </c>
      <c r="B231" s="1" t="s">
        <v>399</v>
      </c>
      <c r="C231" s="3">
        <v>45558.67869212963</v>
      </c>
      <c r="D231" s="1">
        <v>336000.0</v>
      </c>
    </row>
    <row r="232">
      <c r="A232" s="1">
        <v>230.0</v>
      </c>
      <c r="B232" s="1" t="s">
        <v>401</v>
      </c>
      <c r="C232" s="3">
        <v>45559.64945601852</v>
      </c>
      <c r="D232" s="1">
        <v>4000.0</v>
      </c>
    </row>
    <row r="233">
      <c r="A233" s="1">
        <v>231.0</v>
      </c>
      <c r="B233" s="1" t="s">
        <v>399</v>
      </c>
      <c r="C233" s="3">
        <v>45559.68261574074</v>
      </c>
      <c r="D233" s="1">
        <v>336000.0</v>
      </c>
    </row>
    <row r="234">
      <c r="A234" s="1">
        <v>232.0</v>
      </c>
      <c r="B234" s="1" t="s">
        <v>402</v>
      </c>
      <c r="C234" s="3">
        <v>45559.774502314816</v>
      </c>
      <c r="D234" s="1">
        <v>92400.0</v>
      </c>
    </row>
    <row r="235">
      <c r="A235" s="1">
        <v>233.0</v>
      </c>
      <c r="B235" s="1" t="s">
        <v>403</v>
      </c>
      <c r="C235" s="3">
        <v>45560.66065972222</v>
      </c>
      <c r="D235" s="1">
        <v>116000.0</v>
      </c>
    </row>
    <row r="236">
      <c r="A236" s="1">
        <v>234.0</v>
      </c>
      <c r="B236" s="1" t="s">
        <v>404</v>
      </c>
      <c r="C236" s="3">
        <v>45562.805243055554</v>
      </c>
      <c r="D236" s="1">
        <v>123000.0</v>
      </c>
    </row>
    <row r="237">
      <c r="A237" s="1">
        <v>235.0</v>
      </c>
      <c r="B237" s="1" t="s">
        <v>404</v>
      </c>
      <c r="C237" s="3">
        <v>45563.56085648148</v>
      </c>
      <c r="D237" s="1">
        <v>0.0</v>
      </c>
    </row>
    <row r="238">
      <c r="A238" s="1">
        <v>236.0</v>
      </c>
      <c r="B238" s="1" t="s">
        <v>405</v>
      </c>
      <c r="C238" s="3">
        <v>45567.6874537037</v>
      </c>
      <c r="D238" s="1">
        <v>153600.0</v>
      </c>
    </row>
    <row r="239">
      <c r="A239" s="1">
        <v>237.0</v>
      </c>
      <c r="B239" s="1" t="s">
        <v>402</v>
      </c>
      <c r="C239" s="3">
        <v>45567.69248842593</v>
      </c>
      <c r="D239" s="1">
        <v>92400.0</v>
      </c>
    </row>
    <row r="240">
      <c r="A240" s="1">
        <v>238.0</v>
      </c>
      <c r="B240" s="1" t="s">
        <v>406</v>
      </c>
      <c r="C240" s="3">
        <v>45567.733831018515</v>
      </c>
      <c r="D240" s="1">
        <v>153600.0</v>
      </c>
    </row>
    <row r="241">
      <c r="A241" s="1">
        <v>239.0</v>
      </c>
      <c r="B241" s="1" t="s">
        <v>407</v>
      </c>
      <c r="C241" s="3">
        <v>45568.696909722225</v>
      </c>
      <c r="D241" s="1">
        <v>99000.0</v>
      </c>
    </row>
    <row r="242">
      <c r="A242" s="1">
        <v>240.0</v>
      </c>
      <c r="B242" s="1" t="s">
        <v>408</v>
      </c>
      <c r="C242" s="3">
        <v>45568.77376157408</v>
      </c>
      <c r="D242" s="1">
        <v>288000.0</v>
      </c>
    </row>
    <row r="243">
      <c r="A243" s="1">
        <v>241.0</v>
      </c>
      <c r="B243" s="1" t="s">
        <v>409</v>
      </c>
      <c r="C243" s="3">
        <v>45568.78403935185</v>
      </c>
      <c r="D243" s="1">
        <v>151000.0</v>
      </c>
    </row>
    <row r="244">
      <c r="A244" s="1">
        <v>242.0</v>
      </c>
      <c r="B244" s="1" t="s">
        <v>411</v>
      </c>
      <c r="C244" s="3">
        <v>45568.791030092594</v>
      </c>
      <c r="D244" s="1">
        <v>259000.0</v>
      </c>
    </row>
    <row r="245">
      <c r="A245" s="1">
        <v>243.0</v>
      </c>
      <c r="B245" s="1" t="s">
        <v>413</v>
      </c>
      <c r="C245" s="3">
        <v>45572.61418981481</v>
      </c>
      <c r="D245" s="1">
        <v>246000.0</v>
      </c>
    </row>
    <row r="246">
      <c r="A246" s="1">
        <v>244.0</v>
      </c>
      <c r="B246" s="1" t="s">
        <v>413</v>
      </c>
      <c r="C246" s="3">
        <v>45572.61555555555</v>
      </c>
      <c r="D246" s="1">
        <v>25000.0</v>
      </c>
    </row>
    <row r="247">
      <c r="A247" s="1">
        <v>245.0</v>
      </c>
      <c r="B247" s="1" t="s">
        <v>415</v>
      </c>
      <c r="C247" s="3">
        <v>45572.74234953704</v>
      </c>
      <c r="D247" s="1">
        <v>212000.0</v>
      </c>
    </row>
    <row r="248">
      <c r="A248" s="1">
        <v>246.0</v>
      </c>
      <c r="B248" s="1" t="s">
        <v>416</v>
      </c>
      <c r="C248" s="3">
        <v>45573.714525462965</v>
      </c>
      <c r="D248" s="1">
        <v>42000.0</v>
      </c>
    </row>
    <row r="249">
      <c r="A249" s="1">
        <v>247.0</v>
      </c>
      <c r="B249" s="1" t="s">
        <v>408</v>
      </c>
      <c r="C249" s="3">
        <v>45574.673796296294</v>
      </c>
      <c r="D249" s="1">
        <v>297000.0</v>
      </c>
    </row>
    <row r="250">
      <c r="A250" s="1">
        <v>248.0</v>
      </c>
      <c r="B250" s="1" t="s">
        <v>417</v>
      </c>
      <c r="C250" s="3">
        <v>45574.68934027778</v>
      </c>
      <c r="D250" s="1">
        <v>260000.0</v>
      </c>
    </row>
    <row r="251">
      <c r="A251" s="1">
        <v>249.0</v>
      </c>
      <c r="B251" s="1" t="s">
        <v>418</v>
      </c>
      <c r="C251" s="3">
        <v>45574.741435185184</v>
      </c>
      <c r="D251" s="1">
        <v>199000.0</v>
      </c>
    </row>
    <row r="252">
      <c r="A252" s="1">
        <v>250.0</v>
      </c>
      <c r="B252" s="1" t="s">
        <v>418</v>
      </c>
      <c r="C252" s="3">
        <v>45574.742893518516</v>
      </c>
      <c r="D252" s="1">
        <v>199000.0</v>
      </c>
    </row>
    <row r="253">
      <c r="A253" s="1">
        <v>251.0</v>
      </c>
      <c r="B253" s="1" t="s">
        <v>415</v>
      </c>
      <c r="C253" s="3">
        <v>45576.63104166667</v>
      </c>
      <c r="D253" s="1">
        <v>60000.0</v>
      </c>
    </row>
    <row r="254">
      <c r="A254" s="1">
        <v>252.0</v>
      </c>
      <c r="B254" s="1" t="s">
        <v>420</v>
      </c>
      <c r="C254" s="3">
        <v>45576.648206018515</v>
      </c>
      <c r="D254" s="1">
        <v>24200.0</v>
      </c>
    </row>
    <row r="255">
      <c r="A255" s="1">
        <v>253.0</v>
      </c>
      <c r="B255" s="1" t="s">
        <v>421</v>
      </c>
      <c r="C255" s="3">
        <v>45576.65038194445</v>
      </c>
      <c r="D255" s="1">
        <v>151800.0</v>
      </c>
    </row>
    <row r="256">
      <c r="A256" s="1">
        <v>254.0</v>
      </c>
      <c r="B256" s="1" t="s">
        <v>423</v>
      </c>
      <c r="C256" s="3">
        <v>45581.78790509259</v>
      </c>
      <c r="D256" s="1">
        <v>15000.0</v>
      </c>
    </row>
    <row r="257">
      <c r="A257" s="1">
        <v>255.0</v>
      </c>
      <c r="B257" s="1" t="s">
        <v>424</v>
      </c>
      <c r="C257" s="3">
        <v>45582.742118055554</v>
      </c>
      <c r="D257" s="1">
        <v>189400.0</v>
      </c>
    </row>
    <row r="258">
      <c r="A258" s="1">
        <v>256.0</v>
      </c>
      <c r="B258" s="1" t="s">
        <v>425</v>
      </c>
      <c r="C258" s="3">
        <v>45582.797581018516</v>
      </c>
      <c r="D258" s="1">
        <v>36000.0</v>
      </c>
    </row>
    <row r="259">
      <c r="A259" s="1">
        <v>257.0</v>
      </c>
      <c r="B259" s="1" t="s">
        <v>424</v>
      </c>
      <c r="C259" s="3">
        <v>45583.60361111111</v>
      </c>
      <c r="D259" s="1">
        <v>0.0</v>
      </c>
    </row>
    <row r="260">
      <c r="A260" s="1">
        <v>258.0</v>
      </c>
      <c r="B260" s="1" t="s">
        <v>426</v>
      </c>
      <c r="C260" s="3">
        <v>45583.71387731482</v>
      </c>
      <c r="D260" s="1">
        <v>161000.0</v>
      </c>
    </row>
    <row r="261">
      <c r="A261" s="1">
        <v>259.0</v>
      </c>
      <c r="B261" s="1" t="s">
        <v>427</v>
      </c>
      <c r="C261" s="3">
        <v>45584.58662037037</v>
      </c>
      <c r="D261" s="1">
        <v>310000.0</v>
      </c>
    </row>
    <row r="262">
      <c r="A262" s="1">
        <v>260.0</v>
      </c>
      <c r="B262" s="1" t="s">
        <v>428</v>
      </c>
      <c r="C262" s="3">
        <v>45586.55335648148</v>
      </c>
      <c r="D262" s="1">
        <v>100000.0</v>
      </c>
    </row>
    <row r="263">
      <c r="A263" s="1">
        <v>261.0</v>
      </c>
      <c r="B263" s="1" t="s">
        <v>430</v>
      </c>
      <c r="C263" s="3">
        <v>45587.68931712963</v>
      </c>
      <c r="D263" s="1">
        <v>101000.0</v>
      </c>
    </row>
    <row r="264">
      <c r="A264" s="1">
        <v>262.0</v>
      </c>
      <c r="B264" s="1" t="s">
        <v>424</v>
      </c>
      <c r="C264" s="3">
        <v>45587.72115740741</v>
      </c>
      <c r="D264" s="1">
        <v>189400.0</v>
      </c>
    </row>
    <row r="265">
      <c r="A265" s="1">
        <v>263.0</v>
      </c>
      <c r="B265" s="1" t="s">
        <v>429</v>
      </c>
      <c r="C265" s="3">
        <v>45587.72913194444</v>
      </c>
      <c r="D265" s="1">
        <v>395500.0</v>
      </c>
    </row>
    <row r="266">
      <c r="A266" s="1">
        <v>264.0</v>
      </c>
      <c r="B266" s="1" t="s">
        <v>417</v>
      </c>
      <c r="C266" s="3">
        <v>45587.730775462966</v>
      </c>
      <c r="D266" s="1">
        <v>72000.0</v>
      </c>
    </row>
    <row r="267">
      <c r="A267" s="1">
        <v>265.0</v>
      </c>
      <c r="B267" s="1" t="s">
        <v>426</v>
      </c>
      <c r="C267" s="3">
        <v>45587.73238425926</v>
      </c>
      <c r="D267" s="1">
        <v>11000.0</v>
      </c>
    </row>
    <row r="268">
      <c r="A268" s="1">
        <v>266.0</v>
      </c>
      <c r="B268" s="1" t="s">
        <v>432</v>
      </c>
      <c r="C268" s="3">
        <v>45588.62300925926</v>
      </c>
      <c r="D268" s="1">
        <v>152000.0</v>
      </c>
    </row>
    <row r="269">
      <c r="A269" s="1">
        <v>267.0</v>
      </c>
      <c r="B269" s="1" t="s">
        <v>433</v>
      </c>
      <c r="C269" s="3">
        <v>45589.57115740741</v>
      </c>
      <c r="D269" s="1">
        <v>36000.0</v>
      </c>
    </row>
    <row r="270">
      <c r="A270" s="1">
        <v>268.0</v>
      </c>
      <c r="B270" s="1" t="s">
        <v>434</v>
      </c>
      <c r="C270" s="3">
        <v>45589.69740740741</v>
      </c>
      <c r="D270" s="1">
        <v>42000.0</v>
      </c>
    </row>
    <row r="271">
      <c r="A271" s="1">
        <v>269.0</v>
      </c>
      <c r="B271" s="1" t="s">
        <v>435</v>
      </c>
      <c r="C271" s="3">
        <v>45590.60755787037</v>
      </c>
      <c r="D271" s="1">
        <v>177000.0</v>
      </c>
    </row>
    <row r="272">
      <c r="A272" s="1">
        <v>270.0</v>
      </c>
      <c r="B272" s="1" t="s">
        <v>436</v>
      </c>
      <c r="C272" s="3">
        <v>45593.612974537034</v>
      </c>
      <c r="D272" s="1">
        <v>98000.0</v>
      </c>
    </row>
    <row r="273">
      <c r="A273" s="1">
        <v>271.0</v>
      </c>
      <c r="B273" s="1" t="s">
        <v>437</v>
      </c>
      <c r="C273" s="3">
        <v>45593.72971064815</v>
      </c>
      <c r="D273" s="1">
        <v>145200.0</v>
      </c>
    </row>
    <row r="274">
      <c r="A274" s="1">
        <v>272.0</v>
      </c>
      <c r="B274" s="1" t="s">
        <v>361</v>
      </c>
      <c r="C274" s="3">
        <v>45594.696909722225</v>
      </c>
      <c r="D274" s="1">
        <v>30000.0</v>
      </c>
    </row>
    <row r="275">
      <c r="A275" s="1">
        <v>273.0</v>
      </c>
      <c r="B275" s="1" t="s">
        <v>438</v>
      </c>
      <c r="C275" s="3">
        <v>45594.72415509259</v>
      </c>
      <c r="D275" s="1">
        <v>111000.0</v>
      </c>
    </row>
    <row r="276">
      <c r="A276" s="1">
        <v>274.0</v>
      </c>
      <c r="B276" s="1" t="s">
        <v>438</v>
      </c>
      <c r="C276" s="3">
        <v>45594.72523148148</v>
      </c>
      <c r="D276" s="1">
        <v>0.0</v>
      </c>
    </row>
    <row r="277">
      <c r="A277" s="1">
        <v>275.0</v>
      </c>
      <c r="B277" s="1" t="s">
        <v>439</v>
      </c>
      <c r="C277" s="3">
        <v>45594.77736111111</v>
      </c>
      <c r="D277" s="1">
        <v>458000.0</v>
      </c>
    </row>
    <row r="278">
      <c r="A278" s="1">
        <v>276.0</v>
      </c>
      <c r="B278" s="1" t="s">
        <v>441</v>
      </c>
      <c r="C278" s="3">
        <v>45594.81267361111</v>
      </c>
      <c r="D278" s="1">
        <v>410000.0</v>
      </c>
    </row>
    <row r="279">
      <c r="A279" s="1">
        <v>277.0</v>
      </c>
      <c r="B279" s="1" t="s">
        <v>440</v>
      </c>
      <c r="C279" s="3">
        <v>45595.69152777778</v>
      </c>
      <c r="D279" s="1">
        <v>458000.0</v>
      </c>
    </row>
    <row r="280">
      <c r="A280" s="1">
        <v>278.0</v>
      </c>
      <c r="B280" s="1" t="s">
        <v>442</v>
      </c>
      <c r="C280" s="3">
        <v>45595.77678240741</v>
      </c>
      <c r="D280" s="1">
        <v>325200.0</v>
      </c>
    </row>
    <row r="281">
      <c r="A281" s="1">
        <v>279.0</v>
      </c>
      <c r="B281" s="1" t="s">
        <v>444</v>
      </c>
      <c r="C281" s="3">
        <v>45595.78334490741</v>
      </c>
      <c r="D281" s="1">
        <v>240000.0</v>
      </c>
    </row>
    <row r="282">
      <c r="A282" s="1">
        <v>280.0</v>
      </c>
      <c r="B282" s="1" t="s">
        <v>445</v>
      </c>
      <c r="C282" s="3">
        <v>45595.79131944444</v>
      </c>
      <c r="D282" s="1">
        <v>145300.0</v>
      </c>
    </row>
    <row r="283">
      <c r="A283" s="1">
        <v>281.0</v>
      </c>
      <c r="B283" s="1" t="s">
        <v>447</v>
      </c>
      <c r="C283" s="3">
        <v>45596.54126157407</v>
      </c>
      <c r="D283" s="1">
        <v>111000.0</v>
      </c>
    </row>
    <row r="284">
      <c r="A284" s="1">
        <v>282.0</v>
      </c>
      <c r="B284" s="1" t="s">
        <v>427</v>
      </c>
      <c r="C284" s="3">
        <v>45597.57630787037</v>
      </c>
      <c r="D284" s="1">
        <v>0.0</v>
      </c>
    </row>
    <row r="285">
      <c r="A285" s="1">
        <v>283.0</v>
      </c>
      <c r="B285" s="1" t="s">
        <v>445</v>
      </c>
      <c r="C285" s="3">
        <v>45597.78716435185</v>
      </c>
      <c r="D285" s="1">
        <v>30000.0</v>
      </c>
    </row>
    <row r="286">
      <c r="A286" s="1">
        <v>284.0</v>
      </c>
      <c r="B286" s="1" t="s">
        <v>437</v>
      </c>
      <c r="C286" s="3">
        <v>45597.800462962965</v>
      </c>
      <c r="D286" s="1">
        <v>181000.0</v>
      </c>
    </row>
    <row r="287">
      <c r="A287" s="1">
        <v>285.0</v>
      </c>
      <c r="B287" s="1" t="s">
        <v>442</v>
      </c>
      <c r="C287" s="3">
        <v>45600.620462962965</v>
      </c>
      <c r="D287" s="1">
        <v>43200.0</v>
      </c>
    </row>
    <row r="288">
      <c r="A288" s="1">
        <v>286.0</v>
      </c>
      <c r="B288" s="1" t="s">
        <v>447</v>
      </c>
      <c r="C288" s="3">
        <v>45600.655543981484</v>
      </c>
      <c r="D288" s="1">
        <v>111500.0</v>
      </c>
    </row>
    <row r="289">
      <c r="A289" s="1">
        <v>287.0</v>
      </c>
      <c r="B289" s="1" t="s">
        <v>448</v>
      </c>
      <c r="C289" s="3">
        <v>45601.56711805556</v>
      </c>
      <c r="D289" s="1">
        <v>17000.0</v>
      </c>
    </row>
    <row r="290">
      <c r="A290" s="1">
        <v>288.0</v>
      </c>
      <c r="B290" s="1" t="s">
        <v>449</v>
      </c>
      <c r="C290" s="3">
        <v>45601.58008101852</v>
      </c>
      <c r="D290" s="1">
        <v>147000.0</v>
      </c>
    </row>
    <row r="291">
      <c r="A291" s="1">
        <v>289.0</v>
      </c>
      <c r="B291" s="1" t="s">
        <v>452</v>
      </c>
      <c r="C291" s="3">
        <v>45602.77172453704</v>
      </c>
      <c r="D291" s="1">
        <v>176000.0</v>
      </c>
    </row>
    <row r="292">
      <c r="A292" s="1">
        <v>290.0</v>
      </c>
      <c r="B292" s="1" t="s">
        <v>453</v>
      </c>
      <c r="C292" s="3">
        <v>45602.79010416667</v>
      </c>
      <c r="D292" s="1">
        <v>250000.0</v>
      </c>
    </row>
    <row r="293">
      <c r="A293" s="1">
        <v>291.0</v>
      </c>
      <c r="B293" s="1" t="s">
        <v>455</v>
      </c>
      <c r="C293" s="3">
        <v>45603.53891203704</v>
      </c>
      <c r="D293" s="1">
        <v>565900.0</v>
      </c>
    </row>
    <row r="294">
      <c r="A294" s="1">
        <v>292.0</v>
      </c>
      <c r="B294" s="1" t="s">
        <v>457</v>
      </c>
      <c r="C294" s="3">
        <v>45604.66552083333</v>
      </c>
      <c r="D294" s="1">
        <v>101000.0</v>
      </c>
    </row>
    <row r="295">
      <c r="A295" s="1">
        <v>293.0</v>
      </c>
      <c r="B295" s="1" t="s">
        <v>459</v>
      </c>
      <c r="C295" s="3">
        <v>45604.72998842593</v>
      </c>
      <c r="D295" s="1">
        <v>145000.0</v>
      </c>
    </row>
    <row r="296">
      <c r="A296" s="1">
        <v>294.0</v>
      </c>
      <c r="B296" s="1" t="s">
        <v>460</v>
      </c>
      <c r="C296" s="3">
        <v>45604.762650462966</v>
      </c>
      <c r="D296" s="1">
        <v>183600.0</v>
      </c>
    </row>
    <row r="297">
      <c r="A297" s="1">
        <v>295.0</v>
      </c>
      <c r="B297" s="1" t="s">
        <v>463</v>
      </c>
      <c r="C297" s="3">
        <v>45607.7109375</v>
      </c>
      <c r="D297" s="1">
        <v>0.0</v>
      </c>
    </row>
    <row r="298">
      <c r="A298" s="1">
        <v>296.0</v>
      </c>
      <c r="B298" s="1" t="s">
        <v>188</v>
      </c>
      <c r="C298" s="3">
        <v>45607.7716087963</v>
      </c>
      <c r="D298" s="1">
        <v>210647.0</v>
      </c>
    </row>
    <row r="299">
      <c r="A299" s="1">
        <v>297.0</v>
      </c>
      <c r="B299" s="1" t="s">
        <v>464</v>
      </c>
      <c r="C299" s="3">
        <v>45607.78121527778</v>
      </c>
      <c r="D299" s="1">
        <v>270000.0</v>
      </c>
    </row>
    <row r="300">
      <c r="A300" s="1">
        <v>298.0</v>
      </c>
      <c r="B300" s="1" t="s">
        <v>465</v>
      </c>
      <c r="C300" s="3">
        <v>45608.587233796294</v>
      </c>
      <c r="D300" s="1">
        <v>213000.0</v>
      </c>
    </row>
    <row r="301">
      <c r="A301" s="1">
        <v>299.0</v>
      </c>
      <c r="B301" s="1" t="s">
        <v>466</v>
      </c>
      <c r="C301" s="3">
        <v>45609.558969907404</v>
      </c>
      <c r="D301" s="1">
        <v>240000.0</v>
      </c>
    </row>
    <row r="302">
      <c r="A302" s="1">
        <v>300.0</v>
      </c>
      <c r="B302" s="1" t="s">
        <v>467</v>
      </c>
      <c r="C302" s="3">
        <v>45609.744733796295</v>
      </c>
      <c r="D302" s="1">
        <v>108000.0</v>
      </c>
    </row>
    <row r="303">
      <c r="A303" s="1">
        <v>301.0</v>
      </c>
      <c r="B303" s="1" t="s">
        <v>469</v>
      </c>
      <c r="C303" s="3">
        <v>45609.76914351852</v>
      </c>
      <c r="D303" s="1">
        <v>117600.0</v>
      </c>
    </row>
    <row r="304">
      <c r="A304" s="1">
        <v>302.0</v>
      </c>
      <c r="B304" s="1" t="s">
        <v>471</v>
      </c>
      <c r="C304" s="3">
        <v>45609.77681712963</v>
      </c>
      <c r="D304" s="1">
        <v>445500.0</v>
      </c>
    </row>
    <row r="305">
      <c r="A305" s="1">
        <v>303.0</v>
      </c>
      <c r="B305" s="1" t="s">
        <v>472</v>
      </c>
      <c r="C305" s="3">
        <v>45610.68314814815</v>
      </c>
      <c r="D305" s="1">
        <v>210000.0</v>
      </c>
    </row>
    <row r="306">
      <c r="A306" s="1">
        <v>304.0</v>
      </c>
      <c r="B306" s="1" t="s">
        <v>474</v>
      </c>
      <c r="C306" s="3">
        <v>45611.51814814815</v>
      </c>
      <c r="D306" s="1">
        <v>534000.0</v>
      </c>
    </row>
    <row r="307">
      <c r="A307" s="1">
        <v>305.0</v>
      </c>
      <c r="B307" s="1" t="s">
        <v>475</v>
      </c>
      <c r="C307" s="3">
        <v>45618.75923611111</v>
      </c>
      <c r="D307" s="1">
        <v>84000.0</v>
      </c>
    </row>
    <row r="308">
      <c r="A308" s="1">
        <v>306.0</v>
      </c>
      <c r="B308" s="1" t="s">
        <v>476</v>
      </c>
      <c r="C308" s="3">
        <v>45618.76907407407</v>
      </c>
      <c r="D308" s="1">
        <v>167200.0</v>
      </c>
    </row>
    <row r="309">
      <c r="A309" s="1">
        <v>307.0</v>
      </c>
      <c r="B309" s="1" t="s">
        <v>477</v>
      </c>
      <c r="C309" s="3">
        <v>45618.77025462963</v>
      </c>
      <c r="D309" s="1">
        <v>143000.0</v>
      </c>
    </row>
    <row r="310">
      <c r="A310" s="1">
        <v>308.0</v>
      </c>
      <c r="B310" s="1" t="s">
        <v>478</v>
      </c>
      <c r="C310" s="3">
        <v>45618.771261574075</v>
      </c>
      <c r="D310" s="1">
        <v>80000.0</v>
      </c>
    </row>
    <row r="311">
      <c r="A311" s="1">
        <v>309.0</v>
      </c>
      <c r="B311" s="1" t="s">
        <v>479</v>
      </c>
      <c r="C311" s="3">
        <v>45621.44534722222</v>
      </c>
      <c r="D311" s="1">
        <v>182460.0</v>
      </c>
    </row>
    <row r="312">
      <c r="A312" s="1">
        <v>310.0</v>
      </c>
      <c r="B312" s="1" t="s">
        <v>482</v>
      </c>
      <c r="C312" s="3">
        <v>45621.448969907404</v>
      </c>
      <c r="D312" s="1">
        <v>117000.0</v>
      </c>
    </row>
    <row r="313">
      <c r="A313" s="1">
        <v>311.0</v>
      </c>
      <c r="B313" s="1" t="s">
        <v>484</v>
      </c>
      <c r="C313" s="3">
        <v>45621.66568287037</v>
      </c>
      <c r="D313" s="1">
        <v>694200.0</v>
      </c>
    </row>
    <row r="314">
      <c r="A314" s="1">
        <v>312.0</v>
      </c>
      <c r="B314" s="1" t="s">
        <v>485</v>
      </c>
      <c r="C314" s="3">
        <v>45621.80668981482</v>
      </c>
      <c r="D314" s="1">
        <v>197000.0</v>
      </c>
    </row>
    <row r="315">
      <c r="A315" s="1">
        <v>313.0</v>
      </c>
      <c r="B315" s="1" t="s">
        <v>486</v>
      </c>
      <c r="C315" s="3">
        <v>45623.71842592592</v>
      </c>
      <c r="D315" s="1">
        <v>161900.0</v>
      </c>
    </row>
    <row r="316">
      <c r="A316" s="1">
        <v>314.0</v>
      </c>
      <c r="B316" s="1" t="s">
        <v>487</v>
      </c>
      <c r="C316" s="3">
        <v>45624.39134259259</v>
      </c>
      <c r="D316" s="1">
        <v>269000.0</v>
      </c>
    </row>
    <row r="317">
      <c r="A317" s="1">
        <v>315.0</v>
      </c>
      <c r="B317" s="1" t="s">
        <v>489</v>
      </c>
      <c r="C317" s="3">
        <v>45625.78533564815</v>
      </c>
      <c r="D317" s="1">
        <v>402498.0</v>
      </c>
    </row>
    <row r="318">
      <c r="A318" s="1">
        <v>316.0</v>
      </c>
      <c r="B318" s="1" t="s">
        <v>490</v>
      </c>
      <c r="C318" s="3">
        <v>45625.79278935185</v>
      </c>
      <c r="D318" s="1">
        <v>232500.0</v>
      </c>
    </row>
    <row r="319">
      <c r="A319" s="1">
        <v>317.0</v>
      </c>
      <c r="B319" s="1" t="s">
        <v>491</v>
      </c>
      <c r="C319" s="3">
        <v>45628.68844907408</v>
      </c>
      <c r="D319" s="1">
        <v>77000.0</v>
      </c>
    </row>
    <row r="320">
      <c r="A320" s="1">
        <v>318.0</v>
      </c>
      <c r="B320" s="1" t="s">
        <v>492</v>
      </c>
      <c r="C320" s="3">
        <v>45628.71925925926</v>
      </c>
      <c r="D320" s="1">
        <v>402000.0</v>
      </c>
    </row>
    <row r="321">
      <c r="A321" s="1">
        <v>319.0</v>
      </c>
      <c r="B321" s="1" t="s">
        <v>493</v>
      </c>
      <c r="C321" s="3">
        <v>45629.714421296296</v>
      </c>
      <c r="D321" s="1">
        <v>67000.0</v>
      </c>
    </row>
    <row r="322">
      <c r="A322" s="1">
        <v>320.0</v>
      </c>
      <c r="B322" s="1" t="s">
        <v>494</v>
      </c>
      <c r="C322" s="3">
        <v>45629.72059027778</v>
      </c>
      <c r="D322" s="1">
        <v>128000.0</v>
      </c>
    </row>
    <row r="323">
      <c r="A323" s="1">
        <v>321.0</v>
      </c>
      <c r="B323" s="1" t="s">
        <v>495</v>
      </c>
      <c r="C323" s="3">
        <v>45635.457662037035</v>
      </c>
      <c r="D323" s="1">
        <v>72000.0</v>
      </c>
    </row>
    <row r="324">
      <c r="A324" s="1">
        <v>322.0</v>
      </c>
      <c r="B324" s="1" t="s">
        <v>496</v>
      </c>
      <c r="C324" s="3">
        <v>45635.462222222224</v>
      </c>
      <c r="D324" s="1">
        <v>298000.0</v>
      </c>
    </row>
    <row r="325">
      <c r="A325" s="1">
        <v>323.0</v>
      </c>
      <c r="B325" s="1" t="s">
        <v>497</v>
      </c>
      <c r="C325" s="3">
        <v>45656.70471064815</v>
      </c>
      <c r="D325" s="1">
        <v>695000.0</v>
      </c>
    </row>
    <row r="326">
      <c r="A326" s="1">
        <v>324.0</v>
      </c>
      <c r="B326" s="1" t="s">
        <v>498</v>
      </c>
      <c r="C326" s="3">
        <v>45656.708391203705</v>
      </c>
      <c r="D326" s="1">
        <v>190000.0</v>
      </c>
    </row>
    <row r="327">
      <c r="A327" s="1">
        <v>325.0</v>
      </c>
      <c r="B327" s="1" t="s">
        <v>499</v>
      </c>
      <c r="C327" s="3">
        <v>45656.70966435185</v>
      </c>
      <c r="D327" s="1">
        <v>41400.0</v>
      </c>
    </row>
    <row r="328">
      <c r="A328" s="1">
        <v>326.0</v>
      </c>
      <c r="B328" s="1" t="s">
        <v>500</v>
      </c>
      <c r="C328" s="3">
        <v>45656.71150462963</v>
      </c>
      <c r="D328" s="1">
        <v>135000.0</v>
      </c>
    </row>
    <row r="329">
      <c r="A329" s="1">
        <v>327.0</v>
      </c>
      <c r="B329" s="1" t="s">
        <v>501</v>
      </c>
      <c r="C329" s="3">
        <v>45656.71394675926</v>
      </c>
      <c r="D329" s="1">
        <v>306000.0</v>
      </c>
    </row>
    <row r="330">
      <c r="A330" s="1">
        <v>328.0</v>
      </c>
      <c r="B330" s="1" t="s">
        <v>48</v>
      </c>
      <c r="C330" s="3">
        <v>45656.716469907406</v>
      </c>
      <c r="D330" s="1">
        <v>272700.0</v>
      </c>
    </row>
    <row r="331">
      <c r="A331" s="1">
        <v>329.0</v>
      </c>
      <c r="B331" s="1" t="s">
        <v>503</v>
      </c>
      <c r="C331" s="3">
        <v>45656.71884259259</v>
      </c>
      <c r="D331" s="1">
        <v>87000.0</v>
      </c>
    </row>
    <row r="332">
      <c r="A332" s="1">
        <v>330.0</v>
      </c>
      <c r="B332" s="1" t="s">
        <v>504</v>
      </c>
      <c r="C332" s="3">
        <v>45656.720821759256</v>
      </c>
      <c r="D332" s="1">
        <v>522500.0</v>
      </c>
    </row>
    <row r="333">
      <c r="A333" s="1">
        <v>331.0</v>
      </c>
      <c r="B333" s="1" t="s">
        <v>505</v>
      </c>
      <c r="C333" s="3">
        <v>45656.72392361111</v>
      </c>
      <c r="D333" s="1">
        <v>224700.0</v>
      </c>
    </row>
    <row r="334">
      <c r="A334" s="1">
        <v>332.0</v>
      </c>
      <c r="B334" s="1" t="s">
        <v>506</v>
      </c>
      <c r="C334" s="3">
        <v>45656.72541666667</v>
      </c>
      <c r="D334" s="1">
        <v>405000.0</v>
      </c>
    </row>
    <row r="335">
      <c r="A335" s="1">
        <v>333.0</v>
      </c>
      <c r="B335" s="1" t="s">
        <v>507</v>
      </c>
      <c r="C335" s="3">
        <v>45656.734606481485</v>
      </c>
      <c r="D335" s="1">
        <v>384000.0</v>
      </c>
    </row>
    <row r="336">
      <c r="A336" s="1">
        <v>334.0</v>
      </c>
      <c r="B336" s="1" t="s">
        <v>508</v>
      </c>
      <c r="C336" s="3">
        <v>45656.73736111111</v>
      </c>
      <c r="D336" s="1">
        <v>460000.0</v>
      </c>
    </row>
    <row r="337">
      <c r="A337" s="1">
        <v>335.0</v>
      </c>
      <c r="B337" s="1" t="s">
        <v>509</v>
      </c>
      <c r="C337" s="3">
        <v>45656.7403587963</v>
      </c>
      <c r="D337" s="1">
        <v>60000.0</v>
      </c>
    </row>
    <row r="338">
      <c r="A338" s="1">
        <v>336.0</v>
      </c>
      <c r="B338" s="1" t="s">
        <v>510</v>
      </c>
      <c r="C338" s="3">
        <v>45656.74123842592</v>
      </c>
      <c r="D338" s="1">
        <v>100000.0</v>
      </c>
    </row>
    <row r="339">
      <c r="A339" s="1">
        <v>337.0</v>
      </c>
      <c r="B339" s="1" t="s">
        <v>511</v>
      </c>
      <c r="C339" s="3">
        <v>45656.74434027778</v>
      </c>
      <c r="D339" s="1">
        <v>119000.0</v>
      </c>
    </row>
    <row r="340">
      <c r="A340" s="1">
        <v>338.0</v>
      </c>
      <c r="B340" s="1" t="s">
        <v>512</v>
      </c>
      <c r="C340" s="3">
        <v>45656.74752314815</v>
      </c>
      <c r="D340" s="1">
        <v>55717.0</v>
      </c>
    </row>
    <row r="341">
      <c r="A341" s="1">
        <v>339.0</v>
      </c>
      <c r="B341" s="1" t="s">
        <v>513</v>
      </c>
      <c r="C341" s="3">
        <v>45656.74925925926</v>
      </c>
      <c r="D341" s="1">
        <v>524000.0</v>
      </c>
    </row>
    <row r="342">
      <c r="A342" s="1">
        <v>340.0</v>
      </c>
      <c r="B342" s="1" t="s">
        <v>514</v>
      </c>
      <c r="C342" s="3">
        <v>45656.75103009259</v>
      </c>
      <c r="D342" s="1">
        <v>100000.0</v>
      </c>
    </row>
    <row r="343">
      <c r="A343" s="1">
        <v>341.0</v>
      </c>
      <c r="B343" s="1" t="s">
        <v>515</v>
      </c>
      <c r="C343" s="3">
        <v>45656.75234953704</v>
      </c>
      <c r="D343" s="1">
        <v>177623.0</v>
      </c>
    </row>
    <row r="344">
      <c r="A344" s="1">
        <v>342.0</v>
      </c>
      <c r="B344" s="1" t="s">
        <v>516</v>
      </c>
      <c r="C344" s="3">
        <v>45656.76123842593</v>
      </c>
      <c r="D344" s="1">
        <v>443000.0</v>
      </c>
    </row>
    <row r="345">
      <c r="A345" s="1">
        <v>343.0</v>
      </c>
      <c r="B345" s="1" t="s">
        <v>517</v>
      </c>
      <c r="C345" s="3">
        <v>45656.762824074074</v>
      </c>
      <c r="D345" s="1">
        <v>446000.0</v>
      </c>
    </row>
    <row r="346">
      <c r="A346" s="1">
        <v>344.0</v>
      </c>
      <c r="B346" s="1" t="s">
        <v>518</v>
      </c>
      <c r="C346" s="3">
        <v>45656.764016203706</v>
      </c>
      <c r="D346" s="1">
        <v>420500.0</v>
      </c>
    </row>
    <row r="347">
      <c r="A347" s="1">
        <v>345.0</v>
      </c>
      <c r="B347" s="1" t="s">
        <v>519</v>
      </c>
      <c r="C347" s="3">
        <v>45656.766550925924</v>
      </c>
      <c r="D347" s="1">
        <v>88000.0</v>
      </c>
    </row>
    <row r="348">
      <c r="A348" s="1">
        <v>346.0</v>
      </c>
      <c r="B348" s="1" t="s">
        <v>520</v>
      </c>
      <c r="C348" s="3">
        <v>45656.76758101852</v>
      </c>
      <c r="D348" s="1">
        <v>348000.0</v>
      </c>
    </row>
    <row r="349">
      <c r="A349" s="1">
        <v>347.0</v>
      </c>
      <c r="B349" s="1" t="s">
        <v>521</v>
      </c>
      <c r="C349" s="3">
        <v>45656.7690625</v>
      </c>
      <c r="D349" s="1">
        <v>264000.0</v>
      </c>
    </row>
    <row r="350">
      <c r="A350" s="1">
        <v>348.0</v>
      </c>
      <c r="B350" s="1" t="s">
        <v>522</v>
      </c>
      <c r="C350" s="3">
        <v>45656.77027777778</v>
      </c>
      <c r="D350" s="1">
        <v>360000.0</v>
      </c>
    </row>
    <row r="351">
      <c r="A351" s="1">
        <v>349.0</v>
      </c>
      <c r="B351" s="1" t="s">
        <v>523</v>
      </c>
      <c r="C351" s="3">
        <v>45656.770949074074</v>
      </c>
      <c r="D351" s="1">
        <v>120000.0</v>
      </c>
    </row>
    <row r="352">
      <c r="A352" s="1">
        <v>350.0</v>
      </c>
      <c r="B352" s="1" t="s">
        <v>524</v>
      </c>
      <c r="C352" s="3">
        <v>45656.771886574075</v>
      </c>
      <c r="D352" s="1">
        <v>145000.0</v>
      </c>
    </row>
    <row r="353">
      <c r="A353" s="1">
        <v>351.0</v>
      </c>
      <c r="B353" s="1" t="s">
        <v>525</v>
      </c>
      <c r="C353" s="3">
        <v>45656.77297453704</v>
      </c>
      <c r="D353" s="1">
        <v>480500.0</v>
      </c>
    </row>
    <row r="354">
      <c r="A354" s="1">
        <v>352.0</v>
      </c>
      <c r="B354" s="1" t="s">
        <v>526</v>
      </c>
      <c r="C354" s="3">
        <v>45656.774201388886</v>
      </c>
      <c r="D354" s="1">
        <v>50000.0</v>
      </c>
    </row>
    <row r="355">
      <c r="A355" s="1">
        <v>353.0</v>
      </c>
      <c r="B355" s="1" t="s">
        <v>527</v>
      </c>
      <c r="C355" s="3">
        <v>45656.779282407406</v>
      </c>
      <c r="D355" s="1">
        <v>455500.0</v>
      </c>
    </row>
    <row r="356">
      <c r="A356" s="1">
        <v>354.0</v>
      </c>
      <c r="B356" s="1" t="s">
        <v>528</v>
      </c>
      <c r="C356" s="3">
        <v>45656.781006944446</v>
      </c>
      <c r="D356" s="1">
        <v>229000.0</v>
      </c>
    </row>
    <row r="357">
      <c r="A357" s="1">
        <v>355.0</v>
      </c>
      <c r="B357" s="1" t="s">
        <v>421</v>
      </c>
      <c r="C357" s="3">
        <v>45656.782488425924</v>
      </c>
      <c r="D357" s="1">
        <v>120000.0</v>
      </c>
    </row>
    <row r="358">
      <c r="A358" s="1">
        <v>356.0</v>
      </c>
      <c r="B358" s="1" t="s">
        <v>531</v>
      </c>
      <c r="C358" s="3">
        <v>45684.556863425925</v>
      </c>
      <c r="D358" s="1">
        <v>144000.0</v>
      </c>
    </row>
    <row r="359">
      <c r="A359" s="1">
        <v>357.0</v>
      </c>
      <c r="B359" s="1" t="s">
        <v>533</v>
      </c>
      <c r="C359" s="3">
        <v>45685.4675</v>
      </c>
      <c r="D359" s="1">
        <v>189000.0</v>
      </c>
    </row>
    <row r="360">
      <c r="A360" s="1">
        <v>358.0</v>
      </c>
      <c r="B360" s="1" t="s">
        <v>515</v>
      </c>
      <c r="C360" s="3">
        <v>45685.474583333336</v>
      </c>
      <c r="D360" s="1">
        <v>230000.0</v>
      </c>
    </row>
    <row r="361">
      <c r="A361" s="1">
        <v>359.0</v>
      </c>
      <c r="B361" s="1" t="s">
        <v>515</v>
      </c>
      <c r="C361" s="3">
        <v>45685.47630787037</v>
      </c>
      <c r="D361" s="1">
        <v>230000.0</v>
      </c>
    </row>
    <row r="362">
      <c r="A362" s="1">
        <v>360.0</v>
      </c>
      <c r="B362" s="1" t="s">
        <v>398</v>
      </c>
      <c r="C362" s="3">
        <v>45685.48646990741</v>
      </c>
      <c r="D362" s="1">
        <v>45000.0</v>
      </c>
    </row>
    <row r="363">
      <c r="A363" s="1">
        <v>361.0</v>
      </c>
      <c r="B363" s="1" t="s">
        <v>535</v>
      </c>
      <c r="C363" s="3">
        <v>45685.49215277778</v>
      </c>
      <c r="D363" s="1">
        <v>75000.0</v>
      </c>
    </row>
    <row r="364">
      <c r="A364" s="1">
        <v>362.0</v>
      </c>
      <c r="B364" s="1" t="s">
        <v>537</v>
      </c>
      <c r="C364" s="3">
        <v>45687.73028935185</v>
      </c>
      <c r="D364" s="1">
        <v>30000.0</v>
      </c>
    </row>
    <row r="365">
      <c r="A365" s="1">
        <v>363.0</v>
      </c>
      <c r="B365" s="1" t="s">
        <v>539</v>
      </c>
      <c r="C365" s="3">
        <v>45687.748460648145</v>
      </c>
      <c r="D365" s="1">
        <v>609000.0</v>
      </c>
    </row>
    <row r="366">
      <c r="A366" s="1">
        <v>364.0</v>
      </c>
      <c r="B366" s="1" t="s">
        <v>541</v>
      </c>
      <c r="C366" s="3">
        <v>45687.76105324074</v>
      </c>
      <c r="D366" s="1">
        <v>210000.0</v>
      </c>
    </row>
    <row r="367">
      <c r="A367" s="1">
        <v>365.0</v>
      </c>
      <c r="B367" s="1" t="s">
        <v>542</v>
      </c>
      <c r="C367" s="3">
        <v>45687.76574074074</v>
      </c>
      <c r="D367" s="1">
        <v>166000.0</v>
      </c>
    </row>
    <row r="368">
      <c r="A368" s="1">
        <v>366.0</v>
      </c>
      <c r="B368" s="1" t="s">
        <v>543</v>
      </c>
      <c r="C368" s="3">
        <v>45687.77297453704</v>
      </c>
      <c r="D368" s="1">
        <v>157000.0</v>
      </c>
    </row>
    <row r="369">
      <c r="A369" s="1">
        <v>367.0</v>
      </c>
      <c r="B369" s="1" t="s">
        <v>545</v>
      </c>
      <c r="C369" s="3">
        <v>45687.797268518516</v>
      </c>
      <c r="D369" s="1">
        <v>113000.0</v>
      </c>
    </row>
    <row r="370">
      <c r="A370" s="1">
        <v>368.0</v>
      </c>
      <c r="B370" s="1" t="s">
        <v>546</v>
      </c>
      <c r="C370" s="3">
        <v>45687.81248842592</v>
      </c>
      <c r="D370" s="1">
        <v>112000.0</v>
      </c>
    </row>
    <row r="371">
      <c r="A371" s="1">
        <v>369.0</v>
      </c>
      <c r="B371" s="1" t="s">
        <v>547</v>
      </c>
      <c r="C371" s="3">
        <v>45687.45649305556</v>
      </c>
      <c r="D371" s="1">
        <v>112000.0</v>
      </c>
    </row>
    <row r="372">
      <c r="A372" s="1">
        <v>370.0</v>
      </c>
      <c r="B372" s="1" t="s">
        <v>548</v>
      </c>
      <c r="C372" s="3">
        <v>45687.45649305556</v>
      </c>
      <c r="D372" s="1">
        <v>624000.0</v>
      </c>
    </row>
    <row r="373">
      <c r="A373" s="1">
        <v>371.0</v>
      </c>
      <c r="B373" s="1" t="s">
        <v>212</v>
      </c>
      <c r="C373" s="3">
        <v>45687.45649305556</v>
      </c>
      <c r="D373" s="1">
        <v>455000.0</v>
      </c>
    </row>
    <row r="374">
      <c r="A374" s="1">
        <v>372.0</v>
      </c>
      <c r="B374" s="1" t="s">
        <v>550</v>
      </c>
      <c r="C374" s="3">
        <v>45687.45649305556</v>
      </c>
      <c r="D374" s="1">
        <v>920000.0</v>
      </c>
    </row>
    <row r="375">
      <c r="A375" s="1">
        <v>373.0</v>
      </c>
      <c r="B375" s="1" t="s">
        <v>551</v>
      </c>
      <c r="C375" s="3">
        <v>45687.45649305556</v>
      </c>
      <c r="D375" s="1">
        <v>147000.0</v>
      </c>
    </row>
    <row r="376">
      <c r="A376" s="1">
        <v>374.0</v>
      </c>
      <c r="B376" s="1" t="s">
        <v>552</v>
      </c>
      <c r="C376" s="3">
        <v>45687.45649305556</v>
      </c>
      <c r="D376" s="1">
        <v>309000.0</v>
      </c>
    </row>
    <row r="377">
      <c r="A377" s="1">
        <v>375.0</v>
      </c>
      <c r="B377" s="1" t="s">
        <v>553</v>
      </c>
      <c r="C377" s="3">
        <v>45687.45649305556</v>
      </c>
      <c r="D377" s="1">
        <v>546000.0</v>
      </c>
    </row>
    <row r="378">
      <c r="A378" s="1">
        <v>376.0</v>
      </c>
      <c r="B378" s="1" t="s">
        <v>554</v>
      </c>
      <c r="C378" s="3">
        <v>45687.45649305556</v>
      </c>
      <c r="D378" s="1">
        <v>118000.0</v>
      </c>
    </row>
    <row r="379">
      <c r="A379" s="1">
        <v>377.0</v>
      </c>
      <c r="B379" s="1" t="s">
        <v>556</v>
      </c>
      <c r="C379" s="3">
        <v>45687.45649305556</v>
      </c>
      <c r="D379" s="1">
        <v>476500.0</v>
      </c>
    </row>
    <row r="380">
      <c r="A380" s="1">
        <v>378.0</v>
      </c>
      <c r="B380" s="1" t="s">
        <v>557</v>
      </c>
      <c r="C380" s="3">
        <v>45687.45649305556</v>
      </c>
      <c r="D380" s="1">
        <v>185000.0</v>
      </c>
    </row>
    <row r="381">
      <c r="A381" s="1">
        <v>379.0</v>
      </c>
      <c r="B381" s="1" t="s">
        <v>558</v>
      </c>
      <c r="C381" s="3">
        <v>45687.45649305556</v>
      </c>
      <c r="D381" s="1">
        <v>178000.0</v>
      </c>
    </row>
    <row r="382">
      <c r="A382" s="1">
        <v>380.0</v>
      </c>
      <c r="B382" s="1" t="s">
        <v>559</v>
      </c>
      <c r="C382" s="3">
        <v>45687.45649305556</v>
      </c>
      <c r="D382" s="1">
        <v>75000.0</v>
      </c>
    </row>
    <row r="383">
      <c r="A383" s="1">
        <v>381.0</v>
      </c>
      <c r="B383" s="1" t="s">
        <v>560</v>
      </c>
      <c r="C383" s="3">
        <v>45687.45649305556</v>
      </c>
      <c r="D383" s="1">
        <v>18000.0</v>
      </c>
    </row>
    <row r="384">
      <c r="A384" s="1">
        <v>382.0</v>
      </c>
      <c r="B384" s="1" t="s">
        <v>561</v>
      </c>
      <c r="C384" s="3">
        <v>45687.45649305556</v>
      </c>
      <c r="D384" s="1">
        <v>458500.0</v>
      </c>
    </row>
    <row r="385">
      <c r="A385" s="1">
        <v>383.0</v>
      </c>
      <c r="B385" s="1" t="s">
        <v>562</v>
      </c>
      <c r="C385" s="3">
        <v>45687.45649305556</v>
      </c>
      <c r="D385" s="1">
        <v>42000.0</v>
      </c>
    </row>
    <row r="386">
      <c r="A386" s="1">
        <v>384.0</v>
      </c>
      <c r="B386" s="1" t="s">
        <v>563</v>
      </c>
      <c r="C386" s="3">
        <v>45687.45649305556</v>
      </c>
      <c r="D386" s="1">
        <v>20000.0</v>
      </c>
    </row>
    <row r="387">
      <c r="A387" s="1">
        <v>385.0</v>
      </c>
      <c r="B387" s="1" t="s">
        <v>564</v>
      </c>
      <c r="C387" s="3">
        <v>45687.45649305556</v>
      </c>
      <c r="D387" s="1">
        <v>153900.0</v>
      </c>
    </row>
    <row r="388">
      <c r="A388" s="1">
        <v>386.0</v>
      </c>
      <c r="B388" s="1" t="s">
        <v>566</v>
      </c>
      <c r="C388" s="3">
        <v>45687.45649305556</v>
      </c>
      <c r="D388" s="1">
        <v>258000.0</v>
      </c>
    </row>
    <row r="389">
      <c r="A389" s="1">
        <v>387.0</v>
      </c>
      <c r="B389" s="1" t="s">
        <v>567</v>
      </c>
      <c r="C389" s="3">
        <v>45687.45649305556</v>
      </c>
      <c r="D389" s="1">
        <v>284000.0</v>
      </c>
    </row>
    <row r="390">
      <c r="A390" s="1">
        <v>388.0</v>
      </c>
      <c r="B390" s="1" t="s">
        <v>568</v>
      </c>
      <c r="C390" s="3">
        <v>45687.45649305556</v>
      </c>
      <c r="D390" s="1">
        <v>62359.0</v>
      </c>
    </row>
    <row r="391">
      <c r="A391" s="1">
        <v>389.0</v>
      </c>
      <c r="B391" s="1" t="s">
        <v>569</v>
      </c>
      <c r="C391" s="3">
        <v>45687.45649305556</v>
      </c>
      <c r="D391" s="1">
        <v>1241000.0</v>
      </c>
    </row>
    <row r="392">
      <c r="A392" s="1">
        <v>390.0</v>
      </c>
      <c r="B392" s="1" t="s">
        <v>570</v>
      </c>
      <c r="C392" s="3">
        <v>45687.45649305556</v>
      </c>
      <c r="D392" s="1">
        <v>420000.0</v>
      </c>
    </row>
    <row r="393">
      <c r="A393" s="1">
        <v>391.0</v>
      </c>
      <c r="B393" s="1" t="s">
        <v>571</v>
      </c>
      <c r="C393" s="3">
        <v>45687.45649305556</v>
      </c>
      <c r="D393" s="1">
        <v>84000.0</v>
      </c>
    </row>
    <row r="394">
      <c r="A394" s="1">
        <v>392.0</v>
      </c>
      <c r="B394" s="1" t="s">
        <v>572</v>
      </c>
      <c r="C394" s="3">
        <v>45687.45649305556</v>
      </c>
      <c r="D394" s="1">
        <v>496000.0</v>
      </c>
    </row>
    <row r="395">
      <c r="A395" s="1">
        <v>393.0</v>
      </c>
      <c r="B395" s="1" t="s">
        <v>573</v>
      </c>
      <c r="C395" s="3">
        <v>45687.45649305556</v>
      </c>
      <c r="D395" s="1">
        <v>350.0</v>
      </c>
    </row>
    <row r="396">
      <c r="A396" s="1">
        <v>394.0</v>
      </c>
      <c r="B396" s="1" t="s">
        <v>574</v>
      </c>
      <c r="C396" s="3">
        <v>45687.45649305556</v>
      </c>
      <c r="D396" s="1">
        <v>126000.0</v>
      </c>
    </row>
    <row r="397">
      <c r="A397" s="1">
        <v>395.0</v>
      </c>
      <c r="B397" s="1" t="s">
        <v>575</v>
      </c>
      <c r="C397" s="3">
        <v>45687.45649305556</v>
      </c>
      <c r="D397" s="1">
        <v>195000.0</v>
      </c>
    </row>
    <row r="398">
      <c r="A398" s="1">
        <v>396.0</v>
      </c>
      <c r="B398" s="1" t="s">
        <v>576</v>
      </c>
      <c r="C398" s="3">
        <v>45699.75581018518</v>
      </c>
      <c r="D398" s="1">
        <v>275000.0</v>
      </c>
    </row>
    <row r="399">
      <c r="A399" s="1">
        <v>397.0</v>
      </c>
      <c r="B399" s="1" t="s">
        <v>577</v>
      </c>
      <c r="C399" s="3">
        <v>45699.78550925926</v>
      </c>
      <c r="D399" s="1">
        <v>118000.0</v>
      </c>
    </row>
    <row r="400">
      <c r="A400" s="1">
        <v>398.0</v>
      </c>
      <c r="B400" s="1" t="s">
        <v>579</v>
      </c>
      <c r="C400" s="3">
        <v>45699.795578703706</v>
      </c>
      <c r="D400" s="1">
        <v>70000.0</v>
      </c>
    </row>
    <row r="401">
      <c r="A401" s="1">
        <v>399.0</v>
      </c>
      <c r="B401" s="1" t="s">
        <v>64</v>
      </c>
      <c r="C401" s="3">
        <v>45704.472395833334</v>
      </c>
      <c r="D401" s="1">
        <v>761.07</v>
      </c>
    </row>
    <row r="402">
      <c r="A402" s="1">
        <v>400.0</v>
      </c>
      <c r="B402" s="1" t="s">
        <v>584</v>
      </c>
      <c r="C402" s="3">
        <v>45726.7103125</v>
      </c>
      <c r="D402" s="1">
        <v>227000.0</v>
      </c>
    </row>
    <row r="403">
      <c r="A403" s="1">
        <v>401.0</v>
      </c>
      <c r="B403" s="1" t="s">
        <v>587</v>
      </c>
      <c r="C403" s="3">
        <v>45726.71196759259</v>
      </c>
      <c r="D403" s="1">
        <v>90000.0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591</v>
      </c>
      <c r="B1" s="1" t="s">
        <v>594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</row>
    <row r="2">
      <c r="A2" s="1">
        <v>1.0</v>
      </c>
      <c r="B2" s="1" t="s">
        <v>601</v>
      </c>
      <c r="C2" s="1" t="s">
        <v>602</v>
      </c>
      <c r="D2" s="1" t="s">
        <v>17</v>
      </c>
      <c r="E2" s="1" t="s">
        <v>17</v>
      </c>
      <c r="F2" s="1" t="s">
        <v>17</v>
      </c>
      <c r="G2" s="1">
        <v>1.0</v>
      </c>
      <c r="H2" s="1">
        <v>18186.0</v>
      </c>
    </row>
    <row r="3">
      <c r="A3" s="1">
        <v>2.0</v>
      </c>
      <c r="B3" s="1" t="s">
        <v>17</v>
      </c>
      <c r="C3" s="1" t="s">
        <v>603</v>
      </c>
      <c r="D3" s="1" t="s">
        <v>17</v>
      </c>
      <c r="E3" s="1" t="s">
        <v>17</v>
      </c>
      <c r="F3" s="1" t="s">
        <v>17</v>
      </c>
      <c r="G3" s="1">
        <v>1.0</v>
      </c>
      <c r="H3" s="1">
        <v>17000.0</v>
      </c>
    </row>
    <row r="4">
      <c r="A4" s="1">
        <v>3.0</v>
      </c>
      <c r="B4" s="1" t="s">
        <v>604</v>
      </c>
      <c r="C4" s="1" t="s">
        <v>605</v>
      </c>
      <c r="D4" s="1" t="s">
        <v>17</v>
      </c>
      <c r="E4" s="1" t="s">
        <v>17</v>
      </c>
      <c r="F4" s="1" t="s">
        <v>17</v>
      </c>
      <c r="G4" s="1">
        <v>1.0</v>
      </c>
      <c r="H4" s="1">
        <v>18667.6</v>
      </c>
    </row>
    <row r="5">
      <c r="A5" s="1">
        <v>3.0</v>
      </c>
      <c r="B5" s="1" t="s">
        <v>601</v>
      </c>
      <c r="C5" s="1" t="s">
        <v>606</v>
      </c>
      <c r="D5" s="1">
        <v>2.75</v>
      </c>
      <c r="E5" s="1">
        <v>-2.25</v>
      </c>
      <c r="F5" s="1">
        <v>3.0</v>
      </c>
      <c r="G5" s="1">
        <v>1.0</v>
      </c>
      <c r="H5" s="1">
        <v>3800.0</v>
      </c>
    </row>
    <row r="6">
      <c r="A6" s="1">
        <v>3.0</v>
      </c>
      <c r="B6" s="1" t="s">
        <v>607</v>
      </c>
      <c r="C6" s="1" t="s">
        <v>608</v>
      </c>
      <c r="D6" s="1">
        <v>3.0</v>
      </c>
      <c r="E6" s="1">
        <v>-2.0</v>
      </c>
      <c r="F6" s="1">
        <v>10.0</v>
      </c>
      <c r="G6" s="1">
        <v>1.0</v>
      </c>
      <c r="H6" s="1">
        <v>5608.0</v>
      </c>
    </row>
    <row r="7">
      <c r="A7" s="1">
        <v>4.0</v>
      </c>
      <c r="B7" s="1" t="s">
        <v>604</v>
      </c>
      <c r="C7" s="1" t="s">
        <v>609</v>
      </c>
      <c r="D7" s="1" t="s">
        <v>17</v>
      </c>
      <c r="E7" s="1" t="s">
        <v>17</v>
      </c>
      <c r="F7" s="1" t="s">
        <v>17</v>
      </c>
      <c r="G7" s="1">
        <v>1.0</v>
      </c>
      <c r="H7" s="1">
        <v>23097.2</v>
      </c>
    </row>
    <row r="8">
      <c r="A8" s="1">
        <v>4.0</v>
      </c>
      <c r="B8" s="1" t="s">
        <v>601</v>
      </c>
      <c r="C8" s="1" t="s">
        <v>610</v>
      </c>
      <c r="D8" s="1">
        <v>1.25</v>
      </c>
      <c r="E8" s="1">
        <v>-4.0</v>
      </c>
      <c r="F8" s="1">
        <v>10.0</v>
      </c>
      <c r="G8" s="1">
        <v>1.0</v>
      </c>
      <c r="H8" s="1">
        <v>20000.0</v>
      </c>
    </row>
    <row r="9">
      <c r="A9" s="1">
        <v>4.0</v>
      </c>
      <c r="B9" s="1" t="s">
        <v>607</v>
      </c>
      <c r="C9" s="1" t="s">
        <v>611</v>
      </c>
      <c r="D9" s="1">
        <v>0.0</v>
      </c>
      <c r="E9" s="1">
        <v>-0.5</v>
      </c>
      <c r="F9" s="1">
        <v>0.0</v>
      </c>
      <c r="G9" s="1">
        <v>1.0</v>
      </c>
      <c r="H9" s="1">
        <v>16000.0</v>
      </c>
    </row>
    <row r="10">
      <c r="A10" s="1">
        <v>5.0</v>
      </c>
      <c r="B10" s="1" t="s">
        <v>17</v>
      </c>
      <c r="C10" s="1" t="s">
        <v>612</v>
      </c>
      <c r="D10" s="1" t="s">
        <v>17</v>
      </c>
      <c r="E10" s="1" t="s">
        <v>17</v>
      </c>
      <c r="F10" s="1" t="s">
        <v>17</v>
      </c>
      <c r="G10" s="1">
        <v>1.0</v>
      </c>
      <c r="H10" s="1">
        <v>42122.78</v>
      </c>
    </row>
    <row r="11">
      <c r="A11" s="1">
        <v>6.0</v>
      </c>
      <c r="B11" s="1" t="s">
        <v>17</v>
      </c>
      <c r="C11" s="1" t="s">
        <v>613</v>
      </c>
      <c r="D11" s="1" t="s">
        <v>17</v>
      </c>
      <c r="E11" s="1" t="s">
        <v>17</v>
      </c>
      <c r="F11" s="1" t="s">
        <v>17</v>
      </c>
      <c r="G11" s="1">
        <v>1.0</v>
      </c>
      <c r="H11" s="1">
        <v>33991.08</v>
      </c>
    </row>
    <row r="12">
      <c r="A12" s="1">
        <v>6.0</v>
      </c>
      <c r="B12" s="1" t="s">
        <v>17</v>
      </c>
      <c r="C12" s="1" t="s">
        <v>614</v>
      </c>
      <c r="D12" s="1" t="s">
        <v>17</v>
      </c>
      <c r="E12" s="1" t="s">
        <v>17</v>
      </c>
      <c r="F12" s="1" t="s">
        <v>17</v>
      </c>
      <c r="G12" s="1">
        <v>1.0</v>
      </c>
      <c r="H12" s="1">
        <v>18583.98</v>
      </c>
    </row>
    <row r="13">
      <c r="A13" s="1">
        <v>7.0</v>
      </c>
      <c r="B13" s="1" t="s">
        <v>17</v>
      </c>
      <c r="C13" s="1" t="s">
        <v>615</v>
      </c>
      <c r="D13" s="1" t="s">
        <v>17</v>
      </c>
      <c r="E13" s="1" t="s">
        <v>17</v>
      </c>
      <c r="F13" s="1" t="s">
        <v>17</v>
      </c>
      <c r="G13" s="1">
        <v>1.0</v>
      </c>
      <c r="H13" s="1">
        <v>16769.2</v>
      </c>
    </row>
    <row r="14">
      <c r="A14" s="1">
        <v>7.0</v>
      </c>
      <c r="B14" s="1" t="s">
        <v>17</v>
      </c>
      <c r="C14" s="1" t="s">
        <v>616</v>
      </c>
      <c r="D14" s="1">
        <v>0.75</v>
      </c>
      <c r="E14" s="1">
        <v>-0.25</v>
      </c>
      <c r="F14" s="1">
        <v>47.0</v>
      </c>
      <c r="G14" s="1">
        <v>1.0</v>
      </c>
      <c r="H14" s="1">
        <v>9567.04</v>
      </c>
    </row>
    <row r="15">
      <c r="A15" s="1">
        <v>7.0</v>
      </c>
      <c r="B15" s="1" t="s">
        <v>17</v>
      </c>
      <c r="C15" s="1" t="s">
        <v>616</v>
      </c>
      <c r="D15" s="1">
        <v>0.25</v>
      </c>
      <c r="E15" s="1">
        <v>-0.25</v>
      </c>
      <c r="F15" s="1">
        <v>86.0</v>
      </c>
      <c r="G15" s="1">
        <v>1.0</v>
      </c>
      <c r="H15" s="1">
        <v>9567.04</v>
      </c>
    </row>
    <row r="16">
      <c r="A16" s="1">
        <v>8.0</v>
      </c>
      <c r="B16" s="1" t="s">
        <v>17</v>
      </c>
      <c r="C16" s="1" t="s">
        <v>617</v>
      </c>
      <c r="D16" s="1" t="s">
        <v>17</v>
      </c>
      <c r="E16" s="1" t="s">
        <v>17</v>
      </c>
      <c r="F16" s="1" t="s">
        <v>17</v>
      </c>
      <c r="G16" s="1">
        <v>1.0</v>
      </c>
      <c r="H16" s="1">
        <v>30000.0</v>
      </c>
    </row>
    <row r="17">
      <c r="A17" s="1">
        <v>9.0</v>
      </c>
      <c r="B17" s="1" t="s">
        <v>17</v>
      </c>
      <c r="C17" s="1" t="s">
        <v>618</v>
      </c>
      <c r="D17" s="1" t="s">
        <v>17</v>
      </c>
      <c r="E17" s="1" t="s">
        <v>17</v>
      </c>
      <c r="F17" s="1" t="s">
        <v>17</v>
      </c>
      <c r="G17" s="1">
        <v>1.0</v>
      </c>
      <c r="H17" s="1">
        <v>49000.0</v>
      </c>
    </row>
    <row r="18">
      <c r="A18" s="1">
        <v>10.0</v>
      </c>
      <c r="B18" s="1" t="s">
        <v>17</v>
      </c>
      <c r="C18" s="1" t="s">
        <v>619</v>
      </c>
      <c r="D18" s="1" t="s">
        <v>17</v>
      </c>
      <c r="E18" s="1" t="s">
        <v>17</v>
      </c>
      <c r="F18" s="1" t="s">
        <v>17</v>
      </c>
      <c r="G18" s="1">
        <v>1.0</v>
      </c>
      <c r="H18" s="1">
        <v>35000.0</v>
      </c>
    </row>
    <row r="19">
      <c r="A19" s="1">
        <v>11.0</v>
      </c>
      <c r="B19" s="1" t="s">
        <v>604</v>
      </c>
      <c r="C19" s="1" t="s">
        <v>606</v>
      </c>
      <c r="D19" s="1">
        <v>0.0</v>
      </c>
      <c r="E19" s="1">
        <v>0.0</v>
      </c>
      <c r="F19" s="1" t="s">
        <v>17</v>
      </c>
      <c r="G19" s="1">
        <v>2.0</v>
      </c>
      <c r="H19" s="1">
        <v>6094.2</v>
      </c>
    </row>
    <row r="20">
      <c r="A20" s="1">
        <v>11.0</v>
      </c>
      <c r="B20" s="1" t="s">
        <v>17</v>
      </c>
      <c r="C20" s="1" t="s">
        <v>620</v>
      </c>
      <c r="D20" s="1" t="s">
        <v>17</v>
      </c>
      <c r="E20" s="1" t="s">
        <v>17</v>
      </c>
      <c r="F20" s="1" t="s">
        <v>17</v>
      </c>
      <c r="G20" s="1">
        <v>1.0</v>
      </c>
      <c r="H20" s="1">
        <v>8400.0</v>
      </c>
    </row>
    <row r="21">
      <c r="A21" s="1">
        <v>11.0</v>
      </c>
      <c r="B21" s="1" t="s">
        <v>17</v>
      </c>
      <c r="C21" s="1" t="s">
        <v>621</v>
      </c>
      <c r="D21" s="1" t="s">
        <v>17</v>
      </c>
      <c r="E21" s="1" t="s">
        <v>17</v>
      </c>
      <c r="F21" s="1" t="s">
        <v>17</v>
      </c>
      <c r="G21" s="1">
        <v>2.0</v>
      </c>
      <c r="H21" s="1">
        <v>1000.0</v>
      </c>
    </row>
    <row r="22">
      <c r="A22" s="1">
        <v>11.0</v>
      </c>
      <c r="B22" s="1" t="s">
        <v>17</v>
      </c>
      <c r="C22" s="1" t="s">
        <v>622</v>
      </c>
      <c r="D22" s="1" t="s">
        <v>17</v>
      </c>
      <c r="E22" s="1" t="s">
        <v>17</v>
      </c>
      <c r="F22" s="1" t="s">
        <v>17</v>
      </c>
      <c r="G22" s="1">
        <v>2.0</v>
      </c>
      <c r="H22" s="1">
        <v>162.5</v>
      </c>
    </row>
    <row r="23">
      <c r="A23" s="1">
        <v>11.0</v>
      </c>
      <c r="B23" s="1" t="s">
        <v>17</v>
      </c>
      <c r="C23" s="1" t="s">
        <v>623</v>
      </c>
      <c r="D23" s="1" t="s">
        <v>17</v>
      </c>
      <c r="E23" s="1" t="s">
        <v>17</v>
      </c>
      <c r="F23" s="1" t="s">
        <v>17</v>
      </c>
      <c r="G23" s="1">
        <v>2.0</v>
      </c>
      <c r="H23" s="1">
        <v>625.0</v>
      </c>
    </row>
    <row r="24">
      <c r="A24" s="1">
        <v>12.0</v>
      </c>
      <c r="B24" s="1" t="s">
        <v>17</v>
      </c>
      <c r="C24" s="1" t="s">
        <v>624</v>
      </c>
      <c r="D24" s="1" t="s">
        <v>17</v>
      </c>
      <c r="E24" s="1" t="s">
        <v>17</v>
      </c>
      <c r="F24" s="1" t="s">
        <v>17</v>
      </c>
      <c r="G24" s="1">
        <v>1.0</v>
      </c>
      <c r="H24" s="1">
        <v>23100.0</v>
      </c>
    </row>
    <row r="25">
      <c r="A25" s="1">
        <v>12.0</v>
      </c>
      <c r="B25" s="1" t="s">
        <v>604</v>
      </c>
      <c r="C25" s="1" t="s">
        <v>616</v>
      </c>
      <c r="D25" s="1">
        <v>0.0</v>
      </c>
      <c r="E25" s="1">
        <v>0.0</v>
      </c>
      <c r="F25" s="1" t="s">
        <v>17</v>
      </c>
      <c r="G25" s="1">
        <v>2.0</v>
      </c>
      <c r="H25" s="1">
        <v>11958.8</v>
      </c>
    </row>
    <row r="26">
      <c r="A26" s="1">
        <v>13.0</v>
      </c>
      <c r="B26" s="1" t="s">
        <v>17</v>
      </c>
      <c r="C26" s="1" t="s">
        <v>620</v>
      </c>
      <c r="D26" s="1" t="s">
        <v>17</v>
      </c>
      <c r="E26" s="1" t="s">
        <v>17</v>
      </c>
      <c r="F26" s="1" t="s">
        <v>17</v>
      </c>
      <c r="G26" s="1">
        <v>1.0</v>
      </c>
      <c r="H26" s="1">
        <v>8400.0</v>
      </c>
    </row>
    <row r="27">
      <c r="A27" s="1">
        <v>13.0</v>
      </c>
      <c r="B27" s="1" t="s">
        <v>17</v>
      </c>
      <c r="C27" s="1" t="s">
        <v>606</v>
      </c>
      <c r="D27" s="1">
        <v>0.0</v>
      </c>
      <c r="E27" s="1">
        <v>0.0</v>
      </c>
      <c r="F27" s="1" t="s">
        <v>17</v>
      </c>
      <c r="G27" s="1">
        <v>2.0</v>
      </c>
      <c r="H27" s="1">
        <v>4000.0</v>
      </c>
    </row>
    <row r="28">
      <c r="A28" s="1">
        <v>13.0</v>
      </c>
      <c r="B28" s="1" t="s">
        <v>17</v>
      </c>
      <c r="C28" s="1" t="s">
        <v>623</v>
      </c>
      <c r="D28" s="1" t="s">
        <v>17</v>
      </c>
      <c r="E28" s="1" t="s">
        <v>17</v>
      </c>
      <c r="F28" s="1" t="s">
        <v>17</v>
      </c>
      <c r="G28" s="1">
        <v>1.0</v>
      </c>
      <c r="H28" s="1">
        <v>625.0</v>
      </c>
    </row>
    <row r="29">
      <c r="A29" s="1">
        <v>13.0</v>
      </c>
      <c r="B29" s="1" t="s">
        <v>17</v>
      </c>
      <c r="C29" s="1" t="s">
        <v>621</v>
      </c>
      <c r="D29" s="1" t="s">
        <v>17</v>
      </c>
      <c r="E29" s="1" t="s">
        <v>17</v>
      </c>
      <c r="F29" s="1" t="s">
        <v>17</v>
      </c>
      <c r="G29" s="1">
        <v>1.0</v>
      </c>
      <c r="H29" s="1">
        <v>1000.0</v>
      </c>
    </row>
    <row r="30">
      <c r="A30" s="1">
        <v>13.0</v>
      </c>
      <c r="B30" s="1" t="s">
        <v>17</v>
      </c>
      <c r="C30" s="1" t="s">
        <v>622</v>
      </c>
      <c r="D30" s="1" t="s">
        <v>17</v>
      </c>
      <c r="E30" s="1" t="s">
        <v>17</v>
      </c>
      <c r="F30" s="1" t="s">
        <v>17</v>
      </c>
      <c r="G30" s="1">
        <v>1.0</v>
      </c>
      <c r="H30" s="1">
        <v>162.5</v>
      </c>
    </row>
    <row r="31">
      <c r="A31" s="1">
        <v>14.0</v>
      </c>
      <c r="B31" s="1" t="s">
        <v>604</v>
      </c>
      <c r="C31" s="1" t="s">
        <v>625</v>
      </c>
      <c r="D31" s="1" t="s">
        <v>17</v>
      </c>
      <c r="E31" s="1" t="s">
        <v>17</v>
      </c>
      <c r="F31" s="1" t="s">
        <v>17</v>
      </c>
      <c r="G31" s="1">
        <v>1.0</v>
      </c>
      <c r="H31" s="1">
        <v>52000.0</v>
      </c>
    </row>
    <row r="32">
      <c r="A32" s="1">
        <v>15.0</v>
      </c>
      <c r="B32" s="1" t="s">
        <v>604</v>
      </c>
      <c r="C32" s="1" t="s">
        <v>625</v>
      </c>
      <c r="D32" s="1" t="s">
        <v>17</v>
      </c>
      <c r="E32" s="1" t="s">
        <v>17</v>
      </c>
      <c r="F32" s="1" t="s">
        <v>17</v>
      </c>
      <c r="G32" s="1">
        <v>1.0</v>
      </c>
      <c r="H32" s="1">
        <v>52000.0</v>
      </c>
    </row>
    <row r="33">
      <c r="A33" s="1">
        <v>16.0</v>
      </c>
      <c r="B33" s="1" t="s">
        <v>604</v>
      </c>
      <c r="C33" s="1" t="s">
        <v>618</v>
      </c>
      <c r="D33" s="1" t="s">
        <v>17</v>
      </c>
      <c r="E33" s="1" t="s">
        <v>17</v>
      </c>
      <c r="F33" s="1" t="s">
        <v>17</v>
      </c>
      <c r="G33" s="1">
        <v>1.0</v>
      </c>
      <c r="H33" s="1">
        <v>63087.5</v>
      </c>
    </row>
    <row r="34">
      <c r="A34" s="1">
        <v>17.0</v>
      </c>
      <c r="B34" s="1" t="s">
        <v>604</v>
      </c>
      <c r="C34" s="1" t="s">
        <v>612</v>
      </c>
      <c r="D34" s="1" t="s">
        <v>17</v>
      </c>
      <c r="E34" s="1" t="s">
        <v>17</v>
      </c>
      <c r="F34" s="1" t="s">
        <v>17</v>
      </c>
      <c r="G34" s="1">
        <v>1.0</v>
      </c>
      <c r="H34" s="1">
        <v>63087.5</v>
      </c>
    </row>
    <row r="35">
      <c r="A35" s="1">
        <v>18.0</v>
      </c>
      <c r="B35" s="1" t="s">
        <v>17</v>
      </c>
      <c r="C35" s="1" t="s">
        <v>616</v>
      </c>
      <c r="D35" s="1">
        <v>0.0</v>
      </c>
      <c r="E35" s="1">
        <v>0.0</v>
      </c>
      <c r="F35" s="1" t="s">
        <v>17</v>
      </c>
      <c r="G35" s="1">
        <v>2.0</v>
      </c>
      <c r="H35" s="1">
        <v>9617.0</v>
      </c>
    </row>
    <row r="36">
      <c r="A36" s="1">
        <v>18.0</v>
      </c>
      <c r="B36" s="1" t="s">
        <v>17</v>
      </c>
      <c r="C36" s="1" t="s">
        <v>626</v>
      </c>
      <c r="D36" s="1" t="s">
        <v>17</v>
      </c>
      <c r="E36" s="1" t="s">
        <v>17</v>
      </c>
      <c r="F36" s="1" t="s">
        <v>17</v>
      </c>
      <c r="G36" s="1">
        <v>1.0</v>
      </c>
      <c r="H36" s="1">
        <v>32430.0</v>
      </c>
    </row>
    <row r="37">
      <c r="A37" s="1">
        <v>19.0</v>
      </c>
      <c r="B37" s="1" t="s">
        <v>601</v>
      </c>
      <c r="C37" s="1" t="s">
        <v>616</v>
      </c>
      <c r="D37" s="1">
        <v>-1.25</v>
      </c>
      <c r="E37" s="1">
        <v>0.0</v>
      </c>
      <c r="F37" s="1" t="s">
        <v>17</v>
      </c>
      <c r="G37" s="1">
        <v>1.0</v>
      </c>
      <c r="H37" s="1">
        <v>9617.0</v>
      </c>
    </row>
    <row r="38">
      <c r="A38" s="1">
        <v>19.0</v>
      </c>
      <c r="B38" s="1" t="s">
        <v>607</v>
      </c>
      <c r="C38" s="1" t="s">
        <v>616</v>
      </c>
      <c r="D38" s="1">
        <v>-1.0</v>
      </c>
      <c r="E38" s="1">
        <v>0.0</v>
      </c>
      <c r="F38" s="1" t="s">
        <v>17</v>
      </c>
      <c r="G38" s="1">
        <v>1.0</v>
      </c>
      <c r="H38" s="1">
        <v>9617.0</v>
      </c>
    </row>
    <row r="39">
      <c r="A39" s="1">
        <v>19.0</v>
      </c>
      <c r="B39" s="1" t="s">
        <v>604</v>
      </c>
      <c r="C39" s="1" t="s">
        <v>627</v>
      </c>
      <c r="D39" s="1" t="s">
        <v>17</v>
      </c>
      <c r="E39" s="1" t="s">
        <v>17</v>
      </c>
      <c r="F39" s="1" t="s">
        <v>17</v>
      </c>
      <c r="G39" s="1">
        <v>1.0</v>
      </c>
      <c r="H39" s="1">
        <v>32430.0</v>
      </c>
    </row>
    <row r="40">
      <c r="A40" s="1">
        <v>20.0</v>
      </c>
      <c r="B40" s="1" t="s">
        <v>17</v>
      </c>
      <c r="C40" s="1" t="s">
        <v>628</v>
      </c>
      <c r="D40" s="1" t="s">
        <v>17</v>
      </c>
      <c r="E40" s="1" t="s">
        <v>17</v>
      </c>
      <c r="F40" s="1" t="s">
        <v>17</v>
      </c>
      <c r="G40" s="1">
        <v>1.0</v>
      </c>
      <c r="H40" s="1">
        <v>36240.0</v>
      </c>
    </row>
    <row r="41">
      <c r="A41" s="1">
        <v>21.0</v>
      </c>
      <c r="B41" s="1" t="s">
        <v>601</v>
      </c>
      <c r="C41" s="1" t="s">
        <v>616</v>
      </c>
      <c r="D41" s="1">
        <v>-1.0</v>
      </c>
      <c r="E41" s="1">
        <v>-0.25</v>
      </c>
      <c r="F41" s="1">
        <v>165.0</v>
      </c>
      <c r="G41" s="1">
        <v>1.0</v>
      </c>
      <c r="H41" s="1">
        <v>9617.0</v>
      </c>
    </row>
    <row r="42">
      <c r="A42" s="1">
        <v>21.0</v>
      </c>
      <c r="B42" s="1" t="s">
        <v>607</v>
      </c>
      <c r="C42" s="1" t="s">
        <v>616</v>
      </c>
      <c r="D42" s="1">
        <v>0.0</v>
      </c>
      <c r="E42" s="1">
        <v>-0.75</v>
      </c>
      <c r="F42" s="1" t="s">
        <v>17</v>
      </c>
      <c r="G42" s="1">
        <v>1.0</v>
      </c>
      <c r="H42" s="1">
        <v>9617.0</v>
      </c>
    </row>
    <row r="43">
      <c r="A43" s="1">
        <v>21.0</v>
      </c>
      <c r="B43" s="1" t="s">
        <v>604</v>
      </c>
      <c r="C43" s="1" t="s">
        <v>629</v>
      </c>
      <c r="D43" s="1" t="s">
        <v>17</v>
      </c>
      <c r="E43" s="1" t="s">
        <v>17</v>
      </c>
      <c r="F43" s="1" t="s">
        <v>17</v>
      </c>
      <c r="G43" s="1">
        <v>1.0</v>
      </c>
      <c r="H43" s="1">
        <v>54000.0</v>
      </c>
    </row>
    <row r="44">
      <c r="A44" s="1">
        <v>22.0</v>
      </c>
      <c r="B44" s="1" t="s">
        <v>601</v>
      </c>
      <c r="C44" s="1" t="s">
        <v>616</v>
      </c>
      <c r="D44" s="1">
        <v>-1.0</v>
      </c>
      <c r="E44" s="1">
        <v>-0.25</v>
      </c>
      <c r="F44" s="1">
        <v>165.0</v>
      </c>
      <c r="G44" s="1">
        <v>1.0</v>
      </c>
      <c r="H44" s="1">
        <v>9617.0</v>
      </c>
    </row>
    <row r="45">
      <c r="A45" s="1">
        <v>22.0</v>
      </c>
      <c r="B45" s="1" t="s">
        <v>607</v>
      </c>
      <c r="C45" s="1" t="s">
        <v>616</v>
      </c>
      <c r="D45" s="1">
        <v>-0.75</v>
      </c>
      <c r="E45" s="1">
        <v>0.0</v>
      </c>
      <c r="F45" s="1" t="s">
        <v>17</v>
      </c>
      <c r="G45" s="1">
        <v>1.0</v>
      </c>
      <c r="H45" s="1">
        <v>9617.0</v>
      </c>
    </row>
    <row r="46">
      <c r="A46" s="1">
        <v>22.0</v>
      </c>
      <c r="B46" s="1" t="s">
        <v>604</v>
      </c>
      <c r="C46" s="1" t="s">
        <v>629</v>
      </c>
      <c r="D46" s="1" t="s">
        <v>17</v>
      </c>
      <c r="E46" s="1" t="s">
        <v>17</v>
      </c>
      <c r="F46" s="1" t="s">
        <v>17</v>
      </c>
      <c r="G46" s="1">
        <v>1.0</v>
      </c>
      <c r="H46" s="1">
        <v>54000.0</v>
      </c>
    </row>
    <row r="47">
      <c r="A47" s="1">
        <v>23.0</v>
      </c>
      <c r="B47" s="1" t="s">
        <v>17</v>
      </c>
      <c r="C47" s="1" t="s">
        <v>630</v>
      </c>
      <c r="D47" s="1" t="s">
        <v>17</v>
      </c>
      <c r="E47" s="1" t="s">
        <v>17</v>
      </c>
      <c r="F47" s="1" t="s">
        <v>17</v>
      </c>
      <c r="G47" s="1">
        <v>1.0</v>
      </c>
      <c r="H47" s="1">
        <v>700.0</v>
      </c>
    </row>
    <row r="48">
      <c r="A48" s="1">
        <v>24.0</v>
      </c>
      <c r="B48" s="1" t="s">
        <v>17</v>
      </c>
      <c r="C48" s="1" t="s">
        <v>631</v>
      </c>
      <c r="D48" s="1" t="s">
        <v>17</v>
      </c>
      <c r="E48" s="1" t="s">
        <v>17</v>
      </c>
      <c r="F48" s="1" t="s">
        <v>17</v>
      </c>
      <c r="G48" s="1">
        <v>1.0</v>
      </c>
      <c r="H48" s="1">
        <v>45639.0</v>
      </c>
    </row>
    <row r="49">
      <c r="A49" s="1">
        <v>25.0</v>
      </c>
      <c r="B49" s="1" t="s">
        <v>604</v>
      </c>
      <c r="C49" s="1" t="s">
        <v>632</v>
      </c>
      <c r="D49" s="1" t="s">
        <v>17</v>
      </c>
      <c r="E49" s="1" t="s">
        <v>17</v>
      </c>
      <c r="F49" s="1" t="s">
        <v>17</v>
      </c>
      <c r="G49" s="1">
        <v>1.0</v>
      </c>
      <c r="H49" s="1">
        <v>45062.5</v>
      </c>
    </row>
    <row r="50">
      <c r="A50" s="1">
        <v>26.0</v>
      </c>
      <c r="B50" s="1" t="s">
        <v>17</v>
      </c>
      <c r="C50" s="1" t="s">
        <v>633</v>
      </c>
      <c r="D50" s="1" t="s">
        <v>17</v>
      </c>
      <c r="E50" s="1" t="s">
        <v>17</v>
      </c>
      <c r="F50" s="1" t="s">
        <v>17</v>
      </c>
      <c r="G50" s="1">
        <v>1.0</v>
      </c>
      <c r="H50" s="1">
        <v>800.0</v>
      </c>
    </row>
    <row r="51">
      <c r="A51" s="1">
        <v>27.0</v>
      </c>
      <c r="B51" s="1" t="s">
        <v>17</v>
      </c>
      <c r="C51" s="1" t="s">
        <v>634</v>
      </c>
      <c r="D51" s="1" t="s">
        <v>17</v>
      </c>
      <c r="E51" s="1" t="s">
        <v>17</v>
      </c>
      <c r="F51" s="1" t="s">
        <v>17</v>
      </c>
      <c r="G51" s="1">
        <v>1.0</v>
      </c>
      <c r="H51" s="1">
        <v>48000.0</v>
      </c>
    </row>
    <row r="52">
      <c r="A52" s="1">
        <v>28.0</v>
      </c>
      <c r="B52" s="1" t="s">
        <v>17</v>
      </c>
      <c r="C52" s="1" t="s">
        <v>635</v>
      </c>
      <c r="D52" s="1" t="s">
        <v>17</v>
      </c>
      <c r="E52" s="1" t="s">
        <v>17</v>
      </c>
      <c r="F52" s="1" t="s">
        <v>17</v>
      </c>
      <c r="G52" s="1">
        <v>1.0</v>
      </c>
      <c r="H52" s="1">
        <v>56900.0</v>
      </c>
    </row>
    <row r="53">
      <c r="A53" s="1">
        <v>29.0</v>
      </c>
      <c r="B53" s="1" t="s">
        <v>17</v>
      </c>
      <c r="C53" s="1" t="s">
        <v>636</v>
      </c>
      <c r="D53" s="1" t="s">
        <v>17</v>
      </c>
      <c r="E53" s="1" t="s">
        <v>17</v>
      </c>
      <c r="F53" s="1" t="s">
        <v>17</v>
      </c>
      <c r="G53" s="1">
        <v>1.0</v>
      </c>
      <c r="H53" s="1">
        <v>85182.09</v>
      </c>
    </row>
    <row r="54">
      <c r="A54" s="1">
        <v>29.0</v>
      </c>
      <c r="B54" s="1" t="s">
        <v>17</v>
      </c>
      <c r="C54" s="1" t="s">
        <v>616</v>
      </c>
      <c r="D54" s="1">
        <v>0.0</v>
      </c>
      <c r="E54" s="1">
        <v>0.0</v>
      </c>
      <c r="F54" s="1" t="s">
        <v>17</v>
      </c>
      <c r="G54" s="1">
        <v>1.0</v>
      </c>
      <c r="H54" s="1">
        <v>9803.0</v>
      </c>
    </row>
    <row r="55">
      <c r="A55" s="1">
        <v>30.0</v>
      </c>
      <c r="B55" s="1" t="s">
        <v>601</v>
      </c>
      <c r="C55" s="1" t="s">
        <v>616</v>
      </c>
      <c r="D55" s="1">
        <v>-0.75</v>
      </c>
      <c r="E55" s="1">
        <v>-1.5</v>
      </c>
      <c r="F55" s="1">
        <v>132.0</v>
      </c>
      <c r="G55" s="1">
        <v>1.0</v>
      </c>
      <c r="H55" s="1">
        <v>10194.02</v>
      </c>
    </row>
    <row r="56">
      <c r="A56" s="1">
        <v>30.0</v>
      </c>
      <c r="B56" s="1" t="s">
        <v>607</v>
      </c>
      <c r="C56" s="1" t="s">
        <v>616</v>
      </c>
      <c r="D56" s="1">
        <v>-0.75</v>
      </c>
      <c r="E56" s="1">
        <v>-0.75</v>
      </c>
      <c r="F56" s="1">
        <v>23.0</v>
      </c>
      <c r="G56" s="1">
        <v>1.0</v>
      </c>
      <c r="H56" s="1">
        <v>10194.02</v>
      </c>
    </row>
    <row r="57">
      <c r="A57" s="1">
        <v>30.0</v>
      </c>
      <c r="B57" s="1" t="s">
        <v>17</v>
      </c>
      <c r="C57" s="1" t="s">
        <v>637</v>
      </c>
      <c r="D57" s="1" t="s">
        <v>17</v>
      </c>
      <c r="E57" s="1" t="s">
        <v>17</v>
      </c>
      <c r="F57" s="1" t="s">
        <v>17</v>
      </c>
      <c r="G57" s="1">
        <v>1.0</v>
      </c>
      <c r="H57" s="1">
        <v>37363.0</v>
      </c>
    </row>
    <row r="58">
      <c r="A58" s="1">
        <v>31.0</v>
      </c>
      <c r="B58" s="1" t="s">
        <v>604</v>
      </c>
      <c r="C58" s="1" t="s">
        <v>638</v>
      </c>
      <c r="D58" s="1" t="s">
        <v>17</v>
      </c>
      <c r="E58" s="1" t="s">
        <v>17</v>
      </c>
      <c r="F58" s="1" t="s">
        <v>17</v>
      </c>
      <c r="G58" s="1">
        <v>1.0</v>
      </c>
      <c r="H58" s="1">
        <v>50000.0</v>
      </c>
    </row>
    <row r="59">
      <c r="A59" s="1">
        <v>32.0</v>
      </c>
      <c r="B59" s="1" t="s">
        <v>17</v>
      </c>
      <c r="C59" s="1" t="s">
        <v>639</v>
      </c>
      <c r="D59" s="1" t="s">
        <v>17</v>
      </c>
      <c r="E59" s="1" t="s">
        <v>17</v>
      </c>
      <c r="F59" s="1" t="s">
        <v>17</v>
      </c>
      <c r="G59" s="1">
        <v>1.0</v>
      </c>
      <c r="H59" s="1">
        <v>50000.0</v>
      </c>
    </row>
    <row r="60">
      <c r="A60" s="1">
        <v>33.0</v>
      </c>
      <c r="B60" s="1" t="s">
        <v>604</v>
      </c>
      <c r="C60" s="1" t="s">
        <v>640</v>
      </c>
      <c r="D60" s="1" t="s">
        <v>17</v>
      </c>
      <c r="E60" s="1" t="s">
        <v>17</v>
      </c>
      <c r="F60" s="1" t="s">
        <v>17</v>
      </c>
      <c r="G60" s="1">
        <v>1.0</v>
      </c>
      <c r="H60" s="1">
        <v>32890.0</v>
      </c>
    </row>
    <row r="61">
      <c r="A61" s="1">
        <v>34.0</v>
      </c>
      <c r="B61" s="1" t="s">
        <v>604</v>
      </c>
      <c r="C61" s="1" t="s">
        <v>641</v>
      </c>
      <c r="D61" s="1" t="s">
        <v>17</v>
      </c>
      <c r="E61" s="1" t="s">
        <v>17</v>
      </c>
      <c r="F61" s="1" t="s">
        <v>17</v>
      </c>
      <c r="G61" s="1">
        <v>1.0</v>
      </c>
      <c r="H61" s="1">
        <v>52400.0</v>
      </c>
    </row>
    <row r="62">
      <c r="A62" s="1">
        <v>34.0</v>
      </c>
      <c r="B62" s="1" t="s">
        <v>604</v>
      </c>
      <c r="C62" s="1" t="s">
        <v>611</v>
      </c>
      <c r="D62" s="1">
        <v>0.0</v>
      </c>
      <c r="E62" s="1">
        <v>0.0</v>
      </c>
      <c r="F62" s="1" t="s">
        <v>17</v>
      </c>
      <c r="G62" s="1">
        <v>2.0</v>
      </c>
      <c r="H62" s="1">
        <v>22269.54</v>
      </c>
    </row>
    <row r="63">
      <c r="A63" s="1">
        <v>35.0</v>
      </c>
      <c r="B63" s="1" t="s">
        <v>601</v>
      </c>
      <c r="C63" s="1" t="s">
        <v>616</v>
      </c>
      <c r="D63" s="1">
        <v>-1.0</v>
      </c>
      <c r="E63" s="1">
        <v>1.0</v>
      </c>
      <c r="F63" s="1">
        <v>5.0</v>
      </c>
      <c r="G63" s="1">
        <v>1.0</v>
      </c>
      <c r="H63" s="1">
        <v>10194.02</v>
      </c>
    </row>
    <row r="64">
      <c r="A64" s="1">
        <v>35.0</v>
      </c>
      <c r="B64" s="1" t="s">
        <v>607</v>
      </c>
      <c r="C64" s="1" t="s">
        <v>616</v>
      </c>
      <c r="D64" s="1">
        <v>-0.25</v>
      </c>
      <c r="E64" s="1">
        <v>0.75</v>
      </c>
      <c r="F64" s="1">
        <v>170.0</v>
      </c>
      <c r="G64" s="1">
        <v>1.0</v>
      </c>
      <c r="H64" s="1">
        <v>10194.02</v>
      </c>
    </row>
    <row r="65">
      <c r="A65" s="1">
        <v>36.0</v>
      </c>
      <c r="B65" s="1" t="s">
        <v>604</v>
      </c>
      <c r="C65" s="1" t="s">
        <v>642</v>
      </c>
      <c r="D65" s="1" t="s">
        <v>17</v>
      </c>
      <c r="E65" s="1" t="s">
        <v>17</v>
      </c>
      <c r="F65" s="1" t="s">
        <v>17</v>
      </c>
      <c r="G65" s="1">
        <v>1.0</v>
      </c>
      <c r="H65" s="1">
        <v>24380.0</v>
      </c>
    </row>
    <row r="66">
      <c r="A66" s="1">
        <v>37.0</v>
      </c>
      <c r="B66" s="1" t="s">
        <v>17</v>
      </c>
      <c r="C66" s="1" t="s">
        <v>603</v>
      </c>
      <c r="D66" s="1" t="s">
        <v>17</v>
      </c>
      <c r="E66" s="1" t="s">
        <v>17</v>
      </c>
      <c r="F66" s="1" t="s">
        <v>17</v>
      </c>
      <c r="G66" s="1">
        <v>1.0</v>
      </c>
      <c r="H66" s="1">
        <v>35000.0</v>
      </c>
    </row>
    <row r="67">
      <c r="A67" s="1">
        <v>37.0</v>
      </c>
      <c r="B67" s="1" t="s">
        <v>601</v>
      </c>
      <c r="C67" s="1" t="s">
        <v>616</v>
      </c>
      <c r="D67" s="1">
        <v>0.5</v>
      </c>
      <c r="E67" s="1">
        <v>0.0</v>
      </c>
      <c r="F67" s="1" t="s">
        <v>17</v>
      </c>
      <c r="G67" s="1">
        <v>1.0</v>
      </c>
      <c r="H67" s="1">
        <v>10194.02</v>
      </c>
    </row>
    <row r="68">
      <c r="A68" s="1">
        <v>37.0</v>
      </c>
      <c r="B68" s="1" t="s">
        <v>607</v>
      </c>
      <c r="C68" s="1" t="s">
        <v>616</v>
      </c>
      <c r="D68" s="1">
        <v>0.5</v>
      </c>
      <c r="E68" s="1">
        <v>0.0</v>
      </c>
      <c r="F68" s="1" t="s">
        <v>17</v>
      </c>
      <c r="G68" s="1">
        <v>1.0</v>
      </c>
      <c r="H68" s="1">
        <v>10194.02</v>
      </c>
    </row>
    <row r="69">
      <c r="A69" s="1">
        <v>38.0</v>
      </c>
      <c r="B69" s="1" t="s">
        <v>604</v>
      </c>
      <c r="C69" s="1" t="s">
        <v>643</v>
      </c>
      <c r="D69" s="1" t="s">
        <v>17</v>
      </c>
      <c r="E69" s="1" t="s">
        <v>17</v>
      </c>
      <c r="F69" s="1" t="s">
        <v>17</v>
      </c>
      <c r="G69" s="1">
        <v>1.0</v>
      </c>
      <c r="H69" s="1">
        <v>18353.26</v>
      </c>
    </row>
    <row r="70">
      <c r="A70" s="1">
        <v>39.0</v>
      </c>
      <c r="B70" s="1" t="s">
        <v>601</v>
      </c>
      <c r="C70" s="1" t="s">
        <v>616</v>
      </c>
      <c r="D70" s="1">
        <v>-1.0</v>
      </c>
      <c r="E70" s="1">
        <v>-0.5</v>
      </c>
      <c r="F70" s="1">
        <v>170.0</v>
      </c>
      <c r="G70" s="1">
        <v>1.0</v>
      </c>
      <c r="H70" s="1">
        <v>10194.02</v>
      </c>
    </row>
    <row r="71">
      <c r="A71" s="1">
        <v>39.0</v>
      </c>
      <c r="B71" s="1" t="s">
        <v>607</v>
      </c>
      <c r="C71" s="1" t="s">
        <v>616</v>
      </c>
      <c r="D71" s="1">
        <v>-1.25</v>
      </c>
      <c r="E71" s="1">
        <v>0.0</v>
      </c>
      <c r="F71" s="1" t="s">
        <v>17</v>
      </c>
      <c r="G71" s="1">
        <v>1.0</v>
      </c>
      <c r="H71" s="1">
        <v>10194.02</v>
      </c>
    </row>
    <row r="72">
      <c r="A72" s="1">
        <v>40.0</v>
      </c>
      <c r="B72" s="1" t="s">
        <v>604</v>
      </c>
      <c r="C72" s="1" t="s">
        <v>644</v>
      </c>
      <c r="D72" s="1" t="s">
        <v>17</v>
      </c>
      <c r="E72" s="1" t="s">
        <v>17</v>
      </c>
      <c r="F72" s="1" t="s">
        <v>17</v>
      </c>
      <c r="G72" s="1">
        <v>1.0</v>
      </c>
      <c r="H72" s="1">
        <v>18000.0</v>
      </c>
    </row>
    <row r="73">
      <c r="A73" s="1">
        <v>40.0</v>
      </c>
      <c r="B73" s="1" t="s">
        <v>604</v>
      </c>
      <c r="C73" s="1" t="s">
        <v>645</v>
      </c>
      <c r="D73" s="1" t="s">
        <v>17</v>
      </c>
      <c r="E73" s="1" t="s">
        <v>17</v>
      </c>
      <c r="F73" s="1" t="s">
        <v>17</v>
      </c>
      <c r="G73" s="1">
        <v>1.0</v>
      </c>
      <c r="H73" s="1">
        <v>18000.0</v>
      </c>
    </row>
    <row r="74">
      <c r="A74" s="1">
        <v>40.0</v>
      </c>
      <c r="B74" s="1" t="s">
        <v>17</v>
      </c>
      <c r="C74" s="1" t="s">
        <v>616</v>
      </c>
      <c r="D74" s="1">
        <v>-0.25</v>
      </c>
      <c r="E74" s="1">
        <v>-1.0</v>
      </c>
      <c r="F74" s="1" t="s">
        <v>17</v>
      </c>
      <c r="G74" s="1">
        <v>2.0</v>
      </c>
      <c r="H74" s="1">
        <v>10194.02</v>
      </c>
    </row>
    <row r="75">
      <c r="A75" s="1">
        <v>40.0</v>
      </c>
      <c r="B75" s="1" t="s">
        <v>17</v>
      </c>
      <c r="C75" s="1" t="s">
        <v>606</v>
      </c>
      <c r="D75" s="1">
        <v>-0.25</v>
      </c>
      <c r="E75" s="1">
        <v>-1.0</v>
      </c>
      <c r="F75" s="1" t="s">
        <v>17</v>
      </c>
      <c r="G75" s="1">
        <v>2.0</v>
      </c>
      <c r="H75" s="1">
        <v>4240.0</v>
      </c>
    </row>
    <row r="76">
      <c r="A76" s="1">
        <v>40.0</v>
      </c>
      <c r="B76" s="1" t="s">
        <v>17</v>
      </c>
      <c r="C76" s="1" t="s">
        <v>620</v>
      </c>
      <c r="D76" s="1" t="s">
        <v>17</v>
      </c>
      <c r="E76" s="1" t="s">
        <v>17</v>
      </c>
      <c r="F76" s="1" t="s">
        <v>17</v>
      </c>
      <c r="G76" s="1">
        <v>1.0</v>
      </c>
      <c r="H76" s="1">
        <v>8904.0</v>
      </c>
    </row>
    <row r="77">
      <c r="A77" s="1">
        <v>41.0</v>
      </c>
      <c r="B77" s="1" t="s">
        <v>17</v>
      </c>
      <c r="C77" s="1" t="s">
        <v>646</v>
      </c>
      <c r="D77" s="1" t="s">
        <v>17</v>
      </c>
      <c r="E77" s="1" t="s">
        <v>17</v>
      </c>
      <c r="F77" s="1" t="s">
        <v>17</v>
      </c>
      <c r="G77" s="1">
        <v>1.0</v>
      </c>
      <c r="H77" s="1">
        <v>100000.0</v>
      </c>
    </row>
    <row r="78">
      <c r="A78" s="1">
        <v>42.0</v>
      </c>
      <c r="B78" s="1" t="s">
        <v>17</v>
      </c>
      <c r="C78" s="1" t="s">
        <v>647</v>
      </c>
      <c r="D78" s="1" t="s">
        <v>17</v>
      </c>
      <c r="E78" s="1" t="s">
        <v>17</v>
      </c>
      <c r="F78" s="1" t="s">
        <v>17</v>
      </c>
      <c r="G78" s="1">
        <v>1.0</v>
      </c>
      <c r="H78" s="1">
        <v>90000.0</v>
      </c>
    </row>
    <row r="79">
      <c r="A79" s="1">
        <v>43.0</v>
      </c>
      <c r="B79" s="1" t="s">
        <v>17</v>
      </c>
      <c r="C79" s="1" t="s">
        <v>614</v>
      </c>
      <c r="D79" s="1" t="s">
        <v>17</v>
      </c>
      <c r="E79" s="1" t="s">
        <v>17</v>
      </c>
      <c r="F79" s="1" t="s">
        <v>17</v>
      </c>
      <c r="G79" s="1">
        <v>1.0</v>
      </c>
      <c r="H79" s="1">
        <v>50000.0</v>
      </c>
    </row>
    <row r="80">
      <c r="A80" s="1">
        <v>44.0</v>
      </c>
      <c r="B80" s="1" t="s">
        <v>17</v>
      </c>
      <c r="C80" s="1" t="s">
        <v>648</v>
      </c>
      <c r="D80" s="1" t="s">
        <v>17</v>
      </c>
      <c r="E80" s="1" t="s">
        <v>17</v>
      </c>
      <c r="F80" s="1" t="s">
        <v>17</v>
      </c>
      <c r="G80" s="1">
        <v>1.0</v>
      </c>
      <c r="H80" s="1">
        <v>35000.0</v>
      </c>
    </row>
    <row r="81">
      <c r="A81" s="1">
        <v>45.0</v>
      </c>
      <c r="B81" s="1" t="s">
        <v>17</v>
      </c>
      <c r="C81" s="1" t="s">
        <v>649</v>
      </c>
      <c r="D81" s="1" t="s">
        <v>17</v>
      </c>
      <c r="E81" s="1" t="s">
        <v>17</v>
      </c>
      <c r="F81" s="1" t="s">
        <v>17</v>
      </c>
      <c r="G81" s="1">
        <v>1.0</v>
      </c>
      <c r="H81" s="1">
        <v>41400.0</v>
      </c>
    </row>
    <row r="82">
      <c r="A82" s="1">
        <v>46.0</v>
      </c>
      <c r="B82" s="1" t="s">
        <v>604</v>
      </c>
      <c r="C82" s="1" t="s">
        <v>650</v>
      </c>
      <c r="D82" s="1" t="s">
        <v>17</v>
      </c>
      <c r="E82" s="1" t="s">
        <v>17</v>
      </c>
      <c r="F82" s="1" t="s">
        <v>17</v>
      </c>
      <c r="G82" s="1">
        <v>1.0</v>
      </c>
      <c r="H82" s="1">
        <v>35000.0</v>
      </c>
    </row>
    <row r="83">
      <c r="A83" s="1">
        <v>46.0</v>
      </c>
      <c r="B83" s="1" t="s">
        <v>601</v>
      </c>
      <c r="C83" s="1" t="s">
        <v>616</v>
      </c>
      <c r="D83" s="1">
        <v>-0.75</v>
      </c>
      <c r="E83" s="1">
        <v>-0.75</v>
      </c>
      <c r="F83" s="1">
        <v>160.0</v>
      </c>
      <c r="G83" s="1">
        <v>1.0</v>
      </c>
      <c r="H83" s="1">
        <v>11927.0</v>
      </c>
    </row>
    <row r="84">
      <c r="A84" s="1">
        <v>46.0</v>
      </c>
      <c r="B84" s="1" t="s">
        <v>607</v>
      </c>
      <c r="C84" s="1" t="s">
        <v>616</v>
      </c>
      <c r="D84" s="1">
        <v>-2.5</v>
      </c>
      <c r="E84" s="1">
        <v>-0.5</v>
      </c>
      <c r="F84" s="1">
        <v>175.0</v>
      </c>
      <c r="G84" s="1">
        <v>1.0</v>
      </c>
      <c r="H84" s="1">
        <v>11927.0</v>
      </c>
    </row>
    <row r="85">
      <c r="A85" s="1">
        <v>47.0</v>
      </c>
      <c r="B85" s="1" t="s">
        <v>17</v>
      </c>
      <c r="C85" s="1" t="s">
        <v>651</v>
      </c>
      <c r="D85" s="1" t="s">
        <v>17</v>
      </c>
      <c r="E85" s="1" t="s">
        <v>17</v>
      </c>
      <c r="F85" s="1" t="s">
        <v>17</v>
      </c>
      <c r="G85" s="1">
        <v>1.0</v>
      </c>
      <c r="H85" s="1">
        <v>61520.0</v>
      </c>
    </row>
    <row r="86">
      <c r="A86" s="1">
        <v>48.0</v>
      </c>
      <c r="B86" s="1" t="s">
        <v>17</v>
      </c>
      <c r="C86" s="1" t="s">
        <v>652</v>
      </c>
      <c r="D86" s="1" t="s">
        <v>17</v>
      </c>
      <c r="E86" s="1" t="s">
        <v>17</v>
      </c>
      <c r="F86" s="1" t="s">
        <v>17</v>
      </c>
      <c r="G86" s="1">
        <v>1.0</v>
      </c>
      <c r="H86" s="1">
        <v>67068.0</v>
      </c>
    </row>
    <row r="87">
      <c r="A87" s="1">
        <v>49.0</v>
      </c>
      <c r="B87" s="1" t="s">
        <v>17</v>
      </c>
      <c r="C87" s="1" t="s">
        <v>653</v>
      </c>
      <c r="D87" s="1" t="s">
        <v>17</v>
      </c>
      <c r="E87" s="1" t="s">
        <v>17</v>
      </c>
      <c r="F87" s="1" t="s">
        <v>17</v>
      </c>
      <c r="G87" s="1">
        <v>1.0</v>
      </c>
      <c r="H87" s="1">
        <v>69299.0</v>
      </c>
    </row>
    <row r="88">
      <c r="A88" s="1">
        <v>50.0</v>
      </c>
      <c r="B88" s="1" t="s">
        <v>17</v>
      </c>
      <c r="C88" s="1" t="s">
        <v>633</v>
      </c>
      <c r="D88" s="1" t="s">
        <v>17</v>
      </c>
      <c r="E88" s="1" t="s">
        <v>17</v>
      </c>
      <c r="F88" s="1" t="s">
        <v>17</v>
      </c>
      <c r="G88" s="1">
        <v>1.0</v>
      </c>
      <c r="H88" s="1">
        <v>1265.0</v>
      </c>
    </row>
    <row r="89">
      <c r="A89" s="1">
        <v>50.0</v>
      </c>
      <c r="B89" s="1" t="s">
        <v>17</v>
      </c>
      <c r="C89" s="1" t="s">
        <v>654</v>
      </c>
      <c r="D89" s="1" t="s">
        <v>17</v>
      </c>
      <c r="E89" s="1" t="s">
        <v>17</v>
      </c>
      <c r="F89" s="1" t="s">
        <v>17</v>
      </c>
      <c r="G89" s="1">
        <v>1.0</v>
      </c>
      <c r="H89" s="1">
        <v>66394.79</v>
      </c>
    </row>
    <row r="90">
      <c r="A90" s="1">
        <v>51.0</v>
      </c>
      <c r="B90" s="1" t="s">
        <v>604</v>
      </c>
      <c r="C90" s="1" t="s">
        <v>655</v>
      </c>
      <c r="D90" s="1" t="s">
        <v>17</v>
      </c>
      <c r="E90" s="1" t="s">
        <v>17</v>
      </c>
      <c r="F90" s="1" t="s">
        <v>17</v>
      </c>
      <c r="G90" s="1">
        <v>1.0</v>
      </c>
      <c r="H90" s="1">
        <v>7000.0</v>
      </c>
    </row>
    <row r="91">
      <c r="A91" s="1">
        <v>52.0</v>
      </c>
      <c r="B91" s="1" t="s">
        <v>604</v>
      </c>
      <c r="C91" s="1" t="s">
        <v>656</v>
      </c>
      <c r="D91" s="1" t="s">
        <v>17</v>
      </c>
      <c r="E91" s="1" t="s">
        <v>17</v>
      </c>
      <c r="F91" s="1" t="s">
        <v>17</v>
      </c>
      <c r="G91" s="1">
        <v>1.0</v>
      </c>
      <c r="H91" s="1">
        <v>10183.25</v>
      </c>
    </row>
    <row r="92">
      <c r="A92" s="1">
        <v>52.0</v>
      </c>
      <c r="B92" s="1" t="s">
        <v>601</v>
      </c>
      <c r="C92" s="1" t="s">
        <v>616</v>
      </c>
      <c r="D92" s="1">
        <v>0.5</v>
      </c>
      <c r="E92" s="1">
        <v>1.0</v>
      </c>
      <c r="F92" s="1">
        <v>95.0</v>
      </c>
      <c r="G92" s="1">
        <v>1.0</v>
      </c>
      <c r="H92" s="1">
        <v>15087.66</v>
      </c>
    </row>
    <row r="93">
      <c r="A93" s="1">
        <v>52.0</v>
      </c>
      <c r="B93" s="1" t="s">
        <v>607</v>
      </c>
      <c r="C93" s="1" t="s">
        <v>616</v>
      </c>
      <c r="D93" s="1">
        <v>0.5</v>
      </c>
      <c r="E93" s="1">
        <v>0.5</v>
      </c>
      <c r="F93" s="1">
        <v>90.0</v>
      </c>
      <c r="G93" s="1">
        <v>1.0</v>
      </c>
      <c r="H93" s="1">
        <v>15087.66</v>
      </c>
    </row>
    <row r="94">
      <c r="A94" s="1">
        <v>53.0</v>
      </c>
      <c r="B94" s="1" t="s">
        <v>604</v>
      </c>
      <c r="C94" s="1" t="s">
        <v>647</v>
      </c>
      <c r="D94" s="1" t="s">
        <v>17</v>
      </c>
      <c r="E94" s="1" t="s">
        <v>17</v>
      </c>
      <c r="F94" s="1" t="s">
        <v>17</v>
      </c>
      <c r="G94" s="1">
        <v>1.0</v>
      </c>
      <c r="H94" s="1">
        <v>113344.0</v>
      </c>
    </row>
    <row r="95">
      <c r="A95" s="1">
        <v>54.0</v>
      </c>
      <c r="B95" s="1" t="s">
        <v>17</v>
      </c>
      <c r="C95" s="1" t="s">
        <v>653</v>
      </c>
      <c r="D95" s="1" t="s">
        <v>17</v>
      </c>
      <c r="E95" s="1" t="s">
        <v>17</v>
      </c>
      <c r="F95" s="1" t="s">
        <v>17</v>
      </c>
      <c r="G95" s="1">
        <v>1.0</v>
      </c>
      <c r="H95" s="1">
        <v>70000.0</v>
      </c>
    </row>
    <row r="96">
      <c r="A96" s="1">
        <v>55.0</v>
      </c>
      <c r="B96" s="1" t="s">
        <v>604</v>
      </c>
      <c r="C96" s="1" t="s">
        <v>657</v>
      </c>
      <c r="D96" s="1" t="s">
        <v>17</v>
      </c>
      <c r="E96" s="1" t="s">
        <v>17</v>
      </c>
      <c r="F96" s="1" t="s">
        <v>17</v>
      </c>
      <c r="G96" s="1">
        <v>1.0</v>
      </c>
      <c r="H96" s="1">
        <v>13300.0</v>
      </c>
    </row>
    <row r="97">
      <c r="A97" s="1">
        <v>56.0</v>
      </c>
      <c r="B97" s="1" t="s">
        <v>604</v>
      </c>
      <c r="C97" s="1" t="s">
        <v>658</v>
      </c>
      <c r="D97" s="1" t="s">
        <v>17</v>
      </c>
      <c r="E97" s="1" t="s">
        <v>17</v>
      </c>
      <c r="F97" s="1" t="s">
        <v>17</v>
      </c>
      <c r="G97" s="1">
        <v>1.0</v>
      </c>
      <c r="H97" s="1">
        <v>67045.42</v>
      </c>
    </row>
    <row r="98">
      <c r="A98" s="1">
        <v>57.0</v>
      </c>
      <c r="B98" s="1" t="s">
        <v>601</v>
      </c>
      <c r="C98" s="1" t="s">
        <v>606</v>
      </c>
      <c r="D98" s="1">
        <v>-6.0</v>
      </c>
      <c r="E98" s="1">
        <v>-0.5</v>
      </c>
      <c r="F98" s="1">
        <v>15.0</v>
      </c>
      <c r="G98" s="1">
        <v>1.0</v>
      </c>
      <c r="H98" s="1">
        <v>6275.41</v>
      </c>
    </row>
    <row r="99">
      <c r="A99" s="1">
        <v>57.0</v>
      </c>
      <c r="B99" s="1" t="s">
        <v>607</v>
      </c>
      <c r="C99" s="1" t="s">
        <v>606</v>
      </c>
      <c r="D99" s="1">
        <v>-5.0</v>
      </c>
      <c r="E99" s="1">
        <v>-1.25</v>
      </c>
      <c r="F99" s="1">
        <v>15.0</v>
      </c>
      <c r="G99" s="1">
        <v>1.0</v>
      </c>
      <c r="H99" s="1">
        <v>6275.41</v>
      </c>
    </row>
    <row r="100">
      <c r="A100" s="1">
        <v>57.0</v>
      </c>
      <c r="B100" s="1" t="s">
        <v>17</v>
      </c>
      <c r="C100" s="1" t="s">
        <v>659</v>
      </c>
      <c r="D100" s="1" t="s">
        <v>17</v>
      </c>
      <c r="E100" s="1" t="s">
        <v>17</v>
      </c>
      <c r="F100" s="1" t="s">
        <v>17</v>
      </c>
      <c r="G100" s="1">
        <v>1.0</v>
      </c>
      <c r="H100" s="1">
        <v>7000.0</v>
      </c>
    </row>
    <row r="101">
      <c r="A101" s="1">
        <v>58.0</v>
      </c>
      <c r="B101" s="1" t="s">
        <v>604</v>
      </c>
      <c r="C101" s="1" t="s">
        <v>660</v>
      </c>
      <c r="D101" s="1" t="s">
        <v>17</v>
      </c>
      <c r="E101" s="1" t="s">
        <v>17</v>
      </c>
      <c r="F101" s="1" t="s">
        <v>17</v>
      </c>
      <c r="G101" s="1">
        <v>1.0</v>
      </c>
      <c r="H101" s="1">
        <v>72737.5</v>
      </c>
    </row>
    <row r="102">
      <c r="A102" s="1">
        <v>59.0</v>
      </c>
      <c r="B102" s="1" t="s">
        <v>17</v>
      </c>
      <c r="C102" s="1" t="s">
        <v>639</v>
      </c>
      <c r="D102" s="1" t="s">
        <v>17</v>
      </c>
      <c r="E102" s="1" t="s">
        <v>17</v>
      </c>
      <c r="F102" s="1" t="s">
        <v>17</v>
      </c>
      <c r="G102" s="1">
        <v>1.0</v>
      </c>
      <c r="H102" s="1">
        <v>38000.0</v>
      </c>
    </row>
    <row r="103">
      <c r="A103" s="1">
        <v>60.0</v>
      </c>
      <c r="B103" s="1" t="s">
        <v>17</v>
      </c>
      <c r="C103" s="1" t="s">
        <v>661</v>
      </c>
      <c r="D103" s="1" t="s">
        <v>17</v>
      </c>
      <c r="E103" s="1" t="s">
        <v>17</v>
      </c>
      <c r="F103" s="1" t="s">
        <v>17</v>
      </c>
      <c r="G103" s="1">
        <v>1.0</v>
      </c>
      <c r="H103" s="1">
        <v>66400.0</v>
      </c>
    </row>
    <row r="104">
      <c r="A104" s="1">
        <v>61.0</v>
      </c>
      <c r="B104" s="1" t="s">
        <v>17</v>
      </c>
      <c r="C104" s="1" t="s">
        <v>662</v>
      </c>
      <c r="D104" s="1" t="s">
        <v>17</v>
      </c>
      <c r="E104" s="1" t="s">
        <v>17</v>
      </c>
      <c r="F104" s="1" t="s">
        <v>17</v>
      </c>
      <c r="G104" s="1">
        <v>1.0</v>
      </c>
      <c r="H104" s="1">
        <v>89903.55</v>
      </c>
    </row>
    <row r="105">
      <c r="A105" s="1">
        <v>61.0</v>
      </c>
      <c r="B105" s="1" t="s">
        <v>17</v>
      </c>
      <c r="C105" s="1" t="s">
        <v>663</v>
      </c>
      <c r="D105" s="1" t="s">
        <v>17</v>
      </c>
      <c r="E105" s="1" t="s">
        <v>17</v>
      </c>
      <c r="F105" s="1" t="s">
        <v>17</v>
      </c>
      <c r="G105" s="1">
        <v>1.0</v>
      </c>
      <c r="H105" s="1">
        <v>41605.85</v>
      </c>
    </row>
    <row r="106">
      <c r="A106" s="1">
        <v>61.0</v>
      </c>
      <c r="B106" s="1" t="s">
        <v>17</v>
      </c>
      <c r="C106" s="1" t="s">
        <v>664</v>
      </c>
      <c r="D106" s="1">
        <v>1.0</v>
      </c>
      <c r="E106" s="1">
        <v>0.0</v>
      </c>
      <c r="F106" s="1" t="s">
        <v>17</v>
      </c>
      <c r="G106" s="1">
        <v>1.0</v>
      </c>
      <c r="H106" s="1">
        <v>51500.0</v>
      </c>
    </row>
    <row r="107">
      <c r="A107" s="1">
        <v>62.0</v>
      </c>
      <c r="B107" s="1" t="s">
        <v>17</v>
      </c>
      <c r="C107" s="1" t="s">
        <v>665</v>
      </c>
      <c r="D107" s="1">
        <v>0.0</v>
      </c>
      <c r="E107" s="1">
        <v>0.0</v>
      </c>
      <c r="F107" s="1" t="s">
        <v>17</v>
      </c>
      <c r="G107" s="1">
        <v>2.0</v>
      </c>
      <c r="H107" s="1">
        <v>42030.57</v>
      </c>
    </row>
    <row r="108">
      <c r="A108" s="1">
        <v>62.0</v>
      </c>
      <c r="B108" s="1" t="s">
        <v>17</v>
      </c>
      <c r="C108" s="1" t="s">
        <v>666</v>
      </c>
      <c r="D108" s="1" t="s">
        <v>17</v>
      </c>
      <c r="E108" s="1" t="s">
        <v>17</v>
      </c>
      <c r="F108" s="1" t="s">
        <v>17</v>
      </c>
      <c r="G108" s="1">
        <v>1.0</v>
      </c>
      <c r="H108" s="1">
        <v>10183.25</v>
      </c>
    </row>
    <row r="109">
      <c r="A109" s="1">
        <v>63.0</v>
      </c>
      <c r="B109" s="1" t="s">
        <v>17</v>
      </c>
      <c r="C109" s="1" t="s">
        <v>667</v>
      </c>
      <c r="D109" s="1" t="s">
        <v>17</v>
      </c>
      <c r="E109" s="1" t="s">
        <v>17</v>
      </c>
      <c r="F109" s="1" t="s">
        <v>17</v>
      </c>
      <c r="G109" s="1">
        <v>1.0</v>
      </c>
      <c r="H109" s="1">
        <v>10183.25</v>
      </c>
    </row>
    <row r="110">
      <c r="A110" s="1">
        <v>63.0</v>
      </c>
      <c r="B110" s="1" t="s">
        <v>601</v>
      </c>
      <c r="C110" s="1" t="s">
        <v>668</v>
      </c>
      <c r="D110" s="1">
        <v>-1.25</v>
      </c>
      <c r="E110" s="1">
        <v>-0.5</v>
      </c>
      <c r="F110" s="1">
        <v>180.0</v>
      </c>
      <c r="G110" s="1">
        <v>1.0</v>
      </c>
      <c r="H110" s="1">
        <v>11352.22</v>
      </c>
    </row>
    <row r="111">
      <c r="A111" s="1">
        <v>63.0</v>
      </c>
      <c r="B111" s="1" t="s">
        <v>607</v>
      </c>
      <c r="C111" s="1" t="s">
        <v>668</v>
      </c>
      <c r="D111" s="1">
        <v>-0.75</v>
      </c>
      <c r="E111" s="1">
        <v>0.0</v>
      </c>
      <c r="F111" s="1" t="s">
        <v>17</v>
      </c>
      <c r="G111" s="1">
        <v>1.0</v>
      </c>
      <c r="H111" s="1">
        <v>11352.22</v>
      </c>
    </row>
    <row r="112">
      <c r="A112" s="1">
        <v>64.0</v>
      </c>
      <c r="B112" s="1" t="s">
        <v>17</v>
      </c>
      <c r="C112" s="1" t="s">
        <v>669</v>
      </c>
      <c r="D112" s="1" t="s">
        <v>17</v>
      </c>
      <c r="E112" s="1" t="s">
        <v>17</v>
      </c>
      <c r="F112" s="1" t="s">
        <v>17</v>
      </c>
      <c r="G112" s="1">
        <v>1.0</v>
      </c>
      <c r="H112" s="1">
        <v>53825.75</v>
      </c>
    </row>
    <row r="113">
      <c r="A113" s="1">
        <v>64.0</v>
      </c>
      <c r="B113" s="1" t="s">
        <v>601</v>
      </c>
      <c r="C113" s="1" t="s">
        <v>606</v>
      </c>
      <c r="D113" s="1">
        <v>-2.25</v>
      </c>
      <c r="E113" s="1">
        <v>-1.5</v>
      </c>
      <c r="F113" s="1">
        <v>10.0</v>
      </c>
      <c r="G113" s="1">
        <v>1.0</v>
      </c>
      <c r="H113" s="1">
        <v>6275.41</v>
      </c>
    </row>
    <row r="114">
      <c r="A114" s="1">
        <v>64.0</v>
      </c>
      <c r="B114" s="1" t="s">
        <v>607</v>
      </c>
      <c r="C114" s="1" t="s">
        <v>606</v>
      </c>
      <c r="D114" s="1">
        <v>-0.75</v>
      </c>
      <c r="E114" s="1">
        <v>-1.5</v>
      </c>
      <c r="F114" s="1">
        <v>80.0</v>
      </c>
      <c r="G114" s="1">
        <v>1.0</v>
      </c>
      <c r="H114" s="1">
        <v>6275.41</v>
      </c>
    </row>
    <row r="115">
      <c r="A115" s="1">
        <v>1.0</v>
      </c>
      <c r="B115" s="1" t="s">
        <v>17</v>
      </c>
      <c r="C115" s="1" t="s">
        <v>639</v>
      </c>
      <c r="D115" s="1" t="s">
        <v>17</v>
      </c>
      <c r="E115" s="1" t="s">
        <v>17</v>
      </c>
      <c r="F115" s="1" t="s">
        <v>17</v>
      </c>
      <c r="G115" s="1">
        <v>1.0</v>
      </c>
      <c r="H115" s="1">
        <v>38000.0</v>
      </c>
    </row>
    <row r="116">
      <c r="A116" s="1">
        <v>65.0</v>
      </c>
      <c r="B116" s="1" t="s">
        <v>604</v>
      </c>
      <c r="C116" s="1" t="s">
        <v>669</v>
      </c>
      <c r="D116" s="1" t="s">
        <v>17</v>
      </c>
      <c r="E116" s="1" t="s">
        <v>17</v>
      </c>
      <c r="F116" s="1" t="s">
        <v>17</v>
      </c>
      <c r="G116" s="1">
        <v>1.0</v>
      </c>
      <c r="H116" s="1">
        <v>53825.75</v>
      </c>
    </row>
    <row r="117">
      <c r="A117" s="1">
        <v>65.0</v>
      </c>
      <c r="B117" s="1" t="s">
        <v>601</v>
      </c>
      <c r="C117" s="1" t="s">
        <v>606</v>
      </c>
      <c r="D117" s="1">
        <v>-2.25</v>
      </c>
      <c r="E117" s="1">
        <v>-1.5</v>
      </c>
      <c r="F117" s="1">
        <v>10.0</v>
      </c>
      <c r="G117" s="1">
        <v>1.0</v>
      </c>
      <c r="H117" s="1">
        <v>6275.41</v>
      </c>
    </row>
    <row r="118">
      <c r="A118" s="1">
        <v>65.0</v>
      </c>
      <c r="B118" s="1" t="s">
        <v>607</v>
      </c>
      <c r="C118" s="1" t="s">
        <v>606</v>
      </c>
      <c r="D118" s="1">
        <v>-0.75</v>
      </c>
      <c r="E118" s="1">
        <v>-1.5</v>
      </c>
      <c r="F118" s="1">
        <v>80.0</v>
      </c>
      <c r="G118" s="1">
        <v>1.0</v>
      </c>
      <c r="H118" s="1">
        <v>6275.41</v>
      </c>
    </row>
    <row r="119">
      <c r="A119" s="1">
        <v>66.0</v>
      </c>
      <c r="B119" s="1" t="s">
        <v>604</v>
      </c>
      <c r="C119" s="1" t="s">
        <v>670</v>
      </c>
      <c r="D119" s="1" t="s">
        <v>17</v>
      </c>
      <c r="E119" s="1" t="s">
        <v>17</v>
      </c>
      <c r="F119" s="1" t="s">
        <v>17</v>
      </c>
      <c r="G119" s="1">
        <v>1.0</v>
      </c>
      <c r="H119" s="1">
        <v>91800.0</v>
      </c>
    </row>
    <row r="120">
      <c r="A120" s="1">
        <v>66.0</v>
      </c>
      <c r="B120" s="1" t="s">
        <v>17</v>
      </c>
      <c r="C120" s="1" t="s">
        <v>616</v>
      </c>
      <c r="D120" s="1">
        <v>-1.25</v>
      </c>
      <c r="E120" s="1">
        <v>-0.5</v>
      </c>
      <c r="F120" s="1">
        <v>45.0</v>
      </c>
      <c r="G120" s="1">
        <v>2.0</v>
      </c>
      <c r="H120" s="1">
        <v>15000.0</v>
      </c>
    </row>
    <row r="121">
      <c r="A121" s="1">
        <v>66.0</v>
      </c>
      <c r="B121" s="1" t="s">
        <v>17</v>
      </c>
      <c r="C121" s="1" t="s">
        <v>616</v>
      </c>
      <c r="D121" s="1">
        <v>-0.75</v>
      </c>
      <c r="E121" s="1">
        <v>-0.25</v>
      </c>
      <c r="F121" s="1">
        <v>70.0</v>
      </c>
      <c r="G121" s="1">
        <v>2.0</v>
      </c>
      <c r="H121" s="1">
        <v>15000.0</v>
      </c>
    </row>
    <row r="122">
      <c r="A122" s="1">
        <v>67.0</v>
      </c>
      <c r="B122" s="1" t="s">
        <v>17</v>
      </c>
      <c r="C122" s="1" t="s">
        <v>671</v>
      </c>
      <c r="D122" s="1" t="s">
        <v>17</v>
      </c>
      <c r="E122" s="1" t="s">
        <v>17</v>
      </c>
      <c r="F122" s="1" t="s">
        <v>17</v>
      </c>
      <c r="G122" s="1">
        <v>1.0</v>
      </c>
      <c r="H122" s="1">
        <v>108000.0</v>
      </c>
    </row>
    <row r="123">
      <c r="A123" s="1">
        <v>67.0</v>
      </c>
      <c r="B123" s="1" t="s">
        <v>17</v>
      </c>
      <c r="C123" s="1" t="s">
        <v>672</v>
      </c>
      <c r="D123" s="1" t="s">
        <v>17</v>
      </c>
      <c r="E123" s="1" t="s">
        <v>17</v>
      </c>
      <c r="F123" s="1" t="s">
        <v>17</v>
      </c>
      <c r="G123" s="1">
        <v>1.0</v>
      </c>
      <c r="H123" s="1">
        <v>96000.0</v>
      </c>
    </row>
    <row r="124">
      <c r="A124" s="1">
        <v>68.0</v>
      </c>
      <c r="B124" s="1" t="s">
        <v>17</v>
      </c>
      <c r="C124" s="1" t="s">
        <v>673</v>
      </c>
      <c r="D124" s="1" t="s">
        <v>17</v>
      </c>
      <c r="E124" s="1" t="s">
        <v>17</v>
      </c>
      <c r="F124" s="1" t="s">
        <v>17</v>
      </c>
      <c r="G124" s="1">
        <v>1.0</v>
      </c>
      <c r="H124" s="1">
        <v>7500.0</v>
      </c>
    </row>
    <row r="125">
      <c r="A125" s="1">
        <v>69.0</v>
      </c>
      <c r="B125" s="1" t="s">
        <v>17</v>
      </c>
      <c r="C125" s="1" t="s">
        <v>606</v>
      </c>
      <c r="D125" s="1">
        <v>0.0</v>
      </c>
      <c r="E125" s="1">
        <v>0.0</v>
      </c>
      <c r="F125" s="1" t="s">
        <v>17</v>
      </c>
      <c r="G125" s="1">
        <v>2.0</v>
      </c>
      <c r="H125" s="1">
        <v>8000.0</v>
      </c>
    </row>
    <row r="126">
      <c r="A126" s="1">
        <v>69.0</v>
      </c>
      <c r="B126" s="1" t="s">
        <v>17</v>
      </c>
      <c r="C126" s="1" t="s">
        <v>674</v>
      </c>
      <c r="D126" s="1" t="s">
        <v>17</v>
      </c>
      <c r="E126" s="1" t="s">
        <v>17</v>
      </c>
      <c r="F126" s="1" t="s">
        <v>17</v>
      </c>
      <c r="G126" s="1">
        <v>1.0</v>
      </c>
      <c r="H126" s="1">
        <v>10000.0</v>
      </c>
    </row>
    <row r="127">
      <c r="A127" s="1">
        <v>70.0</v>
      </c>
      <c r="B127" s="1" t="s">
        <v>17</v>
      </c>
      <c r="C127" s="1" t="s">
        <v>616</v>
      </c>
      <c r="D127" s="1">
        <v>0.0</v>
      </c>
      <c r="E127" s="1">
        <v>0.0</v>
      </c>
      <c r="F127" s="1" t="s">
        <v>17</v>
      </c>
      <c r="G127" s="1">
        <v>2.0</v>
      </c>
      <c r="H127" s="1">
        <v>20000.0</v>
      </c>
    </row>
    <row r="128">
      <c r="A128" s="1">
        <v>70.0</v>
      </c>
      <c r="B128" s="1" t="s">
        <v>17</v>
      </c>
      <c r="C128" s="1" t="s">
        <v>675</v>
      </c>
      <c r="D128" s="1" t="s">
        <v>17</v>
      </c>
      <c r="E128" s="1" t="s">
        <v>17</v>
      </c>
      <c r="F128" s="1" t="s">
        <v>17</v>
      </c>
      <c r="G128" s="1">
        <v>1.0</v>
      </c>
      <c r="H128" s="1">
        <v>73250.0</v>
      </c>
    </row>
    <row r="129">
      <c r="A129" s="1">
        <v>71.0</v>
      </c>
      <c r="B129" s="1" t="s">
        <v>17</v>
      </c>
      <c r="C129" s="1" t="s">
        <v>676</v>
      </c>
      <c r="D129" s="1" t="s">
        <v>17</v>
      </c>
      <c r="E129" s="1" t="s">
        <v>17</v>
      </c>
      <c r="F129" s="1" t="s">
        <v>17</v>
      </c>
      <c r="G129" s="1">
        <v>1.0</v>
      </c>
      <c r="H129" s="1">
        <v>56000.0</v>
      </c>
    </row>
    <row r="130">
      <c r="A130" s="1">
        <v>71.0</v>
      </c>
      <c r="B130" s="1" t="s">
        <v>17</v>
      </c>
      <c r="C130" s="1" t="s">
        <v>677</v>
      </c>
      <c r="D130" s="1">
        <v>0.0</v>
      </c>
      <c r="E130" s="1">
        <v>0.0</v>
      </c>
      <c r="F130" s="1" t="s">
        <v>17</v>
      </c>
      <c r="G130" s="1">
        <v>1.0</v>
      </c>
      <c r="H130" s="1">
        <v>221200.0</v>
      </c>
    </row>
    <row r="131">
      <c r="A131" s="1">
        <v>72.0</v>
      </c>
      <c r="B131" s="1" t="s">
        <v>17</v>
      </c>
      <c r="C131" s="1" t="s">
        <v>678</v>
      </c>
      <c r="D131" s="1" t="s">
        <v>17</v>
      </c>
      <c r="E131" s="1" t="s">
        <v>17</v>
      </c>
      <c r="F131" s="1" t="s">
        <v>17</v>
      </c>
      <c r="G131" s="1">
        <v>1.0</v>
      </c>
      <c r="H131" s="1">
        <v>122548.14</v>
      </c>
    </row>
    <row r="132">
      <c r="A132" s="1">
        <v>73.0</v>
      </c>
      <c r="B132" s="1" t="s">
        <v>17</v>
      </c>
      <c r="C132" s="1" t="s">
        <v>630</v>
      </c>
      <c r="D132" s="1" t="s">
        <v>17</v>
      </c>
      <c r="E132" s="1" t="s">
        <v>17</v>
      </c>
      <c r="F132" s="1" t="s">
        <v>17</v>
      </c>
      <c r="G132" s="1">
        <v>1.0</v>
      </c>
      <c r="H132" s="1">
        <v>2000.0</v>
      </c>
    </row>
    <row r="133">
      <c r="A133" s="1">
        <v>74.0</v>
      </c>
      <c r="B133" s="1" t="s">
        <v>17</v>
      </c>
      <c r="C133" s="1" t="s">
        <v>679</v>
      </c>
      <c r="D133" s="1" t="s">
        <v>17</v>
      </c>
      <c r="E133" s="1" t="s">
        <v>17</v>
      </c>
      <c r="F133" s="1" t="s">
        <v>17</v>
      </c>
      <c r="G133" s="1">
        <v>1.0</v>
      </c>
      <c r="H133" s="1">
        <v>10000.0</v>
      </c>
    </row>
    <row r="134">
      <c r="A134" s="1">
        <v>74.0</v>
      </c>
      <c r="B134" s="1" t="s">
        <v>17</v>
      </c>
      <c r="C134" s="1" t="s">
        <v>616</v>
      </c>
      <c r="D134" s="1">
        <v>0.5</v>
      </c>
      <c r="E134" s="1">
        <v>-1.25</v>
      </c>
      <c r="F134" s="1">
        <v>180.0</v>
      </c>
      <c r="G134" s="1">
        <v>1.0</v>
      </c>
      <c r="H134" s="1">
        <v>15050.0</v>
      </c>
    </row>
    <row r="135">
      <c r="A135" s="1">
        <v>74.0</v>
      </c>
      <c r="B135" s="1" t="s">
        <v>17</v>
      </c>
      <c r="C135" s="1" t="s">
        <v>680</v>
      </c>
      <c r="D135" s="1">
        <v>1.0</v>
      </c>
      <c r="E135" s="1">
        <v>-3.5</v>
      </c>
      <c r="F135" s="1">
        <v>180.0</v>
      </c>
      <c r="G135" s="1">
        <v>1.0</v>
      </c>
      <c r="H135" s="1">
        <v>21850.0</v>
      </c>
    </row>
    <row r="136">
      <c r="A136" s="1">
        <v>75.0</v>
      </c>
      <c r="B136" s="1" t="s">
        <v>17</v>
      </c>
      <c r="C136" s="1" t="s">
        <v>681</v>
      </c>
      <c r="D136" s="1" t="s">
        <v>17</v>
      </c>
      <c r="E136" s="1" t="s">
        <v>17</v>
      </c>
      <c r="F136" s="1" t="s">
        <v>17</v>
      </c>
      <c r="G136" s="1">
        <v>1.0</v>
      </c>
      <c r="H136" s="1">
        <v>41600.0</v>
      </c>
    </row>
    <row r="137">
      <c r="A137" s="1">
        <v>76.0</v>
      </c>
      <c r="B137" s="1" t="s">
        <v>17</v>
      </c>
      <c r="C137" s="1" t="s">
        <v>616</v>
      </c>
      <c r="D137" s="1">
        <v>0.0</v>
      </c>
      <c r="E137" s="1">
        <v>0.75</v>
      </c>
      <c r="F137" s="1">
        <v>120.0</v>
      </c>
      <c r="G137" s="1">
        <v>1.0</v>
      </c>
      <c r="H137" s="1">
        <v>16850.0</v>
      </c>
    </row>
    <row r="138">
      <c r="A138" s="1">
        <v>76.0</v>
      </c>
      <c r="B138" s="1" t="s">
        <v>17</v>
      </c>
      <c r="C138" s="1" t="s">
        <v>616</v>
      </c>
      <c r="D138" s="1">
        <v>-0.25</v>
      </c>
      <c r="E138" s="1">
        <v>0.0</v>
      </c>
      <c r="F138" s="1" t="s">
        <v>17</v>
      </c>
      <c r="G138" s="1">
        <v>1.0</v>
      </c>
      <c r="H138" s="1">
        <v>16850.0</v>
      </c>
    </row>
    <row r="139">
      <c r="A139" s="1">
        <v>76.0</v>
      </c>
      <c r="B139" s="1" t="s">
        <v>17</v>
      </c>
      <c r="C139" s="1" t="s">
        <v>682</v>
      </c>
      <c r="D139" s="1" t="s">
        <v>17</v>
      </c>
      <c r="E139" s="1" t="s">
        <v>17</v>
      </c>
      <c r="F139" s="1" t="s">
        <v>17</v>
      </c>
      <c r="G139" s="1">
        <v>1.0</v>
      </c>
      <c r="H139" s="1">
        <v>46400.0</v>
      </c>
    </row>
    <row r="140">
      <c r="A140" s="1">
        <v>77.0</v>
      </c>
      <c r="B140" s="1" t="s">
        <v>604</v>
      </c>
      <c r="C140" s="1" t="s">
        <v>668</v>
      </c>
      <c r="D140" s="1">
        <v>0.0</v>
      </c>
      <c r="E140" s="1">
        <v>-0.5</v>
      </c>
      <c r="F140" s="1">
        <v>90.0</v>
      </c>
      <c r="G140" s="1">
        <v>2.0</v>
      </c>
      <c r="H140" s="1">
        <v>17504.27</v>
      </c>
    </row>
    <row r="141">
      <c r="A141" s="1">
        <v>77.0</v>
      </c>
      <c r="B141" s="1" t="s">
        <v>604</v>
      </c>
      <c r="C141" s="1" t="s">
        <v>683</v>
      </c>
      <c r="D141" s="1" t="s">
        <v>17</v>
      </c>
      <c r="E141" s="1" t="s">
        <v>17</v>
      </c>
      <c r="F141" s="1" t="s">
        <v>17</v>
      </c>
      <c r="G141" s="1">
        <v>1.0</v>
      </c>
      <c r="H141" s="1">
        <v>55000.0</v>
      </c>
    </row>
    <row r="142">
      <c r="A142" s="1">
        <v>78.0</v>
      </c>
      <c r="B142" s="1" t="s">
        <v>17</v>
      </c>
      <c r="C142" s="1" t="s">
        <v>611</v>
      </c>
      <c r="D142" s="1">
        <v>0.0</v>
      </c>
      <c r="E142" s="1">
        <v>-0.5</v>
      </c>
      <c r="F142" s="1">
        <v>90.0</v>
      </c>
      <c r="G142" s="1">
        <v>1.0</v>
      </c>
      <c r="H142" s="1">
        <v>36250.0</v>
      </c>
    </row>
    <row r="143">
      <c r="A143" s="1">
        <v>78.0</v>
      </c>
      <c r="B143" s="1" t="s">
        <v>17</v>
      </c>
      <c r="C143" s="1" t="s">
        <v>611</v>
      </c>
      <c r="D143" s="1">
        <v>-0.5</v>
      </c>
      <c r="E143" s="1">
        <v>-0.5</v>
      </c>
      <c r="F143" s="1">
        <v>90.0</v>
      </c>
      <c r="G143" s="1">
        <v>1.0</v>
      </c>
      <c r="H143" s="1">
        <v>36250.0</v>
      </c>
    </row>
    <row r="144">
      <c r="A144" s="1">
        <v>79.0</v>
      </c>
      <c r="B144" s="1" t="s">
        <v>17</v>
      </c>
      <c r="C144" s="1" t="s">
        <v>684</v>
      </c>
      <c r="D144" s="1" t="s">
        <v>17</v>
      </c>
      <c r="E144" s="1" t="s">
        <v>17</v>
      </c>
      <c r="F144" s="1" t="s">
        <v>17</v>
      </c>
      <c r="G144" s="1">
        <v>1.0</v>
      </c>
      <c r="H144" s="1">
        <v>2500.0</v>
      </c>
    </row>
    <row r="145">
      <c r="A145" s="1">
        <v>80.0</v>
      </c>
      <c r="B145" s="1" t="s">
        <v>17</v>
      </c>
      <c r="C145" s="1" t="s">
        <v>685</v>
      </c>
      <c r="D145" s="1" t="s">
        <v>17</v>
      </c>
      <c r="E145" s="1" t="s">
        <v>17</v>
      </c>
      <c r="F145" s="1" t="s">
        <v>17</v>
      </c>
      <c r="G145" s="1">
        <v>1.0</v>
      </c>
      <c r="H145" s="1">
        <v>87860.0</v>
      </c>
    </row>
    <row r="146">
      <c r="A146" s="1">
        <v>80.0</v>
      </c>
      <c r="B146" s="1" t="s">
        <v>17</v>
      </c>
      <c r="C146" s="1" t="s">
        <v>686</v>
      </c>
      <c r="D146" s="1" t="s">
        <v>17</v>
      </c>
      <c r="E146" s="1" t="s">
        <v>17</v>
      </c>
      <c r="F146" s="1" t="s">
        <v>17</v>
      </c>
      <c r="G146" s="1">
        <v>1.0</v>
      </c>
      <c r="H146" s="1">
        <v>40250.0</v>
      </c>
    </row>
    <row r="147">
      <c r="A147" s="1">
        <v>80.0</v>
      </c>
      <c r="B147" s="1" t="s">
        <v>17</v>
      </c>
      <c r="C147" s="1" t="s">
        <v>687</v>
      </c>
      <c r="D147" s="1">
        <v>-16.0</v>
      </c>
      <c r="E147" s="1">
        <v>0.0</v>
      </c>
      <c r="F147" s="1" t="s">
        <v>17</v>
      </c>
      <c r="G147" s="1">
        <v>1.0</v>
      </c>
      <c r="H147" s="1">
        <v>69000.0</v>
      </c>
    </row>
    <row r="148">
      <c r="A148" s="1">
        <v>80.0</v>
      </c>
      <c r="B148" s="1" t="s">
        <v>17</v>
      </c>
      <c r="C148" s="1" t="s">
        <v>687</v>
      </c>
      <c r="D148" s="1">
        <v>-12.0</v>
      </c>
      <c r="E148" s="1">
        <v>-3.0</v>
      </c>
      <c r="F148" s="1">
        <v>130.0</v>
      </c>
      <c r="G148" s="1">
        <v>1.0</v>
      </c>
      <c r="H148" s="1">
        <v>69000.0</v>
      </c>
    </row>
    <row r="149">
      <c r="A149" s="1">
        <v>80.0</v>
      </c>
      <c r="B149" s="1" t="s">
        <v>17</v>
      </c>
      <c r="C149" s="1" t="s">
        <v>688</v>
      </c>
      <c r="D149" s="1">
        <v>-16.0</v>
      </c>
      <c r="E149" s="1">
        <v>0.0</v>
      </c>
      <c r="F149" s="1" t="s">
        <v>17</v>
      </c>
      <c r="G149" s="1">
        <v>1.0</v>
      </c>
      <c r="H149" s="1">
        <v>0.0</v>
      </c>
    </row>
    <row r="150">
      <c r="A150" s="1">
        <v>80.0</v>
      </c>
      <c r="B150" s="1" t="s">
        <v>17</v>
      </c>
      <c r="C150" s="1" t="s">
        <v>688</v>
      </c>
      <c r="D150" s="1">
        <v>-12.0</v>
      </c>
      <c r="E150" s="1">
        <v>-3.0</v>
      </c>
      <c r="F150" s="1">
        <v>130.0</v>
      </c>
      <c r="G150" s="1">
        <v>1.0</v>
      </c>
      <c r="H150" s="1">
        <v>0.0</v>
      </c>
    </row>
    <row r="151">
      <c r="A151" s="1">
        <v>80.0</v>
      </c>
      <c r="B151" s="1" t="s">
        <v>17</v>
      </c>
      <c r="C151" s="1" t="s">
        <v>674</v>
      </c>
      <c r="D151" s="1" t="s">
        <v>17</v>
      </c>
      <c r="E151" s="1" t="s">
        <v>17</v>
      </c>
      <c r="F151" s="1" t="s">
        <v>17</v>
      </c>
      <c r="G151" s="1">
        <v>1.0</v>
      </c>
      <c r="H151" s="1">
        <v>0.0</v>
      </c>
    </row>
    <row r="152">
      <c r="A152" s="1">
        <v>81.0</v>
      </c>
      <c r="B152" s="1" t="s">
        <v>17</v>
      </c>
      <c r="C152" s="1" t="s">
        <v>689</v>
      </c>
      <c r="D152" s="1">
        <v>1.0</v>
      </c>
      <c r="E152" s="1">
        <v>0.0</v>
      </c>
      <c r="F152" s="1" t="s">
        <v>17</v>
      </c>
      <c r="G152" s="1">
        <v>1.0</v>
      </c>
      <c r="H152" s="1">
        <v>127690.0</v>
      </c>
    </row>
    <row r="153">
      <c r="A153" s="1">
        <v>81.0</v>
      </c>
      <c r="B153" s="1" t="s">
        <v>17</v>
      </c>
      <c r="C153" s="1" t="s">
        <v>689</v>
      </c>
      <c r="D153" s="1">
        <v>1.0</v>
      </c>
      <c r="E153" s="1">
        <v>0.0</v>
      </c>
      <c r="F153" s="1" t="s">
        <v>17</v>
      </c>
      <c r="G153" s="1">
        <v>1.0</v>
      </c>
      <c r="H153" s="1">
        <v>127690.0</v>
      </c>
    </row>
    <row r="154">
      <c r="A154" s="1">
        <v>82.0</v>
      </c>
      <c r="B154" s="1" t="s">
        <v>17</v>
      </c>
      <c r="C154" s="1" t="s">
        <v>689</v>
      </c>
      <c r="D154" s="1">
        <v>0.0</v>
      </c>
      <c r="E154" s="1">
        <v>0.0</v>
      </c>
      <c r="F154" s="1" t="s">
        <v>17</v>
      </c>
      <c r="G154" s="1">
        <v>1.0</v>
      </c>
      <c r="H154" s="1">
        <v>115089.0</v>
      </c>
    </row>
    <row r="155">
      <c r="A155" s="1">
        <v>82.0</v>
      </c>
      <c r="B155" s="1" t="s">
        <v>17</v>
      </c>
      <c r="C155" s="1" t="s">
        <v>689</v>
      </c>
      <c r="D155" s="1">
        <v>0.5</v>
      </c>
      <c r="E155" s="1">
        <v>0.0</v>
      </c>
      <c r="F155" s="1" t="s">
        <v>17</v>
      </c>
      <c r="G155" s="1">
        <v>1.0</v>
      </c>
      <c r="H155" s="1">
        <v>115089.0</v>
      </c>
    </row>
    <row r="156">
      <c r="A156" s="1">
        <v>82.0</v>
      </c>
      <c r="B156" s="1" t="s">
        <v>17</v>
      </c>
      <c r="C156" s="1" t="s">
        <v>690</v>
      </c>
      <c r="D156" s="1" t="s">
        <v>17</v>
      </c>
      <c r="E156" s="1" t="s">
        <v>17</v>
      </c>
      <c r="F156" s="1" t="s">
        <v>17</v>
      </c>
      <c r="G156" s="1">
        <v>1.0</v>
      </c>
      <c r="H156" s="1">
        <v>46000.0</v>
      </c>
    </row>
    <row r="157">
      <c r="A157" s="1">
        <v>83.0</v>
      </c>
      <c r="B157" s="1" t="s">
        <v>601</v>
      </c>
      <c r="C157" s="1" t="s">
        <v>616</v>
      </c>
      <c r="D157" s="1">
        <v>-3.5</v>
      </c>
      <c r="E157" s="1">
        <v>-0.25</v>
      </c>
      <c r="F157" s="1">
        <v>155.0</v>
      </c>
      <c r="G157" s="1">
        <v>1.0</v>
      </c>
      <c r="H157" s="1">
        <v>15000.0</v>
      </c>
    </row>
    <row r="158">
      <c r="A158" s="1">
        <v>83.0</v>
      </c>
      <c r="B158" s="1" t="s">
        <v>607</v>
      </c>
      <c r="C158" s="1" t="s">
        <v>616</v>
      </c>
      <c r="D158" s="1">
        <v>-3.25</v>
      </c>
      <c r="E158" s="1">
        <v>-0.25</v>
      </c>
      <c r="F158" s="1">
        <v>150.0</v>
      </c>
      <c r="G158" s="1">
        <v>1.0</v>
      </c>
      <c r="H158" s="1">
        <v>15000.0</v>
      </c>
    </row>
    <row r="159">
      <c r="A159" s="1">
        <v>83.0</v>
      </c>
      <c r="B159" s="1" t="s">
        <v>601</v>
      </c>
      <c r="C159" s="1" t="s">
        <v>606</v>
      </c>
      <c r="D159" s="1">
        <v>-3.5</v>
      </c>
      <c r="E159" s="1">
        <v>-0.25</v>
      </c>
      <c r="F159" s="1">
        <v>155.0</v>
      </c>
      <c r="G159" s="1">
        <v>1.0</v>
      </c>
      <c r="H159" s="1">
        <v>8000.0</v>
      </c>
    </row>
    <row r="160">
      <c r="A160" s="1">
        <v>83.0</v>
      </c>
      <c r="B160" s="1" t="s">
        <v>607</v>
      </c>
      <c r="C160" s="1" t="s">
        <v>606</v>
      </c>
      <c r="D160" s="1">
        <v>-3.25</v>
      </c>
      <c r="E160" s="1">
        <v>-0.25</v>
      </c>
      <c r="F160" s="1">
        <v>150.0</v>
      </c>
      <c r="G160" s="1">
        <v>1.0</v>
      </c>
      <c r="H160" s="1">
        <v>8000.0</v>
      </c>
    </row>
    <row r="161">
      <c r="A161" s="1">
        <v>83.0</v>
      </c>
      <c r="B161" s="1" t="s">
        <v>604</v>
      </c>
      <c r="C161" s="1" t="s">
        <v>620</v>
      </c>
      <c r="D161" s="1" t="s">
        <v>17</v>
      </c>
      <c r="E161" s="1" t="s">
        <v>17</v>
      </c>
      <c r="F161" s="1" t="s">
        <v>17</v>
      </c>
      <c r="G161" s="1">
        <v>1.0</v>
      </c>
      <c r="H161" s="1">
        <v>8000.0</v>
      </c>
    </row>
    <row r="162">
      <c r="A162" s="1">
        <v>83.0</v>
      </c>
      <c r="B162" s="1" t="s">
        <v>17</v>
      </c>
      <c r="C162" s="1" t="s">
        <v>691</v>
      </c>
      <c r="D162" s="1" t="s">
        <v>17</v>
      </c>
      <c r="E162" s="1" t="s">
        <v>17</v>
      </c>
      <c r="F162" s="1" t="s">
        <v>17</v>
      </c>
      <c r="G162" s="1">
        <v>1.0</v>
      </c>
      <c r="H162" s="1">
        <v>56000.0</v>
      </c>
    </row>
    <row r="163">
      <c r="A163" s="1">
        <v>83.0</v>
      </c>
      <c r="B163" s="1" t="s">
        <v>17</v>
      </c>
      <c r="C163" s="1" t="s">
        <v>692</v>
      </c>
      <c r="D163" s="1" t="s">
        <v>17</v>
      </c>
      <c r="E163" s="1" t="s">
        <v>17</v>
      </c>
      <c r="F163" s="1" t="s">
        <v>17</v>
      </c>
      <c r="G163" s="1">
        <v>1.0</v>
      </c>
      <c r="H163" s="1">
        <v>55000.0</v>
      </c>
    </row>
    <row r="164">
      <c r="A164" s="1">
        <v>84.0</v>
      </c>
      <c r="B164" s="1" t="s">
        <v>17</v>
      </c>
      <c r="C164" s="1" t="s">
        <v>616</v>
      </c>
      <c r="D164" s="1">
        <v>-0.5</v>
      </c>
      <c r="E164" s="1">
        <v>0.0</v>
      </c>
      <c r="F164" s="1" t="s">
        <v>17</v>
      </c>
      <c r="G164" s="1">
        <v>1.0</v>
      </c>
      <c r="H164" s="1">
        <v>21050.0</v>
      </c>
    </row>
    <row r="165">
      <c r="A165" s="1">
        <v>84.0</v>
      </c>
      <c r="B165" s="1" t="s">
        <v>17</v>
      </c>
      <c r="C165" s="1" t="s">
        <v>616</v>
      </c>
      <c r="D165" s="1">
        <v>-0.25</v>
      </c>
      <c r="E165" s="1">
        <v>0.0</v>
      </c>
      <c r="F165" s="1" t="s">
        <v>17</v>
      </c>
      <c r="G165" s="1">
        <v>1.0</v>
      </c>
      <c r="H165" s="1">
        <v>21050.0</v>
      </c>
    </row>
    <row r="166">
      <c r="A166" s="1">
        <v>84.0</v>
      </c>
      <c r="B166" s="1" t="s">
        <v>17</v>
      </c>
      <c r="C166" s="1" t="s">
        <v>693</v>
      </c>
      <c r="D166" s="1" t="s">
        <v>17</v>
      </c>
      <c r="E166" s="1" t="s">
        <v>17</v>
      </c>
      <c r="F166" s="1" t="s">
        <v>17</v>
      </c>
      <c r="G166" s="1">
        <v>1.0</v>
      </c>
      <c r="H166" s="1">
        <v>83050.0</v>
      </c>
    </row>
    <row r="167">
      <c r="A167" s="1">
        <v>85.0</v>
      </c>
      <c r="B167" s="1" t="s">
        <v>17</v>
      </c>
      <c r="C167" s="1" t="s">
        <v>694</v>
      </c>
      <c r="D167" s="1" t="s">
        <v>17</v>
      </c>
      <c r="E167" s="1" t="s">
        <v>17</v>
      </c>
      <c r="F167" s="1" t="s">
        <v>17</v>
      </c>
      <c r="G167" s="1">
        <v>1.0</v>
      </c>
      <c r="H167" s="1">
        <v>52000.0</v>
      </c>
    </row>
    <row r="168">
      <c r="A168" s="1">
        <v>86.0</v>
      </c>
      <c r="B168" s="1" t="s">
        <v>17</v>
      </c>
      <c r="C168" s="1" t="s">
        <v>685</v>
      </c>
      <c r="D168" s="1" t="s">
        <v>17</v>
      </c>
      <c r="E168" s="1" t="s">
        <v>17</v>
      </c>
      <c r="F168" s="1" t="s">
        <v>17</v>
      </c>
      <c r="G168" s="1">
        <v>1.0</v>
      </c>
      <c r="H168" s="1">
        <v>76400.0</v>
      </c>
    </row>
    <row r="169">
      <c r="A169" s="1">
        <v>86.0</v>
      </c>
      <c r="B169" s="1" t="s">
        <v>17</v>
      </c>
      <c r="C169" s="1" t="s">
        <v>686</v>
      </c>
      <c r="D169" s="1" t="s">
        <v>17</v>
      </c>
      <c r="E169" s="1" t="s">
        <v>17</v>
      </c>
      <c r="F169" s="1" t="s">
        <v>17</v>
      </c>
      <c r="G169" s="1">
        <v>1.0</v>
      </c>
      <c r="H169" s="1">
        <v>35000.0</v>
      </c>
    </row>
    <row r="170">
      <c r="A170" s="1">
        <v>86.0</v>
      </c>
      <c r="B170" s="1" t="s">
        <v>17</v>
      </c>
      <c r="C170" s="1" t="s">
        <v>687</v>
      </c>
      <c r="D170" s="1">
        <v>0.0</v>
      </c>
      <c r="E170" s="1">
        <v>0.0</v>
      </c>
      <c r="F170" s="1" t="s">
        <v>17</v>
      </c>
      <c r="G170" s="1">
        <v>1.0</v>
      </c>
      <c r="H170" s="1">
        <v>69000.0</v>
      </c>
    </row>
    <row r="171">
      <c r="A171" s="1">
        <v>86.0</v>
      </c>
      <c r="B171" s="1" t="s">
        <v>17</v>
      </c>
      <c r="C171" s="1" t="s">
        <v>687</v>
      </c>
      <c r="D171" s="1">
        <v>0.0</v>
      </c>
      <c r="E171" s="1">
        <v>0.0</v>
      </c>
      <c r="F171" s="1" t="s">
        <v>17</v>
      </c>
      <c r="G171" s="1">
        <v>1.0</v>
      </c>
      <c r="H171" s="1">
        <v>69000.0</v>
      </c>
    </row>
    <row r="172">
      <c r="A172" s="1">
        <v>86.0</v>
      </c>
      <c r="B172" s="1" t="s">
        <v>17</v>
      </c>
      <c r="C172" s="1" t="s">
        <v>688</v>
      </c>
      <c r="D172" s="1">
        <v>0.0</v>
      </c>
      <c r="E172" s="1">
        <v>0.0</v>
      </c>
      <c r="F172" s="1" t="s">
        <v>17</v>
      </c>
      <c r="G172" s="1">
        <v>1.0</v>
      </c>
      <c r="H172" s="1">
        <v>0.0</v>
      </c>
    </row>
    <row r="173">
      <c r="A173" s="1">
        <v>86.0</v>
      </c>
      <c r="B173" s="1" t="s">
        <v>17</v>
      </c>
      <c r="C173" s="1" t="s">
        <v>688</v>
      </c>
      <c r="D173" s="1">
        <v>0.0</v>
      </c>
      <c r="E173" s="1">
        <v>0.0</v>
      </c>
      <c r="F173" s="1" t="s">
        <v>17</v>
      </c>
      <c r="G173" s="1">
        <v>1.0</v>
      </c>
      <c r="H173" s="1">
        <v>0.0</v>
      </c>
    </row>
    <row r="174">
      <c r="A174" s="1">
        <v>86.0</v>
      </c>
      <c r="B174" s="1" t="s">
        <v>17</v>
      </c>
      <c r="C174" s="1" t="s">
        <v>674</v>
      </c>
      <c r="D174" s="1" t="s">
        <v>17</v>
      </c>
      <c r="E174" s="1" t="s">
        <v>17</v>
      </c>
      <c r="F174" s="1" t="s">
        <v>17</v>
      </c>
      <c r="G174" s="1">
        <v>1.0</v>
      </c>
      <c r="H174" s="1">
        <v>0.0</v>
      </c>
    </row>
    <row r="175">
      <c r="A175" s="1">
        <v>87.0</v>
      </c>
      <c r="B175" s="1" t="s">
        <v>17</v>
      </c>
      <c r="C175" s="1" t="s">
        <v>695</v>
      </c>
      <c r="D175" s="1" t="s">
        <v>17</v>
      </c>
      <c r="E175" s="1" t="s">
        <v>17</v>
      </c>
      <c r="F175" s="1" t="s">
        <v>17</v>
      </c>
      <c r="G175" s="1">
        <v>1.0</v>
      </c>
      <c r="H175" s="1">
        <v>97700.0</v>
      </c>
    </row>
    <row r="176">
      <c r="A176" s="1">
        <v>88.0</v>
      </c>
      <c r="B176" s="1" t="s">
        <v>601</v>
      </c>
      <c r="C176" s="1" t="s">
        <v>616</v>
      </c>
      <c r="D176" s="1">
        <v>0.0</v>
      </c>
      <c r="E176" s="1">
        <v>-0.5</v>
      </c>
      <c r="F176" s="1">
        <v>100.0</v>
      </c>
      <c r="G176" s="1">
        <v>1.0</v>
      </c>
      <c r="H176" s="1">
        <v>21050.6</v>
      </c>
    </row>
    <row r="177">
      <c r="A177" s="1">
        <v>88.0</v>
      </c>
      <c r="B177" s="1" t="s">
        <v>607</v>
      </c>
      <c r="C177" s="1" t="s">
        <v>616</v>
      </c>
      <c r="D177" s="1">
        <v>0.0</v>
      </c>
      <c r="E177" s="1">
        <v>-0.75</v>
      </c>
      <c r="F177" s="1">
        <v>50.0</v>
      </c>
      <c r="G177" s="1">
        <v>1.0</v>
      </c>
      <c r="H177" s="1">
        <v>21050.6</v>
      </c>
    </row>
    <row r="178">
      <c r="A178" s="1">
        <v>88.0</v>
      </c>
      <c r="B178" s="1" t="s">
        <v>17</v>
      </c>
      <c r="C178" s="1" t="s">
        <v>696</v>
      </c>
      <c r="D178" s="1" t="s">
        <v>17</v>
      </c>
      <c r="E178" s="1" t="s">
        <v>17</v>
      </c>
      <c r="F178" s="1" t="s">
        <v>17</v>
      </c>
      <c r="G178" s="1">
        <v>1.0</v>
      </c>
      <c r="H178" s="1">
        <v>42000.0</v>
      </c>
    </row>
    <row r="179">
      <c r="A179" s="1">
        <v>89.0</v>
      </c>
      <c r="B179" s="1" t="s">
        <v>604</v>
      </c>
      <c r="C179" s="1" t="s">
        <v>697</v>
      </c>
      <c r="D179" s="1" t="s">
        <v>17</v>
      </c>
      <c r="E179" s="1" t="s">
        <v>17</v>
      </c>
      <c r="F179" s="1" t="s">
        <v>17</v>
      </c>
      <c r="G179" s="1">
        <v>1.0</v>
      </c>
      <c r="H179" s="1">
        <v>97100.0</v>
      </c>
    </row>
    <row r="180">
      <c r="A180" s="1">
        <v>90.0</v>
      </c>
      <c r="B180" s="1" t="s">
        <v>17</v>
      </c>
      <c r="C180" s="1" t="s">
        <v>698</v>
      </c>
      <c r="D180" s="1" t="s">
        <v>17</v>
      </c>
      <c r="E180" s="1" t="s">
        <v>17</v>
      </c>
      <c r="F180" s="1" t="s">
        <v>17</v>
      </c>
      <c r="G180" s="1">
        <v>1.0</v>
      </c>
      <c r="H180" s="1">
        <v>113091.0</v>
      </c>
    </row>
    <row r="181">
      <c r="A181" s="1">
        <v>90.0</v>
      </c>
      <c r="B181" s="1" t="s">
        <v>17</v>
      </c>
      <c r="C181" s="1" t="s">
        <v>699</v>
      </c>
      <c r="D181" s="1" t="s">
        <v>17</v>
      </c>
      <c r="E181" s="1" t="s">
        <v>17</v>
      </c>
      <c r="F181" s="1" t="s">
        <v>17</v>
      </c>
      <c r="G181" s="1">
        <v>1.0</v>
      </c>
      <c r="H181" s="1">
        <v>87516.0</v>
      </c>
    </row>
    <row r="182">
      <c r="A182" s="1">
        <v>91.0</v>
      </c>
      <c r="B182" s="1" t="s">
        <v>17</v>
      </c>
      <c r="C182" s="1" t="s">
        <v>700</v>
      </c>
      <c r="D182" s="1" t="s">
        <v>17</v>
      </c>
      <c r="E182" s="1" t="s">
        <v>17</v>
      </c>
      <c r="F182" s="1" t="s">
        <v>17</v>
      </c>
      <c r="G182" s="1">
        <v>1.0</v>
      </c>
      <c r="H182" s="1">
        <v>55000.0</v>
      </c>
    </row>
    <row r="183">
      <c r="A183" s="1">
        <v>92.0</v>
      </c>
      <c r="B183" s="1" t="s">
        <v>17</v>
      </c>
      <c r="C183" s="1" t="s">
        <v>616</v>
      </c>
      <c r="D183" s="1">
        <v>-2.75</v>
      </c>
      <c r="E183" s="1">
        <v>-0.5</v>
      </c>
      <c r="F183" s="1">
        <v>175.0</v>
      </c>
      <c r="G183" s="1">
        <v>1.0</v>
      </c>
      <c r="H183" s="1">
        <v>16900.0</v>
      </c>
    </row>
    <row r="184">
      <c r="A184" s="1">
        <v>93.0</v>
      </c>
      <c r="B184" s="1" t="s">
        <v>17</v>
      </c>
      <c r="C184" s="1" t="s">
        <v>701</v>
      </c>
      <c r="D184" s="1" t="s">
        <v>17</v>
      </c>
      <c r="E184" s="1" t="s">
        <v>17</v>
      </c>
      <c r="F184" s="1" t="s">
        <v>17</v>
      </c>
      <c r="G184" s="1">
        <v>1.0</v>
      </c>
      <c r="H184" s="1">
        <v>56000.0</v>
      </c>
    </row>
    <row r="185">
      <c r="A185" s="1">
        <v>93.0</v>
      </c>
      <c r="B185" s="1" t="s">
        <v>17</v>
      </c>
      <c r="C185" s="1" t="s">
        <v>702</v>
      </c>
      <c r="D185" s="1">
        <v>0.75</v>
      </c>
      <c r="E185" s="1">
        <v>-0.25</v>
      </c>
      <c r="F185" s="1">
        <v>90.0</v>
      </c>
      <c r="G185" s="1">
        <v>1.0</v>
      </c>
      <c r="H185" s="1">
        <v>282000.0</v>
      </c>
    </row>
    <row r="186">
      <c r="A186" s="1">
        <v>93.0</v>
      </c>
      <c r="B186" s="1" t="s">
        <v>17</v>
      </c>
      <c r="C186" s="1" t="s">
        <v>702</v>
      </c>
      <c r="D186" s="1">
        <v>0.75</v>
      </c>
      <c r="E186" s="1">
        <v>-0.5</v>
      </c>
      <c r="F186" s="1">
        <v>45.0</v>
      </c>
      <c r="G186" s="1">
        <v>1.0</v>
      </c>
      <c r="H186" s="1">
        <v>282000.0</v>
      </c>
    </row>
    <row r="187">
      <c r="A187" s="1">
        <v>93.0</v>
      </c>
      <c r="B187" s="1" t="s">
        <v>17</v>
      </c>
      <c r="C187" s="1" t="s">
        <v>702</v>
      </c>
      <c r="D187" s="1">
        <v>0.75</v>
      </c>
      <c r="E187" s="1">
        <v>-0.25</v>
      </c>
      <c r="F187" s="1">
        <v>90.0</v>
      </c>
      <c r="G187" s="1">
        <v>1.0</v>
      </c>
      <c r="H187" s="1">
        <v>0.0</v>
      </c>
    </row>
    <row r="188">
      <c r="A188" s="1">
        <v>93.0</v>
      </c>
      <c r="B188" s="1" t="s">
        <v>17</v>
      </c>
      <c r="C188" s="1" t="s">
        <v>702</v>
      </c>
      <c r="D188" s="1">
        <v>0.75</v>
      </c>
      <c r="E188" s="1">
        <v>-0.5</v>
      </c>
      <c r="F188" s="1">
        <v>45.0</v>
      </c>
      <c r="G188" s="1">
        <v>1.0</v>
      </c>
      <c r="H188" s="1">
        <v>0.0</v>
      </c>
    </row>
    <row r="189">
      <c r="A189" s="1">
        <v>94.0</v>
      </c>
      <c r="B189" s="1" t="s">
        <v>17</v>
      </c>
      <c r="C189" s="1" t="s">
        <v>611</v>
      </c>
      <c r="D189" s="1">
        <v>-4.75</v>
      </c>
      <c r="E189" s="1">
        <v>0.0</v>
      </c>
      <c r="F189" s="1" t="s">
        <v>17</v>
      </c>
      <c r="G189" s="1">
        <v>1.0</v>
      </c>
      <c r="H189" s="1">
        <v>36250.0</v>
      </c>
    </row>
    <row r="190">
      <c r="A190" s="1">
        <v>94.0</v>
      </c>
      <c r="B190" s="1" t="s">
        <v>17</v>
      </c>
      <c r="C190" s="1" t="s">
        <v>611</v>
      </c>
      <c r="D190" s="1">
        <v>-4.0</v>
      </c>
      <c r="E190" s="1">
        <v>0.0</v>
      </c>
      <c r="F190" s="1" t="s">
        <v>17</v>
      </c>
      <c r="G190" s="1">
        <v>1.0</v>
      </c>
      <c r="H190" s="1">
        <v>36250.0</v>
      </c>
    </row>
    <row r="191">
      <c r="A191" s="1">
        <v>95.0</v>
      </c>
      <c r="B191" s="1" t="s">
        <v>17</v>
      </c>
      <c r="C191" s="1" t="s">
        <v>701</v>
      </c>
      <c r="D191" s="1" t="s">
        <v>17</v>
      </c>
      <c r="E191" s="1" t="s">
        <v>17</v>
      </c>
      <c r="F191" s="1" t="s">
        <v>17</v>
      </c>
      <c r="G191" s="1">
        <v>1.0</v>
      </c>
      <c r="H191" s="1">
        <v>56000.0</v>
      </c>
    </row>
    <row r="192">
      <c r="A192" s="1">
        <v>95.0</v>
      </c>
      <c r="B192" s="1" t="s">
        <v>17</v>
      </c>
      <c r="C192" s="1" t="s">
        <v>702</v>
      </c>
      <c r="D192" s="1">
        <v>0.75</v>
      </c>
      <c r="E192" s="1">
        <v>-0.25</v>
      </c>
      <c r="F192" s="1">
        <v>90.0</v>
      </c>
      <c r="G192" s="1">
        <v>1.0</v>
      </c>
      <c r="H192" s="1">
        <v>332000.0</v>
      </c>
    </row>
    <row r="193">
      <c r="A193" s="1">
        <v>95.0</v>
      </c>
      <c r="B193" s="1" t="s">
        <v>17</v>
      </c>
      <c r="C193" s="1" t="s">
        <v>702</v>
      </c>
      <c r="D193" s="1">
        <v>0.75</v>
      </c>
      <c r="E193" s="1">
        <v>-0.5</v>
      </c>
      <c r="F193" s="1">
        <v>45.0</v>
      </c>
      <c r="G193" s="1">
        <v>1.0</v>
      </c>
      <c r="H193" s="1">
        <v>332000.0</v>
      </c>
    </row>
    <row r="194">
      <c r="A194" s="1">
        <v>95.0</v>
      </c>
      <c r="B194" s="1" t="s">
        <v>17</v>
      </c>
      <c r="C194" s="1" t="s">
        <v>702</v>
      </c>
      <c r="D194" s="1">
        <v>0.75</v>
      </c>
      <c r="E194" s="1">
        <v>-0.25</v>
      </c>
      <c r="F194" s="1">
        <v>90.0</v>
      </c>
      <c r="G194" s="1">
        <v>1.0</v>
      </c>
      <c r="H194" s="1">
        <v>0.0</v>
      </c>
    </row>
    <row r="195">
      <c r="A195" s="1">
        <v>95.0</v>
      </c>
      <c r="B195" s="1" t="s">
        <v>17</v>
      </c>
      <c r="C195" s="1" t="s">
        <v>702</v>
      </c>
      <c r="D195" s="1">
        <v>0.75</v>
      </c>
      <c r="E195" s="1">
        <v>-0.5</v>
      </c>
      <c r="F195" s="1">
        <v>45.0</v>
      </c>
      <c r="G195" s="1">
        <v>1.0</v>
      </c>
      <c r="H195" s="1">
        <v>0.0</v>
      </c>
    </row>
    <row r="196">
      <c r="A196" s="1">
        <v>96.0</v>
      </c>
      <c r="B196" s="1" t="s">
        <v>17</v>
      </c>
      <c r="C196" s="1" t="s">
        <v>701</v>
      </c>
      <c r="D196" s="1" t="s">
        <v>17</v>
      </c>
      <c r="E196" s="1" t="s">
        <v>17</v>
      </c>
      <c r="F196" s="1" t="s">
        <v>17</v>
      </c>
      <c r="G196" s="1">
        <v>1.0</v>
      </c>
      <c r="H196" s="1">
        <v>56000.0</v>
      </c>
    </row>
    <row r="197">
      <c r="A197" s="1">
        <v>96.0</v>
      </c>
      <c r="B197" s="1" t="s">
        <v>17</v>
      </c>
      <c r="C197" s="1" t="s">
        <v>702</v>
      </c>
      <c r="D197" s="1">
        <v>0.75</v>
      </c>
      <c r="E197" s="1">
        <v>-0.25</v>
      </c>
      <c r="F197" s="1">
        <v>90.0</v>
      </c>
      <c r="G197" s="1">
        <v>1.0</v>
      </c>
      <c r="H197" s="1">
        <v>332000.0</v>
      </c>
    </row>
    <row r="198">
      <c r="A198" s="1">
        <v>96.0</v>
      </c>
      <c r="B198" s="1" t="s">
        <v>17</v>
      </c>
      <c r="C198" s="1" t="s">
        <v>702</v>
      </c>
      <c r="D198" s="1">
        <v>0.75</v>
      </c>
      <c r="E198" s="1">
        <v>-0.5</v>
      </c>
      <c r="F198" s="1">
        <v>45.0</v>
      </c>
      <c r="G198" s="1">
        <v>1.0</v>
      </c>
      <c r="H198" s="1">
        <v>332000.0</v>
      </c>
    </row>
    <row r="199">
      <c r="A199" s="1">
        <v>96.0</v>
      </c>
      <c r="B199" s="1" t="s">
        <v>17</v>
      </c>
      <c r="C199" s="1" t="s">
        <v>702</v>
      </c>
      <c r="D199" s="1">
        <v>0.75</v>
      </c>
      <c r="E199" s="1">
        <v>-0.25</v>
      </c>
      <c r="F199" s="1">
        <v>90.0</v>
      </c>
      <c r="G199" s="1">
        <v>1.0</v>
      </c>
      <c r="H199" s="1">
        <v>0.0</v>
      </c>
    </row>
    <row r="200">
      <c r="A200" s="1">
        <v>96.0</v>
      </c>
      <c r="B200" s="1" t="s">
        <v>17</v>
      </c>
      <c r="C200" s="1" t="s">
        <v>702</v>
      </c>
      <c r="D200" s="1">
        <v>0.75</v>
      </c>
      <c r="E200" s="1">
        <v>-0.5</v>
      </c>
      <c r="F200" s="1">
        <v>45.0</v>
      </c>
      <c r="G200" s="1">
        <v>1.0</v>
      </c>
      <c r="H200" s="1">
        <v>0.0</v>
      </c>
    </row>
    <row r="201">
      <c r="A201" s="1">
        <v>97.0</v>
      </c>
      <c r="B201" s="1" t="s">
        <v>17</v>
      </c>
      <c r="C201" s="1" t="s">
        <v>701</v>
      </c>
      <c r="D201" s="1" t="s">
        <v>17</v>
      </c>
      <c r="E201" s="1" t="s">
        <v>17</v>
      </c>
      <c r="F201" s="1" t="s">
        <v>17</v>
      </c>
      <c r="G201" s="1">
        <v>1.0</v>
      </c>
      <c r="H201" s="1">
        <v>56000.0</v>
      </c>
    </row>
    <row r="202">
      <c r="A202" s="1">
        <v>97.0</v>
      </c>
      <c r="B202" s="1" t="s">
        <v>17</v>
      </c>
      <c r="C202" s="1" t="s">
        <v>702</v>
      </c>
      <c r="D202" s="1">
        <v>0.75</v>
      </c>
      <c r="E202" s="1">
        <v>-0.25</v>
      </c>
      <c r="F202" s="1">
        <v>90.0</v>
      </c>
      <c r="G202" s="1">
        <v>1.0</v>
      </c>
      <c r="H202" s="1">
        <v>332000.0</v>
      </c>
    </row>
    <row r="203">
      <c r="A203" s="1">
        <v>97.0</v>
      </c>
      <c r="B203" s="1" t="s">
        <v>17</v>
      </c>
      <c r="C203" s="1" t="s">
        <v>702</v>
      </c>
      <c r="D203" s="1">
        <v>0.75</v>
      </c>
      <c r="E203" s="1">
        <v>-0.5</v>
      </c>
      <c r="F203" s="1">
        <v>45.0</v>
      </c>
      <c r="G203" s="1">
        <v>1.0</v>
      </c>
      <c r="H203" s="1">
        <v>332000.0</v>
      </c>
    </row>
    <row r="204">
      <c r="A204" s="1">
        <v>97.0</v>
      </c>
      <c r="B204" s="1" t="s">
        <v>17</v>
      </c>
      <c r="C204" s="1" t="s">
        <v>702</v>
      </c>
      <c r="D204" s="1">
        <v>0.75</v>
      </c>
      <c r="E204" s="1">
        <v>-0.25</v>
      </c>
      <c r="F204" s="1">
        <v>90.0</v>
      </c>
      <c r="G204" s="1">
        <v>1.0</v>
      </c>
      <c r="H204" s="1">
        <v>0.0</v>
      </c>
    </row>
    <row r="205">
      <c r="A205" s="1">
        <v>97.0</v>
      </c>
      <c r="B205" s="1" t="s">
        <v>17</v>
      </c>
      <c r="C205" s="1" t="s">
        <v>702</v>
      </c>
      <c r="D205" s="1">
        <v>0.75</v>
      </c>
      <c r="E205" s="1">
        <v>-0.5</v>
      </c>
      <c r="F205" s="1">
        <v>45.0</v>
      </c>
      <c r="G205" s="1">
        <v>1.0</v>
      </c>
      <c r="H205" s="1">
        <v>0.0</v>
      </c>
    </row>
    <row r="206">
      <c r="A206" s="1">
        <v>98.0</v>
      </c>
      <c r="B206" s="1" t="s">
        <v>17</v>
      </c>
      <c r="C206" s="1" t="s">
        <v>703</v>
      </c>
      <c r="D206" s="1" t="s">
        <v>17</v>
      </c>
      <c r="E206" s="1" t="s">
        <v>17</v>
      </c>
      <c r="F206" s="1" t="s">
        <v>17</v>
      </c>
      <c r="G206" s="1">
        <v>1.0</v>
      </c>
      <c r="H206" s="1">
        <v>48000.0</v>
      </c>
    </row>
    <row r="207">
      <c r="A207" s="1">
        <v>99.0</v>
      </c>
      <c r="B207" s="1" t="s">
        <v>17</v>
      </c>
      <c r="C207" s="1" t="s">
        <v>704</v>
      </c>
      <c r="D207" s="1" t="s">
        <v>17</v>
      </c>
      <c r="E207" s="1" t="s">
        <v>17</v>
      </c>
      <c r="F207" s="1" t="s">
        <v>17</v>
      </c>
      <c r="G207" s="1">
        <v>1.0</v>
      </c>
      <c r="H207" s="1">
        <v>66000.0</v>
      </c>
    </row>
    <row r="208">
      <c r="A208" s="1">
        <v>99.0</v>
      </c>
      <c r="B208" s="1" t="s">
        <v>604</v>
      </c>
      <c r="C208" s="1" t="s">
        <v>611</v>
      </c>
      <c r="D208" s="1">
        <v>-0.5</v>
      </c>
      <c r="E208" s="1">
        <v>-0.5</v>
      </c>
      <c r="F208" s="1">
        <v>180.0</v>
      </c>
      <c r="G208" s="1">
        <v>2.0</v>
      </c>
      <c r="H208" s="1">
        <v>45271.0</v>
      </c>
    </row>
    <row r="209">
      <c r="A209" s="1">
        <v>100.0</v>
      </c>
      <c r="B209" s="1" t="s">
        <v>604</v>
      </c>
      <c r="C209" s="1" t="s">
        <v>606</v>
      </c>
      <c r="D209" s="1">
        <v>0.0</v>
      </c>
      <c r="E209" s="1">
        <v>0.0</v>
      </c>
      <c r="F209" s="1" t="s">
        <v>17</v>
      </c>
      <c r="G209" s="1">
        <v>2.0</v>
      </c>
      <c r="H209" s="1">
        <v>0.0</v>
      </c>
    </row>
    <row r="210">
      <c r="A210" s="1">
        <v>100.0</v>
      </c>
      <c r="B210" s="1" t="s">
        <v>604</v>
      </c>
      <c r="C210" s="1" t="s">
        <v>705</v>
      </c>
      <c r="D210" s="1">
        <v>0.0</v>
      </c>
      <c r="E210" s="1">
        <v>0.0</v>
      </c>
      <c r="F210" s="1" t="s">
        <v>17</v>
      </c>
      <c r="G210" s="1">
        <v>2.0</v>
      </c>
      <c r="H210" s="1">
        <v>25000.0</v>
      </c>
    </row>
    <row r="211">
      <c r="A211" s="1">
        <v>100.0</v>
      </c>
      <c r="B211" s="1" t="s">
        <v>17</v>
      </c>
      <c r="C211" s="1" t="s">
        <v>706</v>
      </c>
      <c r="D211" s="1" t="s">
        <v>17</v>
      </c>
      <c r="E211" s="1" t="s">
        <v>17</v>
      </c>
      <c r="F211" s="1" t="s">
        <v>17</v>
      </c>
      <c r="G211" s="1">
        <v>1.0</v>
      </c>
      <c r="H211" s="1">
        <v>47700.0</v>
      </c>
    </row>
    <row r="212">
      <c r="A212" s="1">
        <v>100.0</v>
      </c>
      <c r="B212" s="1" t="s">
        <v>17</v>
      </c>
      <c r="C212" s="1" t="s">
        <v>707</v>
      </c>
      <c r="D212" s="1" t="s">
        <v>17</v>
      </c>
      <c r="E212" s="1" t="s">
        <v>17</v>
      </c>
      <c r="F212" s="1" t="s">
        <v>17</v>
      </c>
      <c r="G212" s="1">
        <v>1.0</v>
      </c>
      <c r="H212" s="1">
        <v>70000.0</v>
      </c>
    </row>
    <row r="213">
      <c r="A213" s="1">
        <v>100.0</v>
      </c>
      <c r="B213" s="1" t="s">
        <v>17</v>
      </c>
      <c r="C213" s="1" t="s">
        <v>620</v>
      </c>
      <c r="D213" s="1" t="s">
        <v>17</v>
      </c>
      <c r="E213" s="1" t="s">
        <v>17</v>
      </c>
      <c r="F213" s="1" t="s">
        <v>17</v>
      </c>
      <c r="G213" s="1">
        <v>1.0</v>
      </c>
      <c r="H213" s="1">
        <v>0.0</v>
      </c>
    </row>
    <row r="214">
      <c r="A214" s="1">
        <v>101.0</v>
      </c>
      <c r="B214" s="1" t="s">
        <v>17</v>
      </c>
      <c r="C214" s="1" t="s">
        <v>684</v>
      </c>
      <c r="D214" s="1" t="s">
        <v>17</v>
      </c>
      <c r="E214" s="1" t="s">
        <v>17</v>
      </c>
      <c r="F214" s="1" t="s">
        <v>17</v>
      </c>
      <c r="G214" s="1">
        <v>1.0</v>
      </c>
      <c r="H214" s="1">
        <v>2000.0</v>
      </c>
    </row>
    <row r="215">
      <c r="A215" s="1">
        <v>102.0</v>
      </c>
      <c r="B215" s="1" t="s">
        <v>604</v>
      </c>
      <c r="C215" s="1" t="s">
        <v>708</v>
      </c>
      <c r="D215" s="1">
        <v>0.0</v>
      </c>
      <c r="E215" s="1">
        <v>0.0</v>
      </c>
      <c r="F215" s="1" t="s">
        <v>17</v>
      </c>
      <c r="G215" s="1">
        <v>1.0</v>
      </c>
      <c r="H215" s="1">
        <v>38500.0</v>
      </c>
    </row>
    <row r="216">
      <c r="A216" s="1">
        <v>103.0</v>
      </c>
      <c r="B216" s="1" t="s">
        <v>17</v>
      </c>
      <c r="C216" s="1" t="s">
        <v>709</v>
      </c>
      <c r="D216" s="1" t="s">
        <v>17</v>
      </c>
      <c r="E216" s="1" t="s">
        <v>17</v>
      </c>
      <c r="F216" s="1" t="s">
        <v>17</v>
      </c>
      <c r="G216" s="1">
        <v>1.0</v>
      </c>
      <c r="H216" s="1">
        <v>32561.0</v>
      </c>
    </row>
    <row r="217">
      <c r="A217" s="1">
        <v>104.0</v>
      </c>
      <c r="B217" s="1" t="s">
        <v>604</v>
      </c>
      <c r="C217" s="1" t="s">
        <v>616</v>
      </c>
      <c r="D217" s="1">
        <v>0.0</v>
      </c>
      <c r="E217" s="1">
        <v>0.0</v>
      </c>
      <c r="F217" s="1" t="s">
        <v>17</v>
      </c>
      <c r="G217" s="1">
        <v>1.0</v>
      </c>
      <c r="H217" s="1">
        <v>33800.0</v>
      </c>
    </row>
    <row r="218">
      <c r="A218" s="1">
        <v>105.0</v>
      </c>
      <c r="B218" s="1" t="s">
        <v>604</v>
      </c>
      <c r="C218" s="1" t="s">
        <v>689</v>
      </c>
      <c r="D218" s="1">
        <v>1.25</v>
      </c>
      <c r="E218" s="1">
        <v>0.0</v>
      </c>
      <c r="F218" s="1" t="s">
        <v>17</v>
      </c>
      <c r="G218" s="1">
        <v>1.0</v>
      </c>
      <c r="H218" s="1">
        <v>114500.0</v>
      </c>
    </row>
    <row r="219">
      <c r="A219" s="1">
        <v>105.0</v>
      </c>
      <c r="B219" s="1" t="s">
        <v>17</v>
      </c>
      <c r="C219" s="1" t="s">
        <v>710</v>
      </c>
      <c r="D219" s="1" t="s">
        <v>17</v>
      </c>
      <c r="E219" s="1" t="s">
        <v>17</v>
      </c>
      <c r="F219" s="1" t="s">
        <v>17</v>
      </c>
      <c r="G219" s="1">
        <v>1.0</v>
      </c>
      <c r="H219" s="1">
        <v>50000.0</v>
      </c>
    </row>
    <row r="220">
      <c r="A220" s="1">
        <v>106.0</v>
      </c>
      <c r="B220" s="1" t="s">
        <v>17</v>
      </c>
      <c r="C220" s="1" t="s">
        <v>711</v>
      </c>
      <c r="D220" s="1" t="s">
        <v>17</v>
      </c>
      <c r="E220" s="1" t="s">
        <v>17</v>
      </c>
      <c r="F220" s="1" t="s">
        <v>17</v>
      </c>
      <c r="G220" s="1">
        <v>1.0</v>
      </c>
      <c r="H220" s="1">
        <v>25000.0</v>
      </c>
    </row>
    <row r="221">
      <c r="A221" s="1">
        <v>106.0</v>
      </c>
      <c r="B221" s="1" t="s">
        <v>17</v>
      </c>
      <c r="C221" s="1" t="s">
        <v>616</v>
      </c>
      <c r="D221" s="1">
        <v>2.5</v>
      </c>
      <c r="E221" s="1">
        <v>0.0</v>
      </c>
      <c r="F221" s="1" t="s">
        <v>17</v>
      </c>
      <c r="G221" s="1">
        <v>1.0</v>
      </c>
      <c r="H221" s="1">
        <v>16000.0</v>
      </c>
    </row>
    <row r="222">
      <c r="A222" s="1">
        <v>106.0</v>
      </c>
      <c r="B222" s="1" t="s">
        <v>17</v>
      </c>
      <c r="C222" s="1" t="s">
        <v>616</v>
      </c>
      <c r="D222" s="1">
        <v>2.5</v>
      </c>
      <c r="E222" s="1">
        <v>0.25</v>
      </c>
      <c r="F222" s="1">
        <v>60.0</v>
      </c>
      <c r="G222" s="1">
        <v>1.0</v>
      </c>
      <c r="H222" s="1">
        <v>16000.0</v>
      </c>
    </row>
    <row r="223">
      <c r="A223" s="1">
        <v>107.0</v>
      </c>
      <c r="B223" s="1" t="s">
        <v>604</v>
      </c>
      <c r="C223" s="1" t="s">
        <v>610</v>
      </c>
      <c r="D223" s="1">
        <v>0.0</v>
      </c>
      <c r="E223" s="1">
        <v>3.0</v>
      </c>
      <c r="F223" s="1" t="s">
        <v>17</v>
      </c>
      <c r="G223" s="1">
        <v>2.0</v>
      </c>
      <c r="H223" s="1">
        <v>55500.0</v>
      </c>
    </row>
    <row r="224">
      <c r="A224" s="1">
        <v>107.0</v>
      </c>
      <c r="B224" s="1" t="s">
        <v>17</v>
      </c>
      <c r="C224" s="1" t="s">
        <v>712</v>
      </c>
      <c r="D224" s="1" t="s">
        <v>17</v>
      </c>
      <c r="E224" s="1" t="s">
        <v>17</v>
      </c>
      <c r="F224" s="1" t="s">
        <v>17</v>
      </c>
      <c r="G224" s="1">
        <v>1.0</v>
      </c>
      <c r="H224" s="1">
        <v>57325.0</v>
      </c>
    </row>
    <row r="225">
      <c r="A225" s="1">
        <v>108.0</v>
      </c>
      <c r="B225" s="1" t="s">
        <v>17</v>
      </c>
      <c r="C225" s="1" t="s">
        <v>713</v>
      </c>
      <c r="D225" s="1" t="s">
        <v>17</v>
      </c>
      <c r="E225" s="1" t="s">
        <v>17</v>
      </c>
      <c r="F225" s="1" t="s">
        <v>17</v>
      </c>
      <c r="G225" s="1">
        <v>1.0</v>
      </c>
      <c r="H225" s="1">
        <v>20000.0</v>
      </c>
    </row>
    <row r="226">
      <c r="A226" s="1">
        <v>108.0</v>
      </c>
      <c r="B226" s="1" t="s">
        <v>17</v>
      </c>
      <c r="C226" s="1" t="s">
        <v>714</v>
      </c>
      <c r="D226" s="1" t="s">
        <v>17</v>
      </c>
      <c r="E226" s="1" t="s">
        <v>17</v>
      </c>
      <c r="F226" s="1" t="s">
        <v>17</v>
      </c>
      <c r="G226" s="1">
        <v>1.0</v>
      </c>
      <c r="H226" s="1">
        <v>60000.0</v>
      </c>
    </row>
    <row r="227">
      <c r="A227" s="1">
        <v>108.0</v>
      </c>
      <c r="B227" s="1" t="s">
        <v>601</v>
      </c>
      <c r="C227" s="1" t="s">
        <v>606</v>
      </c>
      <c r="D227" s="1">
        <v>-0.25</v>
      </c>
      <c r="E227" s="1">
        <v>0.75</v>
      </c>
      <c r="F227" s="1">
        <v>80.0</v>
      </c>
      <c r="G227" s="1">
        <v>1.0</v>
      </c>
      <c r="H227" s="1">
        <v>5350.0</v>
      </c>
    </row>
    <row r="228">
      <c r="A228" s="1">
        <v>108.0</v>
      </c>
      <c r="B228" s="1" t="s">
        <v>607</v>
      </c>
      <c r="C228" s="1" t="s">
        <v>606</v>
      </c>
      <c r="D228" s="1">
        <v>-1.5</v>
      </c>
      <c r="E228" s="1">
        <v>2.0</v>
      </c>
      <c r="F228" s="1">
        <v>90.0</v>
      </c>
      <c r="G228" s="1">
        <v>1.0</v>
      </c>
      <c r="H228" s="1">
        <v>5350.0</v>
      </c>
    </row>
    <row r="229">
      <c r="A229" s="1">
        <v>108.0</v>
      </c>
      <c r="B229" s="1" t="s">
        <v>601</v>
      </c>
      <c r="C229" s="1" t="s">
        <v>616</v>
      </c>
      <c r="D229" s="1">
        <v>-0.25</v>
      </c>
      <c r="E229" s="1">
        <v>0.75</v>
      </c>
      <c r="F229" s="1">
        <v>80.0</v>
      </c>
      <c r="G229" s="1">
        <v>1.0</v>
      </c>
      <c r="H229" s="1">
        <v>15000.0</v>
      </c>
    </row>
    <row r="230">
      <c r="A230" s="1">
        <v>108.0</v>
      </c>
      <c r="B230" s="1" t="s">
        <v>607</v>
      </c>
      <c r="C230" s="1" t="s">
        <v>616</v>
      </c>
      <c r="D230" s="1">
        <v>-1.5</v>
      </c>
      <c r="E230" s="1">
        <v>2.0</v>
      </c>
      <c r="F230" s="1">
        <v>90.0</v>
      </c>
      <c r="G230" s="1">
        <v>1.0</v>
      </c>
      <c r="H230" s="1">
        <v>15000.0</v>
      </c>
    </row>
    <row r="231">
      <c r="A231" s="1">
        <v>109.0</v>
      </c>
      <c r="B231" s="1" t="s">
        <v>17</v>
      </c>
      <c r="C231" s="1" t="s">
        <v>715</v>
      </c>
      <c r="D231" s="1" t="s">
        <v>17</v>
      </c>
      <c r="E231" s="1" t="s">
        <v>17</v>
      </c>
      <c r="F231" s="1" t="s">
        <v>17</v>
      </c>
      <c r="G231" s="1">
        <v>1.0</v>
      </c>
      <c r="H231" s="1">
        <v>24300.0</v>
      </c>
    </row>
    <row r="232">
      <c r="A232" s="1">
        <v>109.0</v>
      </c>
      <c r="B232" s="1" t="s">
        <v>601</v>
      </c>
      <c r="C232" s="1" t="s">
        <v>606</v>
      </c>
      <c r="D232" s="1">
        <v>3.25</v>
      </c>
      <c r="E232" s="1">
        <v>0.5</v>
      </c>
      <c r="F232" s="1">
        <v>105.0</v>
      </c>
      <c r="G232" s="1">
        <v>1.0</v>
      </c>
      <c r="H232" s="1">
        <v>5350.0</v>
      </c>
    </row>
    <row r="233">
      <c r="A233" s="1">
        <v>109.0</v>
      </c>
      <c r="B233" s="1" t="s">
        <v>607</v>
      </c>
      <c r="C233" s="1" t="s">
        <v>606</v>
      </c>
      <c r="D233" s="1">
        <v>1.75</v>
      </c>
      <c r="E233" s="1">
        <v>0.25</v>
      </c>
      <c r="F233" s="1">
        <v>100.0</v>
      </c>
      <c r="G233" s="1">
        <v>1.0</v>
      </c>
      <c r="H233" s="1">
        <v>5350.0</v>
      </c>
    </row>
    <row r="234">
      <c r="A234" s="1">
        <v>110.0</v>
      </c>
      <c r="B234" s="1" t="s">
        <v>17</v>
      </c>
      <c r="C234" s="1" t="s">
        <v>716</v>
      </c>
      <c r="D234" s="1" t="s">
        <v>17</v>
      </c>
      <c r="E234" s="1" t="s">
        <v>17</v>
      </c>
      <c r="F234" s="1" t="s">
        <v>17</v>
      </c>
      <c r="G234" s="1">
        <v>1.0</v>
      </c>
      <c r="H234" s="1">
        <v>24300.0</v>
      </c>
    </row>
    <row r="235">
      <c r="A235" s="1">
        <v>110.0</v>
      </c>
      <c r="B235" s="1" t="s">
        <v>601</v>
      </c>
      <c r="C235" s="1" t="s">
        <v>606</v>
      </c>
      <c r="D235" s="1">
        <v>0.0</v>
      </c>
      <c r="E235" s="1">
        <v>0.75</v>
      </c>
      <c r="F235" s="1">
        <v>95.0</v>
      </c>
      <c r="G235" s="1">
        <v>1.0</v>
      </c>
      <c r="H235" s="1">
        <v>5350.0</v>
      </c>
    </row>
    <row r="236">
      <c r="A236" s="1">
        <v>110.0</v>
      </c>
      <c r="B236" s="1" t="s">
        <v>607</v>
      </c>
      <c r="C236" s="1" t="s">
        <v>606</v>
      </c>
      <c r="D236" s="1">
        <v>0.0</v>
      </c>
      <c r="E236" s="1">
        <v>1.0</v>
      </c>
      <c r="F236" s="1">
        <v>90.0</v>
      </c>
      <c r="G236" s="1">
        <v>1.0</v>
      </c>
      <c r="H236" s="1">
        <v>5350.0</v>
      </c>
    </row>
    <row r="237">
      <c r="A237" s="1">
        <v>111.0</v>
      </c>
      <c r="B237" s="1" t="s">
        <v>17</v>
      </c>
      <c r="C237" s="1" t="s">
        <v>630</v>
      </c>
      <c r="D237" s="1" t="s">
        <v>17</v>
      </c>
      <c r="E237" s="1" t="s">
        <v>17</v>
      </c>
      <c r="F237" s="1" t="s">
        <v>17</v>
      </c>
      <c r="G237" s="1">
        <v>1.0</v>
      </c>
      <c r="H237" s="1">
        <v>2000.0</v>
      </c>
    </row>
    <row r="238">
      <c r="A238" s="1">
        <v>112.0</v>
      </c>
      <c r="B238" s="1" t="s">
        <v>601</v>
      </c>
      <c r="C238" s="1" t="s">
        <v>608</v>
      </c>
      <c r="D238" s="1">
        <v>0.0</v>
      </c>
      <c r="E238" s="1">
        <v>-1.0</v>
      </c>
      <c r="F238" s="1">
        <v>175.0</v>
      </c>
      <c r="G238" s="1">
        <v>1.0</v>
      </c>
      <c r="H238" s="1">
        <v>15000.0</v>
      </c>
    </row>
    <row r="239">
      <c r="A239" s="1">
        <v>112.0</v>
      </c>
      <c r="B239" s="1" t="s">
        <v>607</v>
      </c>
      <c r="C239" s="1" t="s">
        <v>608</v>
      </c>
      <c r="D239" s="1">
        <v>0.0</v>
      </c>
      <c r="E239" s="1">
        <v>0.0</v>
      </c>
      <c r="F239" s="1">
        <v>180.0</v>
      </c>
      <c r="G239" s="1">
        <v>1.0</v>
      </c>
      <c r="H239" s="1">
        <v>15000.0</v>
      </c>
    </row>
    <row r="240">
      <c r="A240" s="1">
        <v>113.0</v>
      </c>
      <c r="B240" s="1" t="s">
        <v>17</v>
      </c>
      <c r="C240" s="1" t="s">
        <v>717</v>
      </c>
      <c r="D240" s="1" t="s">
        <v>17</v>
      </c>
      <c r="E240" s="1" t="s">
        <v>17</v>
      </c>
      <c r="F240" s="1" t="s">
        <v>17</v>
      </c>
      <c r="G240" s="1">
        <v>1.0</v>
      </c>
      <c r="H240" s="1">
        <v>76000.0</v>
      </c>
    </row>
    <row r="241">
      <c r="A241" s="1">
        <v>113.0</v>
      </c>
      <c r="B241" s="1" t="s">
        <v>601</v>
      </c>
      <c r="C241" s="1" t="s">
        <v>610</v>
      </c>
      <c r="D241" s="1">
        <v>-6.0</v>
      </c>
      <c r="E241" s="1">
        <v>-1.25</v>
      </c>
      <c r="F241" s="1">
        <v>5.0</v>
      </c>
      <c r="G241" s="1">
        <v>1.0</v>
      </c>
      <c r="H241" s="1">
        <v>37400.0</v>
      </c>
    </row>
    <row r="242">
      <c r="A242" s="1">
        <v>113.0</v>
      </c>
      <c r="B242" s="1" t="s">
        <v>607</v>
      </c>
      <c r="C242" s="1" t="s">
        <v>610</v>
      </c>
      <c r="D242" s="1">
        <v>-3.25</v>
      </c>
      <c r="E242" s="1">
        <v>-2.25</v>
      </c>
      <c r="F242" s="1">
        <v>175.0</v>
      </c>
      <c r="G242" s="1">
        <v>1.0</v>
      </c>
      <c r="H242" s="1">
        <v>37400.0</v>
      </c>
    </row>
    <row r="243">
      <c r="A243" s="1">
        <v>114.0</v>
      </c>
      <c r="B243" s="1" t="s">
        <v>17</v>
      </c>
      <c r="C243" s="1" t="s">
        <v>718</v>
      </c>
      <c r="D243" s="1">
        <v>-1.75</v>
      </c>
      <c r="E243" s="1">
        <v>-0.5</v>
      </c>
      <c r="F243" s="1">
        <v>160.0</v>
      </c>
      <c r="G243" s="1">
        <v>1.0</v>
      </c>
      <c r="H243" s="1">
        <v>34189.0</v>
      </c>
    </row>
    <row r="244">
      <c r="A244" s="1">
        <v>114.0</v>
      </c>
      <c r="B244" s="1" t="s">
        <v>17</v>
      </c>
      <c r="C244" s="1" t="s">
        <v>718</v>
      </c>
      <c r="D244" s="1">
        <v>-2.25</v>
      </c>
      <c r="E244" s="1">
        <v>0.0</v>
      </c>
      <c r="F244" s="1" t="s">
        <v>17</v>
      </c>
      <c r="G244" s="1">
        <v>1.0</v>
      </c>
      <c r="H244" s="1">
        <v>34171.0</v>
      </c>
    </row>
    <row r="245">
      <c r="A245" s="1">
        <v>114.0</v>
      </c>
      <c r="B245" s="1" t="s">
        <v>17</v>
      </c>
      <c r="C245" s="1" t="s">
        <v>719</v>
      </c>
      <c r="D245" s="1" t="s">
        <v>17</v>
      </c>
      <c r="E245" s="1" t="s">
        <v>17</v>
      </c>
      <c r="F245" s="1" t="s">
        <v>17</v>
      </c>
      <c r="G245" s="1">
        <v>1.0</v>
      </c>
      <c r="H245" s="1">
        <v>101640.0</v>
      </c>
    </row>
    <row r="246">
      <c r="A246" s="1">
        <v>115.0</v>
      </c>
      <c r="B246" s="1" t="s">
        <v>17</v>
      </c>
      <c r="C246" s="1" t="s">
        <v>720</v>
      </c>
      <c r="D246" s="1" t="s">
        <v>17</v>
      </c>
      <c r="E246" s="1" t="s">
        <v>17</v>
      </c>
      <c r="F246" s="1" t="s">
        <v>17</v>
      </c>
      <c r="G246" s="1">
        <v>2.0</v>
      </c>
      <c r="H246" s="1">
        <v>3000.0</v>
      </c>
    </row>
    <row r="247">
      <c r="A247" s="1">
        <v>116.0</v>
      </c>
      <c r="B247" s="1" t="s">
        <v>17</v>
      </c>
      <c r="C247" s="1" t="s">
        <v>720</v>
      </c>
      <c r="D247" s="1" t="s">
        <v>17</v>
      </c>
      <c r="E247" s="1" t="s">
        <v>17</v>
      </c>
      <c r="F247" s="1" t="s">
        <v>17</v>
      </c>
      <c r="G247" s="1">
        <v>1.0</v>
      </c>
      <c r="H247" s="1">
        <v>3000.0</v>
      </c>
    </row>
    <row r="248">
      <c r="A248" s="1">
        <v>117.0</v>
      </c>
      <c r="B248" s="1" t="s">
        <v>604</v>
      </c>
      <c r="C248" s="1" t="s">
        <v>721</v>
      </c>
      <c r="D248" s="1" t="s">
        <v>17</v>
      </c>
      <c r="E248" s="1" t="s">
        <v>17</v>
      </c>
      <c r="F248" s="1" t="s">
        <v>17</v>
      </c>
      <c r="G248" s="1">
        <v>1.0</v>
      </c>
      <c r="H248" s="1">
        <v>108800.0</v>
      </c>
    </row>
    <row r="249">
      <c r="A249" s="1">
        <v>118.0</v>
      </c>
      <c r="B249" s="1" t="s">
        <v>17</v>
      </c>
      <c r="C249" s="1" t="s">
        <v>722</v>
      </c>
      <c r="D249" s="1" t="s">
        <v>17</v>
      </c>
      <c r="E249" s="1" t="s">
        <v>17</v>
      </c>
      <c r="F249" s="1" t="s">
        <v>17</v>
      </c>
      <c r="G249" s="1">
        <v>1.0</v>
      </c>
      <c r="H249" s="1">
        <v>25000.0</v>
      </c>
    </row>
    <row r="250">
      <c r="A250" s="1">
        <v>118.0</v>
      </c>
      <c r="B250" s="1" t="s">
        <v>601</v>
      </c>
      <c r="C250" s="1" t="s">
        <v>668</v>
      </c>
      <c r="D250" s="1">
        <v>0.75</v>
      </c>
      <c r="E250" s="1">
        <v>0.0</v>
      </c>
      <c r="F250" s="1" t="s">
        <v>17</v>
      </c>
      <c r="G250" s="1">
        <v>1.0</v>
      </c>
      <c r="H250" s="1">
        <v>17504.27</v>
      </c>
    </row>
    <row r="251">
      <c r="A251" s="1">
        <v>118.0</v>
      </c>
      <c r="B251" s="1" t="s">
        <v>607</v>
      </c>
      <c r="C251" s="1" t="s">
        <v>668</v>
      </c>
      <c r="D251" s="1">
        <v>0.75</v>
      </c>
      <c r="E251" s="1">
        <v>0.0</v>
      </c>
      <c r="F251" s="1" t="s">
        <v>17</v>
      </c>
      <c r="G251" s="1">
        <v>1.0</v>
      </c>
      <c r="H251" s="1">
        <v>17504.27</v>
      </c>
    </row>
    <row r="252">
      <c r="A252" s="1">
        <v>119.0</v>
      </c>
      <c r="B252" s="1" t="s">
        <v>601</v>
      </c>
      <c r="C252" s="1" t="s">
        <v>616</v>
      </c>
      <c r="D252" s="1">
        <v>1.75</v>
      </c>
      <c r="E252" s="1">
        <v>-0.25</v>
      </c>
      <c r="F252" s="1">
        <v>50.0</v>
      </c>
      <c r="G252" s="1">
        <v>1.0</v>
      </c>
      <c r="H252" s="1">
        <v>12250.0</v>
      </c>
    </row>
    <row r="253">
      <c r="A253" s="1">
        <v>119.0</v>
      </c>
      <c r="B253" s="1" t="s">
        <v>607</v>
      </c>
      <c r="C253" s="1" t="s">
        <v>616</v>
      </c>
      <c r="D253" s="1">
        <v>2.0</v>
      </c>
      <c r="E253" s="1">
        <v>0.0</v>
      </c>
      <c r="F253" s="1" t="s">
        <v>17</v>
      </c>
      <c r="G253" s="1">
        <v>1.0</v>
      </c>
      <c r="H253" s="1">
        <v>12250.0</v>
      </c>
    </row>
    <row r="254">
      <c r="A254" s="1">
        <v>120.0</v>
      </c>
      <c r="B254" s="1" t="s">
        <v>601</v>
      </c>
      <c r="C254" s="1" t="s">
        <v>616</v>
      </c>
      <c r="D254" s="1">
        <v>-0.75</v>
      </c>
      <c r="E254" s="1">
        <v>-0.25</v>
      </c>
      <c r="F254" s="1">
        <v>120.0</v>
      </c>
      <c r="G254" s="1">
        <v>1.0</v>
      </c>
      <c r="H254" s="1">
        <v>24500.0</v>
      </c>
    </row>
    <row r="255">
      <c r="A255" s="1">
        <v>120.0</v>
      </c>
      <c r="B255" s="1" t="s">
        <v>607</v>
      </c>
      <c r="C255" s="1" t="s">
        <v>616</v>
      </c>
      <c r="D255" s="1">
        <v>-1.0</v>
      </c>
      <c r="E255" s="1">
        <v>0.0</v>
      </c>
      <c r="F255" s="1" t="s">
        <v>17</v>
      </c>
      <c r="G255" s="1">
        <v>1.0</v>
      </c>
      <c r="H255" s="1">
        <v>0.0</v>
      </c>
    </row>
    <row r="256">
      <c r="A256" s="1">
        <v>120.0</v>
      </c>
      <c r="B256" s="1" t="s">
        <v>17</v>
      </c>
      <c r="C256" s="1" t="s">
        <v>723</v>
      </c>
      <c r="D256" s="1" t="s">
        <v>17</v>
      </c>
      <c r="E256" s="1" t="s">
        <v>17</v>
      </c>
      <c r="F256" s="1" t="s">
        <v>17</v>
      </c>
      <c r="G256" s="1">
        <v>1.0</v>
      </c>
      <c r="H256" s="1">
        <v>68000.0</v>
      </c>
    </row>
    <row r="257">
      <c r="A257" s="1">
        <v>120.0</v>
      </c>
      <c r="B257" s="1" t="s">
        <v>17</v>
      </c>
      <c r="C257" s="1" t="s">
        <v>616</v>
      </c>
      <c r="D257" s="1">
        <v>0.0</v>
      </c>
      <c r="E257" s="1">
        <v>0.0</v>
      </c>
      <c r="F257" s="1" t="s">
        <v>17</v>
      </c>
      <c r="G257" s="1">
        <v>1.0</v>
      </c>
      <c r="H257" s="1">
        <v>20000.0</v>
      </c>
    </row>
    <row r="258">
      <c r="A258" s="1">
        <v>120.0</v>
      </c>
      <c r="B258" s="1" t="s">
        <v>17</v>
      </c>
      <c r="C258" s="1" t="s">
        <v>616</v>
      </c>
      <c r="D258" s="1">
        <v>0.0</v>
      </c>
      <c r="E258" s="1">
        <v>0.0</v>
      </c>
      <c r="F258" s="1" t="s">
        <v>17</v>
      </c>
      <c r="G258" s="1">
        <v>1.0</v>
      </c>
      <c r="H258" s="1">
        <v>0.0</v>
      </c>
    </row>
    <row r="259">
      <c r="A259" s="1">
        <v>121.0</v>
      </c>
      <c r="B259" s="1" t="s">
        <v>601</v>
      </c>
      <c r="C259" s="1" t="s">
        <v>702</v>
      </c>
      <c r="D259" s="1">
        <v>1.25</v>
      </c>
      <c r="E259" s="1">
        <v>0.5</v>
      </c>
      <c r="F259" s="1">
        <v>140.0</v>
      </c>
      <c r="G259" s="1">
        <v>1.0</v>
      </c>
      <c r="H259" s="1">
        <v>0.0</v>
      </c>
    </row>
    <row r="260">
      <c r="A260" s="1">
        <v>121.0</v>
      </c>
      <c r="B260" s="1" t="s">
        <v>607</v>
      </c>
      <c r="C260" s="1" t="s">
        <v>702</v>
      </c>
      <c r="D260" s="1">
        <v>1.25</v>
      </c>
      <c r="E260" s="1">
        <v>0.0</v>
      </c>
      <c r="F260" s="1" t="s">
        <v>17</v>
      </c>
      <c r="G260" s="1">
        <v>1.0</v>
      </c>
      <c r="H260" s="1">
        <v>0.0</v>
      </c>
    </row>
    <row r="261">
      <c r="A261" s="1">
        <v>121.0</v>
      </c>
      <c r="B261" s="1" t="s">
        <v>17</v>
      </c>
      <c r="C261" s="1" t="s">
        <v>724</v>
      </c>
      <c r="D261" s="1">
        <v>0.0</v>
      </c>
      <c r="E261" s="1">
        <v>0.0</v>
      </c>
      <c r="F261" s="1" t="s">
        <v>17</v>
      </c>
      <c r="G261" s="1">
        <v>1.0</v>
      </c>
      <c r="H261" s="1">
        <v>0.0</v>
      </c>
    </row>
    <row r="262">
      <c r="A262" s="1">
        <v>121.0</v>
      </c>
      <c r="B262" s="1" t="s">
        <v>17</v>
      </c>
      <c r="C262" s="1" t="s">
        <v>724</v>
      </c>
      <c r="D262" s="1">
        <v>0.0</v>
      </c>
      <c r="E262" s="1">
        <v>0.0</v>
      </c>
      <c r="F262" s="1" t="s">
        <v>17</v>
      </c>
      <c r="G262" s="1">
        <v>1.0</v>
      </c>
      <c r="H262" s="1">
        <v>336000.0</v>
      </c>
    </row>
    <row r="263">
      <c r="A263" s="1">
        <v>122.0</v>
      </c>
      <c r="B263" s="1" t="s">
        <v>17</v>
      </c>
      <c r="C263" s="1" t="s">
        <v>725</v>
      </c>
      <c r="D263" s="1" t="s">
        <v>17</v>
      </c>
      <c r="E263" s="1" t="s">
        <v>17</v>
      </c>
      <c r="F263" s="1" t="s">
        <v>17</v>
      </c>
      <c r="G263" s="1">
        <v>1.0</v>
      </c>
      <c r="H263" s="1">
        <v>25000.0</v>
      </c>
    </row>
    <row r="264">
      <c r="A264" s="1">
        <v>122.0</v>
      </c>
      <c r="B264" s="1" t="s">
        <v>601</v>
      </c>
      <c r="C264" s="1" t="s">
        <v>616</v>
      </c>
      <c r="D264" s="1">
        <v>-1.25</v>
      </c>
      <c r="E264" s="1">
        <v>0.0</v>
      </c>
      <c r="F264" s="1" t="s">
        <v>17</v>
      </c>
      <c r="G264" s="1">
        <v>1.0</v>
      </c>
      <c r="H264" s="1">
        <v>29500.0</v>
      </c>
    </row>
    <row r="265">
      <c r="A265" s="1">
        <v>122.0</v>
      </c>
      <c r="B265" s="1" t="s">
        <v>607</v>
      </c>
      <c r="C265" s="1" t="s">
        <v>616</v>
      </c>
      <c r="D265" s="1">
        <v>-1.5</v>
      </c>
      <c r="E265" s="1">
        <v>0.0</v>
      </c>
      <c r="F265" s="1" t="s">
        <v>17</v>
      </c>
      <c r="G265" s="1">
        <v>1.0</v>
      </c>
      <c r="H265" s="1">
        <v>0.0</v>
      </c>
    </row>
    <row r="266">
      <c r="A266" s="1">
        <v>123.0</v>
      </c>
      <c r="B266" s="1" t="s">
        <v>604</v>
      </c>
      <c r="C266" s="1" t="s">
        <v>726</v>
      </c>
      <c r="D266" s="1" t="s">
        <v>17</v>
      </c>
      <c r="E266" s="1" t="s">
        <v>17</v>
      </c>
      <c r="F266" s="1" t="s">
        <v>17</v>
      </c>
      <c r="G266" s="1">
        <v>1.0</v>
      </c>
      <c r="H266" s="1">
        <v>52500.0</v>
      </c>
    </row>
    <row r="267">
      <c r="A267" s="1">
        <v>124.0</v>
      </c>
      <c r="B267" s="1" t="s">
        <v>604</v>
      </c>
      <c r="C267" s="1" t="s">
        <v>727</v>
      </c>
      <c r="D267" s="1" t="s">
        <v>17</v>
      </c>
      <c r="E267" s="1" t="s">
        <v>17</v>
      </c>
      <c r="F267" s="1" t="s">
        <v>17</v>
      </c>
      <c r="G267" s="1">
        <v>1.0</v>
      </c>
      <c r="H267" s="1">
        <v>63000.0</v>
      </c>
    </row>
    <row r="268">
      <c r="A268" s="1">
        <v>124.0</v>
      </c>
      <c r="B268" s="1" t="s">
        <v>604</v>
      </c>
      <c r="C268" s="1" t="s">
        <v>611</v>
      </c>
      <c r="D268" s="1">
        <v>0.0</v>
      </c>
      <c r="E268" s="1">
        <v>0.0</v>
      </c>
      <c r="F268" s="1" t="s">
        <v>17</v>
      </c>
      <c r="G268" s="1">
        <v>1.0</v>
      </c>
      <c r="H268" s="1">
        <v>41720.0</v>
      </c>
    </row>
    <row r="269">
      <c r="A269" s="1">
        <v>125.0</v>
      </c>
      <c r="B269" s="1" t="s">
        <v>604</v>
      </c>
      <c r="C269" s="1" t="s">
        <v>728</v>
      </c>
      <c r="D269" s="1" t="s">
        <v>17</v>
      </c>
      <c r="E269" s="1" t="s">
        <v>17</v>
      </c>
      <c r="F269" s="1" t="s">
        <v>17</v>
      </c>
      <c r="G269" s="1">
        <v>1.0</v>
      </c>
      <c r="H269" s="1">
        <v>84000.0</v>
      </c>
    </row>
    <row r="270">
      <c r="A270" s="1">
        <v>125.0</v>
      </c>
      <c r="B270" s="1" t="s">
        <v>604</v>
      </c>
      <c r="C270" s="1" t="s">
        <v>729</v>
      </c>
      <c r="D270" s="1" t="s">
        <v>17</v>
      </c>
      <c r="E270" s="1" t="s">
        <v>17</v>
      </c>
      <c r="F270" s="1" t="s">
        <v>17</v>
      </c>
      <c r="G270" s="1">
        <v>1.0</v>
      </c>
      <c r="H270" s="1">
        <v>0.0</v>
      </c>
    </row>
    <row r="271">
      <c r="A271" s="1">
        <v>125.0</v>
      </c>
      <c r="B271" s="1" t="s">
        <v>601</v>
      </c>
      <c r="C271" s="1" t="s">
        <v>702</v>
      </c>
      <c r="D271" s="1">
        <v>1.0</v>
      </c>
      <c r="E271" s="1">
        <v>0.0</v>
      </c>
      <c r="F271" s="1" t="s">
        <v>17</v>
      </c>
      <c r="G271" s="1">
        <v>1.0</v>
      </c>
      <c r="H271" s="1">
        <v>349500.0</v>
      </c>
    </row>
    <row r="272">
      <c r="A272" s="1">
        <v>125.0</v>
      </c>
      <c r="B272" s="1" t="s">
        <v>607</v>
      </c>
      <c r="C272" s="1" t="s">
        <v>702</v>
      </c>
      <c r="D272" s="1">
        <v>1.25</v>
      </c>
      <c r="E272" s="1">
        <v>0.0</v>
      </c>
      <c r="F272" s="1" t="s">
        <v>17</v>
      </c>
      <c r="G272" s="1">
        <v>1.0</v>
      </c>
      <c r="H272" s="1">
        <v>0.0</v>
      </c>
    </row>
    <row r="273">
      <c r="A273" s="1">
        <v>126.0</v>
      </c>
      <c r="B273" s="1" t="s">
        <v>604</v>
      </c>
      <c r="C273" s="1" t="s">
        <v>730</v>
      </c>
      <c r="D273" s="1" t="s">
        <v>17</v>
      </c>
      <c r="E273" s="1" t="s">
        <v>17</v>
      </c>
      <c r="F273" s="1" t="s">
        <v>17</v>
      </c>
      <c r="G273" s="1">
        <v>1.0</v>
      </c>
      <c r="H273" s="1">
        <v>21780.0</v>
      </c>
    </row>
    <row r="274">
      <c r="A274" s="1">
        <v>126.0</v>
      </c>
      <c r="B274" s="1" t="s">
        <v>601</v>
      </c>
      <c r="C274" s="1" t="s">
        <v>611</v>
      </c>
      <c r="D274" s="1">
        <v>5.5</v>
      </c>
      <c r="E274" s="1">
        <v>0.0</v>
      </c>
      <c r="F274" s="1" t="s">
        <v>17</v>
      </c>
      <c r="G274" s="1">
        <v>1.0</v>
      </c>
      <c r="H274" s="1">
        <v>0.0</v>
      </c>
    </row>
    <row r="275">
      <c r="A275" s="1">
        <v>126.0</v>
      </c>
      <c r="B275" s="1" t="s">
        <v>607</v>
      </c>
      <c r="C275" s="1" t="s">
        <v>611</v>
      </c>
      <c r="D275" s="1">
        <v>6.0</v>
      </c>
      <c r="E275" s="1">
        <v>0.0</v>
      </c>
      <c r="F275" s="1" t="s">
        <v>17</v>
      </c>
      <c r="G275" s="1">
        <v>1.0</v>
      </c>
      <c r="H275" s="1">
        <v>38220.0</v>
      </c>
    </row>
    <row r="276">
      <c r="A276" s="1">
        <v>127.0</v>
      </c>
      <c r="B276" s="1" t="s">
        <v>17</v>
      </c>
      <c r="C276" s="1" t="s">
        <v>731</v>
      </c>
      <c r="D276" s="1" t="s">
        <v>17</v>
      </c>
      <c r="E276" s="1" t="s">
        <v>17</v>
      </c>
      <c r="F276" s="1" t="s">
        <v>17</v>
      </c>
      <c r="G276" s="1">
        <v>1.0</v>
      </c>
      <c r="H276" s="1">
        <v>25000.0</v>
      </c>
    </row>
    <row r="277">
      <c r="A277" s="1">
        <v>127.0</v>
      </c>
      <c r="B277" s="1" t="s">
        <v>601</v>
      </c>
      <c r="C277" s="1" t="s">
        <v>677</v>
      </c>
      <c r="D277" s="1">
        <v>1.75</v>
      </c>
      <c r="E277" s="1">
        <v>0.0</v>
      </c>
      <c r="F277" s="1" t="s">
        <v>17</v>
      </c>
      <c r="G277" s="1">
        <v>1.0</v>
      </c>
      <c r="H277" s="1">
        <v>0.0</v>
      </c>
    </row>
    <row r="278">
      <c r="A278" s="1">
        <v>127.0</v>
      </c>
      <c r="B278" s="1" t="s">
        <v>607</v>
      </c>
      <c r="C278" s="1" t="s">
        <v>677</v>
      </c>
      <c r="D278" s="1">
        <v>1.75</v>
      </c>
      <c r="E278" s="1">
        <v>0.0</v>
      </c>
      <c r="F278" s="1" t="s">
        <v>17</v>
      </c>
      <c r="G278" s="1">
        <v>1.0</v>
      </c>
      <c r="H278" s="1">
        <v>130300.0</v>
      </c>
    </row>
    <row r="279">
      <c r="A279" s="1">
        <v>128.0</v>
      </c>
      <c r="B279" s="1" t="s">
        <v>604</v>
      </c>
      <c r="C279" s="1" t="s">
        <v>732</v>
      </c>
      <c r="D279" s="1" t="s">
        <v>17</v>
      </c>
      <c r="E279" s="1" t="s">
        <v>17</v>
      </c>
      <c r="F279" s="1" t="s">
        <v>17</v>
      </c>
      <c r="G279" s="1">
        <v>1.0</v>
      </c>
      <c r="H279" s="1">
        <v>50000.0</v>
      </c>
    </row>
    <row r="280">
      <c r="A280" s="1">
        <v>128.0</v>
      </c>
      <c r="B280" s="1" t="s">
        <v>601</v>
      </c>
      <c r="C280" s="1" t="s">
        <v>616</v>
      </c>
      <c r="D280" s="1">
        <v>-0.25</v>
      </c>
      <c r="E280" s="1">
        <v>0.0</v>
      </c>
      <c r="F280" s="1" t="s">
        <v>17</v>
      </c>
      <c r="G280" s="1">
        <v>1.0</v>
      </c>
      <c r="H280" s="1">
        <v>25000.0</v>
      </c>
    </row>
    <row r="281">
      <c r="A281" s="1">
        <v>128.0</v>
      </c>
      <c r="B281" s="1" t="s">
        <v>607</v>
      </c>
      <c r="C281" s="1" t="s">
        <v>616</v>
      </c>
      <c r="D281" s="1">
        <v>-0.25</v>
      </c>
      <c r="E281" s="1">
        <v>0.0</v>
      </c>
      <c r="F281" s="1" t="s">
        <v>17</v>
      </c>
      <c r="G281" s="1">
        <v>1.0</v>
      </c>
      <c r="H281" s="1">
        <v>0.0</v>
      </c>
    </row>
    <row r="282">
      <c r="A282" s="1">
        <v>129.0</v>
      </c>
      <c r="B282" s="1" t="s">
        <v>601</v>
      </c>
      <c r="C282" s="1" t="s">
        <v>616</v>
      </c>
      <c r="D282" s="1">
        <v>-0.5</v>
      </c>
      <c r="E282" s="1">
        <v>0.0</v>
      </c>
      <c r="F282" s="1" t="s">
        <v>17</v>
      </c>
      <c r="G282" s="1">
        <v>1.0</v>
      </c>
      <c r="H282" s="1">
        <v>29500.0</v>
      </c>
    </row>
    <row r="283">
      <c r="A283" s="1">
        <v>129.0</v>
      </c>
      <c r="B283" s="1" t="s">
        <v>607</v>
      </c>
      <c r="C283" s="1" t="s">
        <v>616</v>
      </c>
      <c r="D283" s="1">
        <v>-1.0</v>
      </c>
      <c r="E283" s="1">
        <v>0.0</v>
      </c>
      <c r="F283" s="1" t="s">
        <v>17</v>
      </c>
      <c r="G283" s="1">
        <v>1.0</v>
      </c>
      <c r="H283" s="1">
        <v>0.0</v>
      </c>
    </row>
    <row r="284">
      <c r="A284" s="1">
        <v>129.0</v>
      </c>
      <c r="B284" s="1" t="s">
        <v>604</v>
      </c>
      <c r="C284" s="1" t="s">
        <v>733</v>
      </c>
      <c r="D284" s="1" t="s">
        <v>17</v>
      </c>
      <c r="E284" s="1" t="s">
        <v>17</v>
      </c>
      <c r="F284" s="1" t="s">
        <v>17</v>
      </c>
      <c r="G284" s="1">
        <v>1.0</v>
      </c>
      <c r="H284" s="1">
        <v>80000.0</v>
      </c>
    </row>
    <row r="285">
      <c r="A285" s="1">
        <v>130.0</v>
      </c>
      <c r="B285" s="1" t="s">
        <v>17</v>
      </c>
      <c r="C285" s="1" t="s">
        <v>734</v>
      </c>
      <c r="D285" s="1" t="s">
        <v>17</v>
      </c>
      <c r="E285" s="1" t="s">
        <v>17</v>
      </c>
      <c r="F285" s="1" t="s">
        <v>17</v>
      </c>
      <c r="G285" s="1">
        <v>1.0</v>
      </c>
      <c r="H285" s="1">
        <v>30000.0</v>
      </c>
    </row>
    <row r="286">
      <c r="A286" s="1">
        <v>130.0</v>
      </c>
      <c r="B286" s="1" t="s">
        <v>601</v>
      </c>
      <c r="C286" s="1" t="s">
        <v>610</v>
      </c>
      <c r="D286" s="1">
        <v>0.5</v>
      </c>
      <c r="E286" s="1">
        <v>-2.25</v>
      </c>
      <c r="F286" s="1">
        <v>5.0</v>
      </c>
      <c r="G286" s="1">
        <v>1.0</v>
      </c>
      <c r="H286" s="1">
        <v>0.0</v>
      </c>
    </row>
    <row r="287">
      <c r="A287" s="1">
        <v>130.0</v>
      </c>
      <c r="B287" s="1" t="s">
        <v>607</v>
      </c>
      <c r="C287" s="1" t="s">
        <v>610</v>
      </c>
      <c r="D287" s="1">
        <v>0.5</v>
      </c>
      <c r="E287" s="1">
        <v>-3.0</v>
      </c>
      <c r="F287" s="1">
        <v>175.0</v>
      </c>
      <c r="G287" s="1">
        <v>1.0</v>
      </c>
      <c r="H287" s="1">
        <v>76796.0</v>
      </c>
    </row>
    <row r="288">
      <c r="A288" s="1">
        <v>130.0</v>
      </c>
      <c r="B288" s="1" t="s">
        <v>17</v>
      </c>
      <c r="C288" s="1" t="s">
        <v>720</v>
      </c>
      <c r="D288" s="1" t="s">
        <v>17</v>
      </c>
      <c r="E288" s="1" t="s">
        <v>17</v>
      </c>
      <c r="F288" s="1" t="s">
        <v>17</v>
      </c>
      <c r="G288" s="1">
        <v>1.0</v>
      </c>
      <c r="H288" s="1">
        <v>3000.0</v>
      </c>
    </row>
    <row r="289">
      <c r="A289" s="1">
        <v>131.0</v>
      </c>
      <c r="B289" s="1" t="s">
        <v>604</v>
      </c>
      <c r="C289" s="1" t="s">
        <v>735</v>
      </c>
      <c r="D289" s="1" t="s">
        <v>17</v>
      </c>
      <c r="E289" s="1" t="s">
        <v>17</v>
      </c>
      <c r="F289" s="1" t="s">
        <v>17</v>
      </c>
      <c r="G289" s="1">
        <v>1.0</v>
      </c>
      <c r="H289" s="1">
        <v>48500.0</v>
      </c>
    </row>
    <row r="290">
      <c r="A290" s="1">
        <v>132.0</v>
      </c>
      <c r="B290" s="1" t="s">
        <v>604</v>
      </c>
      <c r="C290" s="1" t="s">
        <v>736</v>
      </c>
      <c r="D290" s="1" t="s">
        <v>17</v>
      </c>
      <c r="E290" s="1" t="s">
        <v>17</v>
      </c>
      <c r="F290" s="1" t="s">
        <v>17</v>
      </c>
      <c r="G290" s="1">
        <v>1.0</v>
      </c>
      <c r="H290" s="1">
        <v>20000.0</v>
      </c>
    </row>
    <row r="291">
      <c r="A291" s="1">
        <v>132.0</v>
      </c>
      <c r="B291" s="1" t="s">
        <v>601</v>
      </c>
      <c r="C291" s="1" t="s">
        <v>616</v>
      </c>
      <c r="D291" s="1">
        <v>-0.5</v>
      </c>
      <c r="E291" s="1">
        <v>0.0</v>
      </c>
      <c r="F291" s="1" t="s">
        <v>17</v>
      </c>
      <c r="G291" s="1">
        <v>1.0</v>
      </c>
      <c r="H291" s="1">
        <v>20000.0</v>
      </c>
    </row>
    <row r="292">
      <c r="A292" s="1">
        <v>132.0</v>
      </c>
      <c r="B292" s="1" t="s">
        <v>607</v>
      </c>
      <c r="C292" s="1" t="s">
        <v>616</v>
      </c>
      <c r="D292" s="1">
        <v>-0.5</v>
      </c>
      <c r="E292" s="1">
        <v>0.0</v>
      </c>
      <c r="F292" s="1" t="s">
        <v>17</v>
      </c>
      <c r="G292" s="1">
        <v>1.0</v>
      </c>
      <c r="H292" s="1">
        <v>20000.0</v>
      </c>
    </row>
    <row r="293">
      <c r="A293" s="1">
        <v>133.0</v>
      </c>
      <c r="B293" s="1" t="s">
        <v>17</v>
      </c>
      <c r="C293" s="1" t="s">
        <v>737</v>
      </c>
      <c r="D293" s="1" t="s">
        <v>17</v>
      </c>
      <c r="E293" s="1" t="s">
        <v>17</v>
      </c>
      <c r="F293" s="1" t="s">
        <v>17</v>
      </c>
      <c r="G293" s="1">
        <v>1.0</v>
      </c>
      <c r="H293" s="1">
        <v>57416.07</v>
      </c>
    </row>
    <row r="294">
      <c r="A294" s="1">
        <v>133.0</v>
      </c>
      <c r="B294" s="1" t="s">
        <v>17</v>
      </c>
      <c r="C294" s="1" t="s">
        <v>736</v>
      </c>
      <c r="D294" s="1" t="s">
        <v>17</v>
      </c>
      <c r="E294" s="1" t="s">
        <v>17</v>
      </c>
      <c r="F294" s="1" t="s">
        <v>17</v>
      </c>
      <c r="G294" s="1">
        <v>1.0</v>
      </c>
      <c r="H294" s="1">
        <v>45000.0</v>
      </c>
    </row>
    <row r="295">
      <c r="A295" s="1">
        <v>133.0</v>
      </c>
      <c r="B295" s="1" t="s">
        <v>601</v>
      </c>
      <c r="C295" s="1" t="s">
        <v>738</v>
      </c>
      <c r="D295" s="1">
        <v>0.0</v>
      </c>
      <c r="E295" s="1">
        <v>0.0</v>
      </c>
      <c r="F295" s="1" t="s">
        <v>17</v>
      </c>
      <c r="G295" s="1">
        <v>1.0</v>
      </c>
      <c r="H295" s="1">
        <v>0.0</v>
      </c>
    </row>
    <row r="296">
      <c r="A296" s="1">
        <v>133.0</v>
      </c>
      <c r="B296" s="1" t="s">
        <v>607</v>
      </c>
      <c r="C296" s="1" t="s">
        <v>738</v>
      </c>
      <c r="D296" s="1">
        <v>0.0</v>
      </c>
      <c r="E296" s="1">
        <v>0.0</v>
      </c>
      <c r="F296" s="1" t="s">
        <v>17</v>
      </c>
      <c r="G296" s="1">
        <v>1.0</v>
      </c>
      <c r="H296" s="1">
        <v>470910.0</v>
      </c>
    </row>
    <row r="297">
      <c r="A297" s="1">
        <v>134.0</v>
      </c>
      <c r="B297" s="1" t="s">
        <v>17</v>
      </c>
      <c r="C297" s="1" t="s">
        <v>739</v>
      </c>
      <c r="D297" s="1" t="s">
        <v>17</v>
      </c>
      <c r="E297" s="1" t="s">
        <v>17</v>
      </c>
      <c r="F297" s="1" t="s">
        <v>17</v>
      </c>
      <c r="G297" s="1">
        <v>1.0</v>
      </c>
      <c r="H297" s="1">
        <v>20000.0</v>
      </c>
    </row>
    <row r="298">
      <c r="A298" s="1">
        <v>134.0</v>
      </c>
      <c r="B298" s="1" t="s">
        <v>601</v>
      </c>
      <c r="C298" s="1" t="s">
        <v>668</v>
      </c>
      <c r="D298" s="1">
        <v>-0.75</v>
      </c>
      <c r="E298" s="1">
        <v>-0.75</v>
      </c>
      <c r="F298" s="1">
        <v>90.0</v>
      </c>
      <c r="G298" s="1">
        <v>1.0</v>
      </c>
      <c r="H298" s="1">
        <v>20524.0</v>
      </c>
    </row>
    <row r="299">
      <c r="A299" s="1">
        <v>134.0</v>
      </c>
      <c r="B299" s="1" t="s">
        <v>607</v>
      </c>
      <c r="C299" s="1" t="s">
        <v>668</v>
      </c>
      <c r="D299" s="1">
        <v>-1.0</v>
      </c>
      <c r="E299" s="1">
        <v>0.0</v>
      </c>
      <c r="F299" s="1" t="s">
        <v>17</v>
      </c>
      <c r="G299" s="1">
        <v>1.0</v>
      </c>
      <c r="H299" s="1">
        <v>0.0</v>
      </c>
    </row>
    <row r="300">
      <c r="A300" s="1">
        <v>135.0</v>
      </c>
      <c r="B300" s="1" t="s">
        <v>604</v>
      </c>
      <c r="C300" s="1" t="s">
        <v>740</v>
      </c>
      <c r="D300" s="1" t="s">
        <v>17</v>
      </c>
      <c r="E300" s="1" t="s">
        <v>17</v>
      </c>
      <c r="F300" s="1" t="s">
        <v>17</v>
      </c>
      <c r="G300" s="1">
        <v>1.0</v>
      </c>
      <c r="H300" s="1">
        <v>60000.0</v>
      </c>
    </row>
    <row r="301">
      <c r="A301" s="1">
        <v>135.0</v>
      </c>
      <c r="B301" s="1" t="s">
        <v>601</v>
      </c>
      <c r="C301" s="1" t="s">
        <v>616</v>
      </c>
      <c r="D301" s="1">
        <v>0.0</v>
      </c>
      <c r="E301" s="1">
        <v>0.0</v>
      </c>
      <c r="F301" s="1" t="s">
        <v>17</v>
      </c>
      <c r="G301" s="1">
        <v>1.0</v>
      </c>
      <c r="H301" s="1">
        <v>0.0</v>
      </c>
    </row>
    <row r="302">
      <c r="A302" s="1">
        <v>135.0</v>
      </c>
      <c r="B302" s="1" t="s">
        <v>607</v>
      </c>
      <c r="C302" s="1" t="s">
        <v>616</v>
      </c>
      <c r="D302" s="1">
        <v>0.0</v>
      </c>
      <c r="E302" s="1">
        <v>0.0</v>
      </c>
      <c r="F302" s="1" t="s">
        <v>17</v>
      </c>
      <c r="G302" s="1">
        <v>1.0</v>
      </c>
      <c r="H302" s="1">
        <v>29500.0</v>
      </c>
    </row>
    <row r="303">
      <c r="A303" s="1">
        <v>136.0</v>
      </c>
      <c r="B303" s="1" t="s">
        <v>604</v>
      </c>
      <c r="C303" s="1" t="s">
        <v>741</v>
      </c>
      <c r="D303" s="1" t="s">
        <v>17</v>
      </c>
      <c r="E303" s="1" t="s">
        <v>17</v>
      </c>
      <c r="F303" s="1" t="s">
        <v>17</v>
      </c>
      <c r="G303" s="1">
        <v>1.0</v>
      </c>
      <c r="H303" s="1">
        <v>64600.0</v>
      </c>
    </row>
    <row r="304">
      <c r="A304" s="1">
        <v>136.0</v>
      </c>
      <c r="B304" s="1" t="s">
        <v>17</v>
      </c>
      <c r="C304" s="1" t="s">
        <v>742</v>
      </c>
      <c r="D304" s="1">
        <v>0.0</v>
      </c>
      <c r="E304" s="1">
        <v>0.0</v>
      </c>
      <c r="F304" s="1" t="s">
        <v>17</v>
      </c>
      <c r="G304" s="1">
        <v>1.0</v>
      </c>
      <c r="H304" s="1">
        <v>0.0</v>
      </c>
    </row>
    <row r="305">
      <c r="A305" s="1">
        <v>136.0</v>
      </c>
      <c r="B305" s="1" t="s">
        <v>17</v>
      </c>
      <c r="C305" s="1" t="s">
        <v>742</v>
      </c>
      <c r="D305" s="1">
        <v>0.0</v>
      </c>
      <c r="E305" s="1">
        <v>0.0</v>
      </c>
      <c r="F305" s="1" t="s">
        <v>17</v>
      </c>
      <c r="G305" s="1">
        <v>1.0</v>
      </c>
      <c r="H305" s="1">
        <v>137836.0</v>
      </c>
    </row>
    <row r="306">
      <c r="A306" s="1">
        <v>137.0</v>
      </c>
      <c r="B306" s="1" t="s">
        <v>17</v>
      </c>
      <c r="C306" s="1" t="s">
        <v>736</v>
      </c>
      <c r="D306" s="1" t="s">
        <v>17</v>
      </c>
      <c r="E306" s="1" t="s">
        <v>17</v>
      </c>
      <c r="F306" s="1" t="s">
        <v>17</v>
      </c>
      <c r="G306" s="1">
        <v>1.0</v>
      </c>
      <c r="H306" s="1">
        <v>20000.0</v>
      </c>
    </row>
    <row r="307">
      <c r="A307" s="1">
        <v>137.0</v>
      </c>
      <c r="B307" s="1" t="s">
        <v>601</v>
      </c>
      <c r="C307" s="1" t="s">
        <v>616</v>
      </c>
      <c r="D307" s="1">
        <v>-0.5</v>
      </c>
      <c r="E307" s="1">
        <v>0.0</v>
      </c>
      <c r="F307" s="1" t="s">
        <v>17</v>
      </c>
      <c r="G307" s="1">
        <v>1.0</v>
      </c>
      <c r="H307" s="1">
        <v>20000.0</v>
      </c>
    </row>
    <row r="308">
      <c r="A308" s="1">
        <v>137.0</v>
      </c>
      <c r="B308" s="1" t="s">
        <v>607</v>
      </c>
      <c r="C308" s="1" t="s">
        <v>616</v>
      </c>
      <c r="D308" s="1">
        <v>-0.5</v>
      </c>
      <c r="E308" s="1">
        <v>0.0</v>
      </c>
      <c r="F308" s="1" t="s">
        <v>17</v>
      </c>
      <c r="G308" s="1">
        <v>1.0</v>
      </c>
      <c r="H308" s="1">
        <v>0.0</v>
      </c>
    </row>
    <row r="309">
      <c r="A309" s="1">
        <v>138.0</v>
      </c>
      <c r="B309" s="1" t="s">
        <v>17</v>
      </c>
      <c r="C309" s="1" t="s">
        <v>644</v>
      </c>
      <c r="D309" s="1" t="s">
        <v>17</v>
      </c>
      <c r="E309" s="1" t="s">
        <v>17</v>
      </c>
      <c r="F309" s="1" t="s">
        <v>17</v>
      </c>
      <c r="G309" s="1">
        <v>1.0</v>
      </c>
      <c r="H309" s="1">
        <v>33000.0</v>
      </c>
    </row>
    <row r="310">
      <c r="A310" s="1">
        <v>138.0</v>
      </c>
      <c r="B310" s="1" t="s">
        <v>601</v>
      </c>
      <c r="C310" s="1" t="s">
        <v>606</v>
      </c>
      <c r="D310" s="1">
        <v>0.0</v>
      </c>
      <c r="E310" s="1">
        <v>-1.5</v>
      </c>
      <c r="F310" s="1">
        <v>15.0</v>
      </c>
      <c r="G310" s="1">
        <v>1.0</v>
      </c>
      <c r="H310" s="1">
        <v>32439.0</v>
      </c>
    </row>
    <row r="311">
      <c r="A311" s="1">
        <v>138.0</v>
      </c>
      <c r="B311" s="1" t="s">
        <v>607</v>
      </c>
      <c r="C311" s="1" t="s">
        <v>606</v>
      </c>
      <c r="D311" s="1">
        <v>-0.25</v>
      </c>
      <c r="E311" s="1">
        <v>-0.25</v>
      </c>
      <c r="F311" s="1">
        <v>175.0</v>
      </c>
      <c r="G311" s="1">
        <v>1.0</v>
      </c>
      <c r="H311" s="1">
        <v>0.0</v>
      </c>
    </row>
    <row r="312">
      <c r="A312" s="1">
        <v>138.0</v>
      </c>
      <c r="B312" s="1" t="s">
        <v>17</v>
      </c>
      <c r="C312" s="1" t="s">
        <v>620</v>
      </c>
      <c r="D312" s="1" t="s">
        <v>17</v>
      </c>
      <c r="E312" s="1" t="s">
        <v>17</v>
      </c>
      <c r="F312" s="1" t="s">
        <v>17</v>
      </c>
      <c r="G312" s="1">
        <v>1.0</v>
      </c>
      <c r="H312" s="1">
        <v>0.0</v>
      </c>
    </row>
    <row r="313">
      <c r="A313" s="1">
        <v>139.0</v>
      </c>
      <c r="B313" s="1" t="s">
        <v>17</v>
      </c>
      <c r="C313" s="1" t="s">
        <v>743</v>
      </c>
      <c r="D313" s="1" t="s">
        <v>17</v>
      </c>
      <c r="E313" s="1" t="s">
        <v>17</v>
      </c>
      <c r="F313" s="1" t="s">
        <v>17</v>
      </c>
      <c r="G313" s="1">
        <v>1.0</v>
      </c>
      <c r="H313" s="1">
        <v>13300.0</v>
      </c>
    </row>
    <row r="314">
      <c r="A314" s="1">
        <v>140.0</v>
      </c>
      <c r="B314" s="1" t="s">
        <v>604</v>
      </c>
      <c r="C314" s="1" t="s">
        <v>744</v>
      </c>
      <c r="D314" s="1" t="s">
        <v>17</v>
      </c>
      <c r="E314" s="1" t="s">
        <v>17</v>
      </c>
      <c r="F314" s="1" t="s">
        <v>17</v>
      </c>
      <c r="G314" s="1">
        <v>1.0</v>
      </c>
      <c r="H314" s="1">
        <v>0.0</v>
      </c>
    </row>
    <row r="315">
      <c r="A315" s="1">
        <v>140.0</v>
      </c>
      <c r="B315" s="1" t="s">
        <v>604</v>
      </c>
      <c r="C315" s="1" t="s">
        <v>702</v>
      </c>
      <c r="D315" s="1">
        <v>0.0</v>
      </c>
      <c r="E315" s="1">
        <v>0.0</v>
      </c>
      <c r="F315" s="1" t="s">
        <v>17</v>
      </c>
      <c r="G315" s="1">
        <v>1.0</v>
      </c>
      <c r="H315" s="1">
        <v>310100.0</v>
      </c>
    </row>
    <row r="316">
      <c r="A316" s="1">
        <v>140.0</v>
      </c>
      <c r="B316" s="1" t="s">
        <v>604</v>
      </c>
      <c r="C316" s="1" t="s">
        <v>702</v>
      </c>
      <c r="D316" s="1">
        <v>0.0</v>
      </c>
      <c r="E316" s="1">
        <v>0.0</v>
      </c>
      <c r="F316" s="1" t="s">
        <v>17</v>
      </c>
      <c r="G316" s="1">
        <v>1.0</v>
      </c>
      <c r="H316" s="1">
        <v>0.0</v>
      </c>
    </row>
    <row r="317">
      <c r="A317" s="1">
        <v>141.0</v>
      </c>
      <c r="B317" s="1" t="s">
        <v>604</v>
      </c>
      <c r="C317" s="1" t="s">
        <v>736</v>
      </c>
      <c r="D317" s="1" t="s">
        <v>17</v>
      </c>
      <c r="E317" s="1" t="s">
        <v>17</v>
      </c>
      <c r="F317" s="1" t="s">
        <v>17</v>
      </c>
      <c r="G317" s="1">
        <v>1.0</v>
      </c>
      <c r="H317" s="1">
        <v>60000.0</v>
      </c>
    </row>
    <row r="318">
      <c r="A318" s="1">
        <v>141.0</v>
      </c>
      <c r="B318" s="1" t="s">
        <v>601</v>
      </c>
      <c r="C318" s="1" t="s">
        <v>745</v>
      </c>
      <c r="D318" s="1">
        <v>2.0</v>
      </c>
      <c r="E318" s="1">
        <v>-0.75</v>
      </c>
      <c r="F318" s="1">
        <v>10.0</v>
      </c>
      <c r="G318" s="1">
        <v>1.0</v>
      </c>
      <c r="H318" s="1">
        <v>150513.0</v>
      </c>
    </row>
    <row r="319">
      <c r="A319" s="1">
        <v>141.0</v>
      </c>
      <c r="B319" s="1" t="s">
        <v>607</v>
      </c>
      <c r="C319" s="1" t="s">
        <v>745</v>
      </c>
      <c r="D319" s="1">
        <v>2.25</v>
      </c>
      <c r="E319" s="1">
        <v>-0.25</v>
      </c>
      <c r="F319" s="1">
        <v>170.0</v>
      </c>
      <c r="G319" s="1">
        <v>1.0</v>
      </c>
      <c r="H319" s="1">
        <v>0.0</v>
      </c>
    </row>
    <row r="320">
      <c r="A320" s="1">
        <v>142.0</v>
      </c>
      <c r="B320" s="1" t="s">
        <v>604</v>
      </c>
      <c r="C320" s="1" t="s">
        <v>746</v>
      </c>
      <c r="D320" s="1" t="s">
        <v>17</v>
      </c>
      <c r="E320" s="1" t="s">
        <v>17</v>
      </c>
      <c r="F320" s="1" t="s">
        <v>17</v>
      </c>
      <c r="G320" s="1">
        <v>1.0</v>
      </c>
      <c r="H320" s="1">
        <v>24200.0</v>
      </c>
    </row>
    <row r="321">
      <c r="A321" s="1">
        <v>142.0</v>
      </c>
      <c r="B321" s="1" t="s">
        <v>601</v>
      </c>
      <c r="C321" s="1" t="s">
        <v>616</v>
      </c>
      <c r="D321" s="1">
        <v>0.0</v>
      </c>
      <c r="E321" s="1">
        <v>2.5</v>
      </c>
      <c r="F321" s="1">
        <v>85.0</v>
      </c>
      <c r="G321" s="1">
        <v>1.0</v>
      </c>
      <c r="H321" s="1">
        <v>45278.0</v>
      </c>
    </row>
    <row r="322">
      <c r="A322" s="1">
        <v>142.0</v>
      </c>
      <c r="B322" s="1" t="s">
        <v>607</v>
      </c>
      <c r="C322" s="1" t="s">
        <v>616</v>
      </c>
      <c r="D322" s="1">
        <v>0.0</v>
      </c>
      <c r="E322" s="1">
        <v>3.0</v>
      </c>
      <c r="F322" s="1">
        <v>90.0</v>
      </c>
      <c r="G322" s="1">
        <v>1.0</v>
      </c>
      <c r="H322" s="1">
        <v>0.0</v>
      </c>
    </row>
    <row r="323">
      <c r="A323" s="1">
        <v>143.0</v>
      </c>
      <c r="B323" s="1" t="s">
        <v>604</v>
      </c>
      <c r="C323" s="1" t="s">
        <v>747</v>
      </c>
      <c r="D323" s="1" t="s">
        <v>17</v>
      </c>
      <c r="E323" s="1" t="s">
        <v>17</v>
      </c>
      <c r="F323" s="1" t="s">
        <v>17</v>
      </c>
      <c r="G323" s="1">
        <v>1.0</v>
      </c>
      <c r="H323" s="1">
        <v>78452.0</v>
      </c>
    </row>
    <row r="324">
      <c r="A324" s="1">
        <v>144.0</v>
      </c>
      <c r="B324" s="1" t="s">
        <v>601</v>
      </c>
      <c r="C324" s="1" t="s">
        <v>616</v>
      </c>
      <c r="D324" s="1">
        <v>1.0</v>
      </c>
      <c r="E324" s="1">
        <v>-1.25</v>
      </c>
      <c r="F324" s="1">
        <v>90.0</v>
      </c>
      <c r="G324" s="1">
        <v>1.0</v>
      </c>
      <c r="H324" s="1">
        <v>24000.0</v>
      </c>
    </row>
    <row r="325">
      <c r="A325" s="1">
        <v>144.0</v>
      </c>
      <c r="B325" s="1" t="s">
        <v>607</v>
      </c>
      <c r="C325" s="1" t="s">
        <v>616</v>
      </c>
      <c r="D325" s="1">
        <v>0.0</v>
      </c>
      <c r="E325" s="1">
        <v>-0.75</v>
      </c>
      <c r="F325" s="1">
        <v>90.0</v>
      </c>
      <c r="G325" s="1">
        <v>1.0</v>
      </c>
      <c r="H325" s="1">
        <v>0.0</v>
      </c>
    </row>
    <row r="326">
      <c r="A326" s="1">
        <v>144.0</v>
      </c>
      <c r="B326" s="1" t="s">
        <v>17</v>
      </c>
      <c r="C326" s="1" t="s">
        <v>748</v>
      </c>
      <c r="D326" s="1" t="s">
        <v>17</v>
      </c>
      <c r="E326" s="1" t="s">
        <v>17</v>
      </c>
      <c r="F326" s="1" t="s">
        <v>17</v>
      </c>
      <c r="G326" s="1">
        <v>1.0</v>
      </c>
      <c r="H326" s="1">
        <v>60500.0</v>
      </c>
    </row>
    <row r="327">
      <c r="A327" s="1">
        <v>145.0</v>
      </c>
      <c r="B327" s="1" t="s">
        <v>604</v>
      </c>
      <c r="C327" s="1" t="s">
        <v>630</v>
      </c>
      <c r="D327" s="1" t="s">
        <v>17</v>
      </c>
      <c r="E327" s="1" t="s">
        <v>17</v>
      </c>
      <c r="F327" s="1" t="s">
        <v>17</v>
      </c>
      <c r="G327" s="1">
        <v>1.0</v>
      </c>
      <c r="H327" s="1">
        <v>3000.0</v>
      </c>
    </row>
    <row r="328">
      <c r="A328" s="1">
        <v>145.0</v>
      </c>
      <c r="B328" s="1" t="s">
        <v>604</v>
      </c>
      <c r="C328" s="1" t="s">
        <v>736</v>
      </c>
      <c r="D328" s="1" t="s">
        <v>17</v>
      </c>
      <c r="E328" s="1" t="s">
        <v>17</v>
      </c>
      <c r="F328" s="1" t="s">
        <v>17</v>
      </c>
      <c r="G328" s="1">
        <v>1.0</v>
      </c>
      <c r="H328" s="1">
        <v>0.0</v>
      </c>
    </row>
    <row r="329">
      <c r="A329" s="1">
        <v>145.0</v>
      </c>
      <c r="B329" s="1" t="s">
        <v>601</v>
      </c>
      <c r="C329" s="1" t="s">
        <v>616</v>
      </c>
      <c r="D329" s="1">
        <v>-0.5</v>
      </c>
      <c r="E329" s="1">
        <v>-0.25</v>
      </c>
      <c r="F329" s="1">
        <v>10.0</v>
      </c>
      <c r="G329" s="1">
        <v>1.0</v>
      </c>
      <c r="H329" s="1">
        <v>0.0</v>
      </c>
    </row>
    <row r="330">
      <c r="A330" s="1">
        <v>145.0</v>
      </c>
      <c r="B330" s="1" t="s">
        <v>607</v>
      </c>
      <c r="C330" s="1" t="s">
        <v>616</v>
      </c>
      <c r="D330" s="1">
        <v>-0.75</v>
      </c>
      <c r="E330" s="1">
        <v>-0.5</v>
      </c>
      <c r="F330" s="1">
        <v>14.0</v>
      </c>
      <c r="G330" s="1">
        <v>1.0</v>
      </c>
      <c r="H330" s="1">
        <v>55650.0</v>
      </c>
    </row>
    <row r="331">
      <c r="A331" s="1">
        <v>146.0</v>
      </c>
      <c r="B331" s="1" t="s">
        <v>604</v>
      </c>
      <c r="C331" s="1" t="s">
        <v>749</v>
      </c>
      <c r="D331" s="1" t="s">
        <v>17</v>
      </c>
      <c r="E331" s="1" t="s">
        <v>17</v>
      </c>
      <c r="F331" s="1" t="s">
        <v>17</v>
      </c>
      <c r="G331" s="1">
        <v>1.0</v>
      </c>
      <c r="H331" s="1">
        <v>63000.0</v>
      </c>
    </row>
    <row r="332">
      <c r="A332" s="1">
        <v>146.0</v>
      </c>
      <c r="B332" s="1" t="s">
        <v>601</v>
      </c>
      <c r="C332" s="1" t="s">
        <v>677</v>
      </c>
      <c r="D332" s="1">
        <v>1.75</v>
      </c>
      <c r="E332" s="1">
        <v>0.0</v>
      </c>
      <c r="F332" s="1" t="s">
        <v>17</v>
      </c>
      <c r="G332" s="1">
        <v>1.0</v>
      </c>
      <c r="H332" s="1">
        <v>0.0</v>
      </c>
    </row>
    <row r="333">
      <c r="A333" s="1">
        <v>146.0</v>
      </c>
      <c r="B333" s="1" t="s">
        <v>607</v>
      </c>
      <c r="C333" s="1" t="s">
        <v>677</v>
      </c>
      <c r="D333" s="1">
        <v>2.75</v>
      </c>
      <c r="E333" s="1">
        <v>-0.25</v>
      </c>
      <c r="F333" s="1">
        <v>150.0</v>
      </c>
      <c r="G333" s="1">
        <v>1.0</v>
      </c>
      <c r="H333" s="1">
        <v>164800.0</v>
      </c>
    </row>
    <row r="334">
      <c r="A334" s="1">
        <v>147.0</v>
      </c>
      <c r="B334" s="1" t="s">
        <v>17</v>
      </c>
      <c r="C334" s="1" t="s">
        <v>750</v>
      </c>
      <c r="D334" s="1" t="s">
        <v>17</v>
      </c>
      <c r="E334" s="1" t="s">
        <v>17</v>
      </c>
      <c r="F334" s="1" t="s">
        <v>17</v>
      </c>
      <c r="G334" s="1">
        <v>1.0</v>
      </c>
      <c r="H334" s="1">
        <v>64300.0</v>
      </c>
    </row>
    <row r="335">
      <c r="A335" s="1">
        <v>147.0</v>
      </c>
      <c r="B335" s="1" t="s">
        <v>601</v>
      </c>
      <c r="C335" s="1" t="s">
        <v>664</v>
      </c>
      <c r="D335" s="1">
        <v>0.0</v>
      </c>
      <c r="E335" s="1">
        <v>-0.75</v>
      </c>
      <c r="F335" s="1">
        <v>50.0</v>
      </c>
      <c r="G335" s="1">
        <v>1.0</v>
      </c>
      <c r="H335" s="1">
        <v>141680.0</v>
      </c>
    </row>
    <row r="336">
      <c r="A336" s="1">
        <v>147.0</v>
      </c>
      <c r="B336" s="1" t="s">
        <v>607</v>
      </c>
      <c r="C336" s="1" t="s">
        <v>664</v>
      </c>
      <c r="D336" s="1">
        <v>0.0</v>
      </c>
      <c r="E336" s="1">
        <v>-0.75</v>
      </c>
      <c r="F336" s="1">
        <v>90.0</v>
      </c>
      <c r="G336" s="1">
        <v>1.0</v>
      </c>
      <c r="H336" s="1">
        <v>0.0</v>
      </c>
    </row>
    <row r="337">
      <c r="A337" s="1">
        <v>148.0</v>
      </c>
      <c r="B337" s="1" t="s">
        <v>604</v>
      </c>
      <c r="C337" s="1" t="s">
        <v>736</v>
      </c>
      <c r="D337" s="1" t="s">
        <v>17</v>
      </c>
      <c r="E337" s="1" t="s">
        <v>17</v>
      </c>
      <c r="F337" s="1" t="s">
        <v>17</v>
      </c>
      <c r="G337" s="1">
        <v>1.0</v>
      </c>
      <c r="H337" s="1">
        <v>40000.0</v>
      </c>
    </row>
    <row r="338">
      <c r="A338" s="1">
        <v>148.0</v>
      </c>
      <c r="B338" s="1" t="s">
        <v>601</v>
      </c>
      <c r="C338" s="1" t="s">
        <v>616</v>
      </c>
      <c r="D338" s="1">
        <v>-0.5</v>
      </c>
      <c r="E338" s="1">
        <v>-0.5</v>
      </c>
      <c r="F338" s="1">
        <v>115.0</v>
      </c>
      <c r="G338" s="1">
        <v>1.0</v>
      </c>
      <c r="H338" s="1">
        <v>33897.0</v>
      </c>
    </row>
    <row r="339">
      <c r="A339" s="1">
        <v>148.0</v>
      </c>
      <c r="B339" s="1" t="s">
        <v>607</v>
      </c>
      <c r="C339" s="1" t="s">
        <v>616</v>
      </c>
      <c r="D339" s="1">
        <v>-1.0</v>
      </c>
      <c r="E339" s="1">
        <v>0.0</v>
      </c>
      <c r="F339" s="1" t="s">
        <v>17</v>
      </c>
      <c r="G339" s="1">
        <v>1.0</v>
      </c>
      <c r="H339" s="1">
        <v>0.0</v>
      </c>
    </row>
    <row r="340">
      <c r="A340" s="1">
        <v>149.0</v>
      </c>
      <c r="B340" s="1" t="s">
        <v>17</v>
      </c>
      <c r="C340" s="1" t="s">
        <v>736</v>
      </c>
      <c r="D340" s="1" t="s">
        <v>17</v>
      </c>
      <c r="E340" s="1" t="s">
        <v>17</v>
      </c>
      <c r="F340" s="1" t="s">
        <v>17</v>
      </c>
      <c r="G340" s="1">
        <v>1.0</v>
      </c>
      <c r="H340" s="1">
        <v>38400.0</v>
      </c>
    </row>
    <row r="341">
      <c r="A341" s="1">
        <v>149.0</v>
      </c>
      <c r="B341" s="1" t="s">
        <v>601</v>
      </c>
      <c r="C341" s="1" t="s">
        <v>677</v>
      </c>
      <c r="D341" s="1">
        <v>1.0</v>
      </c>
      <c r="E341" s="1">
        <v>0.0</v>
      </c>
      <c r="F341" s="1" t="s">
        <v>17</v>
      </c>
      <c r="G341" s="1">
        <v>1.0</v>
      </c>
      <c r="H341" s="1">
        <v>232380.0</v>
      </c>
    </row>
    <row r="342">
      <c r="A342" s="1">
        <v>149.0</v>
      </c>
      <c r="B342" s="1" t="s">
        <v>607</v>
      </c>
      <c r="C342" s="1" t="s">
        <v>677</v>
      </c>
      <c r="D342" s="1">
        <v>0.75</v>
      </c>
      <c r="E342" s="1">
        <v>0.0</v>
      </c>
      <c r="F342" s="1" t="s">
        <v>17</v>
      </c>
      <c r="G342" s="1">
        <v>1.0</v>
      </c>
      <c r="H342" s="1">
        <v>0.0</v>
      </c>
    </row>
    <row r="343">
      <c r="A343" s="1">
        <v>150.0</v>
      </c>
      <c r="B343" s="1" t="s">
        <v>601</v>
      </c>
      <c r="C343" s="1" t="s">
        <v>736</v>
      </c>
      <c r="D343" s="1" t="s">
        <v>17</v>
      </c>
      <c r="E343" s="1" t="s">
        <v>17</v>
      </c>
      <c r="F343" s="1" t="s">
        <v>17</v>
      </c>
      <c r="G343" s="1">
        <v>1.0</v>
      </c>
      <c r="H343" s="1">
        <v>40000.0</v>
      </c>
    </row>
    <row r="344">
      <c r="A344" s="1">
        <v>150.0</v>
      </c>
      <c r="B344" s="1" t="s">
        <v>601</v>
      </c>
      <c r="C344" s="1" t="s">
        <v>616</v>
      </c>
      <c r="D344" s="1">
        <v>-0.5</v>
      </c>
      <c r="E344" s="1">
        <v>-0.5</v>
      </c>
      <c r="F344" s="1">
        <v>160.0</v>
      </c>
      <c r="G344" s="1">
        <v>1.0</v>
      </c>
      <c r="H344" s="1">
        <v>0.0</v>
      </c>
    </row>
    <row r="345">
      <c r="A345" s="1">
        <v>150.0</v>
      </c>
      <c r="B345" s="1" t="s">
        <v>607</v>
      </c>
      <c r="C345" s="1" t="s">
        <v>616</v>
      </c>
      <c r="D345" s="1">
        <v>-0.75</v>
      </c>
      <c r="E345" s="1">
        <v>-0.5</v>
      </c>
      <c r="F345" s="1">
        <v>25.0</v>
      </c>
      <c r="G345" s="1">
        <v>1.0</v>
      </c>
      <c r="H345" s="1">
        <v>24600.0</v>
      </c>
    </row>
    <row r="346">
      <c r="A346" s="1">
        <v>151.0</v>
      </c>
      <c r="B346" s="1" t="s">
        <v>604</v>
      </c>
      <c r="C346" s="1" t="s">
        <v>736</v>
      </c>
      <c r="D346" s="1" t="s">
        <v>17</v>
      </c>
      <c r="E346" s="1" t="s">
        <v>17</v>
      </c>
      <c r="F346" s="1" t="s">
        <v>17</v>
      </c>
      <c r="G346" s="1">
        <v>1.0</v>
      </c>
      <c r="H346" s="1">
        <v>40000.0</v>
      </c>
    </row>
    <row r="347">
      <c r="A347" s="1">
        <v>151.0</v>
      </c>
      <c r="B347" s="1" t="s">
        <v>601</v>
      </c>
      <c r="C347" s="1" t="s">
        <v>668</v>
      </c>
      <c r="D347" s="1">
        <v>-2.25</v>
      </c>
      <c r="E347" s="1">
        <v>-0.5</v>
      </c>
      <c r="F347" s="1">
        <v>140.0</v>
      </c>
      <c r="G347" s="1">
        <v>1.0</v>
      </c>
      <c r="H347" s="1">
        <v>34364.0</v>
      </c>
    </row>
    <row r="348">
      <c r="A348" s="1">
        <v>151.0</v>
      </c>
      <c r="B348" s="1" t="s">
        <v>607</v>
      </c>
      <c r="C348" s="1" t="s">
        <v>668</v>
      </c>
      <c r="D348" s="1">
        <v>-2.25</v>
      </c>
      <c r="E348" s="1">
        <v>-0.25</v>
      </c>
      <c r="F348" s="1">
        <v>15.0</v>
      </c>
      <c r="G348" s="1">
        <v>1.0</v>
      </c>
      <c r="H348" s="1">
        <v>0.0</v>
      </c>
    </row>
    <row r="349">
      <c r="A349" s="1">
        <v>152.0</v>
      </c>
      <c r="B349" s="1" t="s">
        <v>17</v>
      </c>
      <c r="C349" s="1" t="s">
        <v>751</v>
      </c>
      <c r="D349" s="1" t="s">
        <v>17</v>
      </c>
      <c r="E349" s="1" t="s">
        <v>17</v>
      </c>
      <c r="F349" s="1" t="s">
        <v>17</v>
      </c>
      <c r="G349" s="1">
        <v>1.0</v>
      </c>
      <c r="H349" s="1">
        <v>108100.0</v>
      </c>
    </row>
    <row r="350">
      <c r="A350" s="1">
        <v>152.0</v>
      </c>
      <c r="B350" s="1" t="s">
        <v>601</v>
      </c>
      <c r="C350" s="1" t="s">
        <v>616</v>
      </c>
      <c r="D350" s="1">
        <v>-0.5</v>
      </c>
      <c r="E350" s="1">
        <v>0.0</v>
      </c>
      <c r="F350" s="1" t="s">
        <v>17</v>
      </c>
      <c r="G350" s="1">
        <v>1.0</v>
      </c>
      <c r="H350" s="1">
        <v>0.0</v>
      </c>
    </row>
    <row r="351">
      <c r="A351" s="1">
        <v>152.0</v>
      </c>
      <c r="B351" s="1" t="s">
        <v>607</v>
      </c>
      <c r="C351" s="1" t="s">
        <v>616</v>
      </c>
      <c r="D351" s="1">
        <v>-0.5</v>
      </c>
      <c r="E351" s="1">
        <v>0.0</v>
      </c>
      <c r="F351" s="1" t="s">
        <v>17</v>
      </c>
      <c r="G351" s="1">
        <v>1.0</v>
      </c>
      <c r="H351" s="1">
        <v>30000.0</v>
      </c>
    </row>
    <row r="352">
      <c r="A352" s="1">
        <v>153.0</v>
      </c>
      <c r="B352" s="1" t="s">
        <v>601</v>
      </c>
      <c r="C352" s="1" t="s">
        <v>616</v>
      </c>
      <c r="D352" s="1">
        <v>-0.25</v>
      </c>
      <c r="E352" s="1">
        <v>0.0</v>
      </c>
      <c r="F352" s="1" t="s">
        <v>17</v>
      </c>
      <c r="G352" s="1">
        <v>1.0</v>
      </c>
      <c r="H352" s="1">
        <v>15168.0</v>
      </c>
    </row>
    <row r="353">
      <c r="A353" s="1">
        <v>153.0</v>
      </c>
      <c r="B353" s="1" t="s">
        <v>607</v>
      </c>
      <c r="C353" s="1" t="s">
        <v>616</v>
      </c>
      <c r="D353" s="1">
        <v>-0.25</v>
      </c>
      <c r="E353" s="1">
        <v>0.0</v>
      </c>
      <c r="F353" s="1" t="s">
        <v>17</v>
      </c>
      <c r="G353" s="1">
        <v>1.0</v>
      </c>
      <c r="H353" s="1">
        <v>0.0</v>
      </c>
    </row>
    <row r="354">
      <c r="A354" s="1">
        <v>153.0</v>
      </c>
      <c r="B354" s="1" t="s">
        <v>17</v>
      </c>
      <c r="C354" s="1" t="s">
        <v>736</v>
      </c>
      <c r="D354" s="1" t="s">
        <v>17</v>
      </c>
      <c r="E354" s="1" t="s">
        <v>17</v>
      </c>
      <c r="F354" s="1" t="s">
        <v>17</v>
      </c>
      <c r="G354" s="1">
        <v>1.0</v>
      </c>
      <c r="H354" s="1">
        <v>40000.0</v>
      </c>
    </row>
    <row r="355">
      <c r="A355" s="1">
        <v>154.0</v>
      </c>
      <c r="B355" s="1" t="s">
        <v>604</v>
      </c>
      <c r="C355" s="1" t="s">
        <v>635</v>
      </c>
      <c r="D355" s="1" t="s">
        <v>17</v>
      </c>
      <c r="E355" s="1" t="s">
        <v>17</v>
      </c>
      <c r="F355" s="1" t="s">
        <v>17</v>
      </c>
      <c r="G355" s="1">
        <v>1.0</v>
      </c>
      <c r="H355" s="1">
        <v>90000.0</v>
      </c>
    </row>
    <row r="356">
      <c r="A356" s="1">
        <v>154.0</v>
      </c>
      <c r="B356" s="1" t="s">
        <v>604</v>
      </c>
      <c r="C356" s="1" t="s">
        <v>752</v>
      </c>
      <c r="D356" s="1" t="s">
        <v>17</v>
      </c>
      <c r="E356" s="1" t="s">
        <v>17</v>
      </c>
      <c r="F356" s="1" t="s">
        <v>17</v>
      </c>
      <c r="G356" s="1">
        <v>1.0</v>
      </c>
      <c r="H356" s="1">
        <v>50000.0</v>
      </c>
    </row>
    <row r="357">
      <c r="A357" s="1">
        <v>155.0</v>
      </c>
      <c r="B357" s="1" t="s">
        <v>17</v>
      </c>
      <c r="C357" s="1" t="s">
        <v>753</v>
      </c>
      <c r="D357" s="1" t="s">
        <v>17</v>
      </c>
      <c r="E357" s="1" t="s">
        <v>17</v>
      </c>
      <c r="F357" s="1" t="s">
        <v>17</v>
      </c>
      <c r="G357" s="1">
        <v>1.0</v>
      </c>
      <c r="H357" s="1">
        <v>148000.0</v>
      </c>
    </row>
    <row r="358">
      <c r="A358" s="1">
        <v>155.0</v>
      </c>
      <c r="B358" s="1" t="s">
        <v>17</v>
      </c>
      <c r="C358" s="1" t="s">
        <v>736</v>
      </c>
      <c r="D358" s="1" t="s">
        <v>17</v>
      </c>
      <c r="E358" s="1" t="s">
        <v>17</v>
      </c>
      <c r="F358" s="1" t="s">
        <v>17</v>
      </c>
      <c r="G358" s="1">
        <v>1.0</v>
      </c>
      <c r="H358" s="1">
        <v>40000.0</v>
      </c>
    </row>
    <row r="359">
      <c r="A359" s="1">
        <v>155.0</v>
      </c>
      <c r="B359" s="1" t="s">
        <v>17</v>
      </c>
      <c r="C359" s="1" t="s">
        <v>754</v>
      </c>
      <c r="D359" s="1">
        <v>0.0</v>
      </c>
      <c r="E359" s="1">
        <v>0.0</v>
      </c>
      <c r="F359" s="1" t="s">
        <v>17</v>
      </c>
      <c r="G359" s="1">
        <v>1.0</v>
      </c>
      <c r="H359" s="1">
        <v>65000.0</v>
      </c>
    </row>
    <row r="360">
      <c r="A360" s="1">
        <v>155.0</v>
      </c>
      <c r="B360" s="1" t="s">
        <v>17</v>
      </c>
      <c r="C360" s="1" t="s">
        <v>611</v>
      </c>
      <c r="D360" s="1">
        <v>0.0</v>
      </c>
      <c r="E360" s="1">
        <v>0.0</v>
      </c>
      <c r="F360" s="1" t="s">
        <v>17</v>
      </c>
      <c r="G360" s="1">
        <v>1.0</v>
      </c>
      <c r="H360" s="1">
        <v>52500.0</v>
      </c>
    </row>
    <row r="361">
      <c r="A361" s="1">
        <v>156.0</v>
      </c>
      <c r="B361" s="1" t="s">
        <v>601</v>
      </c>
      <c r="C361" s="1" t="s">
        <v>610</v>
      </c>
      <c r="D361" s="1">
        <v>-6.0</v>
      </c>
      <c r="E361" s="1">
        <v>-2.5</v>
      </c>
      <c r="F361" s="1">
        <v>175.0</v>
      </c>
      <c r="G361" s="1">
        <v>1.0</v>
      </c>
      <c r="H361" s="1">
        <v>52200.0</v>
      </c>
    </row>
    <row r="362">
      <c r="A362" s="1">
        <v>156.0</v>
      </c>
      <c r="B362" s="1" t="s">
        <v>607</v>
      </c>
      <c r="C362" s="1" t="s">
        <v>610</v>
      </c>
      <c r="D362" s="1">
        <v>-6.0</v>
      </c>
      <c r="E362" s="1">
        <v>-2.0</v>
      </c>
      <c r="F362" s="1">
        <v>10.0</v>
      </c>
      <c r="G362" s="1">
        <v>1.0</v>
      </c>
      <c r="H362" s="1">
        <v>0.0</v>
      </c>
    </row>
    <row r="363">
      <c r="A363" s="1">
        <v>157.0</v>
      </c>
      <c r="B363" s="1" t="s">
        <v>601</v>
      </c>
      <c r="C363" s="1" t="s">
        <v>616</v>
      </c>
      <c r="D363" s="1">
        <v>0.25</v>
      </c>
      <c r="E363" s="1">
        <v>0.0</v>
      </c>
      <c r="F363" s="1" t="s">
        <v>17</v>
      </c>
      <c r="G363" s="1">
        <v>1.0</v>
      </c>
      <c r="H363" s="1">
        <v>20000.0</v>
      </c>
    </row>
    <row r="364">
      <c r="A364" s="1">
        <v>157.0</v>
      </c>
      <c r="B364" s="1" t="s">
        <v>607</v>
      </c>
      <c r="C364" s="1" t="s">
        <v>616</v>
      </c>
      <c r="D364" s="1">
        <v>0.0</v>
      </c>
      <c r="E364" s="1">
        <v>-0.25</v>
      </c>
      <c r="F364" s="1">
        <v>180.0</v>
      </c>
      <c r="G364" s="1">
        <v>1.0</v>
      </c>
      <c r="H364" s="1">
        <v>0.0</v>
      </c>
    </row>
    <row r="365">
      <c r="A365" s="1">
        <v>157.0</v>
      </c>
      <c r="B365" s="1" t="s">
        <v>17</v>
      </c>
      <c r="C365" s="1" t="s">
        <v>755</v>
      </c>
      <c r="D365" s="1" t="s">
        <v>17</v>
      </c>
      <c r="E365" s="1" t="s">
        <v>17</v>
      </c>
      <c r="F365" s="1" t="s">
        <v>17</v>
      </c>
      <c r="G365" s="1">
        <v>1.0</v>
      </c>
      <c r="H365" s="1">
        <v>2000.0</v>
      </c>
    </row>
    <row r="366">
      <c r="A366" s="1">
        <v>158.0</v>
      </c>
      <c r="B366" s="1" t="s">
        <v>601</v>
      </c>
      <c r="C366" s="1" t="s">
        <v>756</v>
      </c>
      <c r="D366" s="1">
        <v>1.0</v>
      </c>
      <c r="E366" s="1">
        <v>0.0</v>
      </c>
      <c r="F366" s="1" t="s">
        <v>17</v>
      </c>
      <c r="G366" s="1">
        <v>1.0</v>
      </c>
      <c r="H366" s="1">
        <v>752000.0</v>
      </c>
    </row>
    <row r="367">
      <c r="A367" s="1">
        <v>158.0</v>
      </c>
      <c r="B367" s="1" t="s">
        <v>607</v>
      </c>
      <c r="C367" s="1" t="s">
        <v>756</v>
      </c>
      <c r="D367" s="1">
        <v>0.75</v>
      </c>
      <c r="E367" s="1">
        <v>0.0</v>
      </c>
      <c r="F367" s="1" t="s">
        <v>17</v>
      </c>
      <c r="G367" s="1">
        <v>1.0</v>
      </c>
      <c r="H367" s="1">
        <v>0.0</v>
      </c>
    </row>
    <row r="368">
      <c r="A368" s="1">
        <v>158.0</v>
      </c>
      <c r="B368" s="1" t="s">
        <v>17</v>
      </c>
      <c r="C368" s="1" t="s">
        <v>757</v>
      </c>
      <c r="D368" s="1" t="s">
        <v>17</v>
      </c>
      <c r="E368" s="1" t="s">
        <v>17</v>
      </c>
      <c r="F368" s="1" t="s">
        <v>17</v>
      </c>
      <c r="G368" s="1">
        <v>1.0</v>
      </c>
      <c r="H368" s="1">
        <v>65200.0</v>
      </c>
    </row>
    <row r="369">
      <c r="A369" s="1">
        <v>158.0</v>
      </c>
      <c r="B369" s="1" t="s">
        <v>17</v>
      </c>
      <c r="C369" s="1" t="s">
        <v>758</v>
      </c>
      <c r="D369" s="1" t="s">
        <v>17</v>
      </c>
      <c r="E369" s="1" t="s">
        <v>17</v>
      </c>
      <c r="F369" s="1" t="s">
        <v>17</v>
      </c>
      <c r="G369" s="1">
        <v>1.0</v>
      </c>
      <c r="H369" s="1">
        <v>150100.0</v>
      </c>
    </row>
    <row r="370">
      <c r="A370" s="1">
        <v>159.0</v>
      </c>
      <c r="B370" s="1" t="s">
        <v>601</v>
      </c>
      <c r="C370" s="1" t="s">
        <v>738</v>
      </c>
      <c r="D370" s="1">
        <v>0.75</v>
      </c>
      <c r="E370" s="1">
        <v>0.5</v>
      </c>
      <c r="F370" s="1">
        <v>180.0</v>
      </c>
      <c r="G370" s="1">
        <v>1.0</v>
      </c>
      <c r="H370" s="1">
        <v>0.0</v>
      </c>
    </row>
    <row r="371">
      <c r="A371" s="1">
        <v>159.0</v>
      </c>
      <c r="B371" s="1" t="s">
        <v>607</v>
      </c>
      <c r="C371" s="1" t="s">
        <v>738</v>
      </c>
      <c r="D371" s="1">
        <v>1.0</v>
      </c>
      <c r="E371" s="1">
        <v>0.5</v>
      </c>
      <c r="F371" s="1">
        <v>180.0</v>
      </c>
      <c r="G371" s="1">
        <v>1.0</v>
      </c>
      <c r="H371" s="1">
        <v>427000.0</v>
      </c>
    </row>
    <row r="372">
      <c r="A372" s="1">
        <v>159.0</v>
      </c>
      <c r="B372" s="1" t="s">
        <v>17</v>
      </c>
      <c r="C372" s="1" t="s">
        <v>645</v>
      </c>
      <c r="D372" s="1" t="s">
        <v>17</v>
      </c>
      <c r="E372" s="1" t="s">
        <v>17</v>
      </c>
      <c r="F372" s="1" t="s">
        <v>17</v>
      </c>
      <c r="G372" s="1">
        <v>1.0</v>
      </c>
      <c r="H372" s="1">
        <v>45000.0</v>
      </c>
    </row>
    <row r="373">
      <c r="A373" s="1">
        <v>160.0</v>
      </c>
      <c r="B373" s="1" t="s">
        <v>601</v>
      </c>
      <c r="C373" s="1" t="s">
        <v>616</v>
      </c>
      <c r="D373" s="1">
        <v>0.0</v>
      </c>
      <c r="E373" s="1">
        <v>-0.75</v>
      </c>
      <c r="F373" s="1">
        <v>50.0</v>
      </c>
      <c r="G373" s="1">
        <v>1.0</v>
      </c>
      <c r="H373" s="1">
        <v>0.0</v>
      </c>
    </row>
    <row r="374">
      <c r="A374" s="1">
        <v>160.0</v>
      </c>
      <c r="B374" s="1" t="s">
        <v>607</v>
      </c>
      <c r="C374" s="1" t="s">
        <v>616</v>
      </c>
      <c r="D374" s="1">
        <v>0.0</v>
      </c>
      <c r="E374" s="1">
        <v>-0.75</v>
      </c>
      <c r="F374" s="1">
        <v>90.0</v>
      </c>
      <c r="G374" s="1">
        <v>1.0</v>
      </c>
      <c r="H374" s="1">
        <v>30000.0</v>
      </c>
    </row>
    <row r="375">
      <c r="A375" s="1">
        <v>161.0</v>
      </c>
      <c r="B375" s="1" t="s">
        <v>17</v>
      </c>
      <c r="C375" s="1" t="s">
        <v>686</v>
      </c>
      <c r="D375" s="1" t="s">
        <v>17</v>
      </c>
      <c r="E375" s="1" t="s">
        <v>17</v>
      </c>
      <c r="F375" s="1" t="s">
        <v>17</v>
      </c>
      <c r="G375" s="1">
        <v>1.0</v>
      </c>
      <c r="H375" s="1">
        <v>25700.0</v>
      </c>
    </row>
    <row r="376">
      <c r="A376" s="1">
        <v>161.0</v>
      </c>
      <c r="B376" s="1" t="s">
        <v>601</v>
      </c>
      <c r="C376" s="1" t="s">
        <v>680</v>
      </c>
      <c r="D376" s="1">
        <v>-0.25</v>
      </c>
      <c r="E376" s="1">
        <v>-2.5</v>
      </c>
      <c r="F376" s="1">
        <v>0.0</v>
      </c>
      <c r="G376" s="1">
        <v>1.0</v>
      </c>
      <c r="H376" s="1">
        <v>0.0</v>
      </c>
    </row>
    <row r="377">
      <c r="A377" s="1">
        <v>161.0</v>
      </c>
      <c r="B377" s="1" t="s">
        <v>607</v>
      </c>
      <c r="C377" s="1" t="s">
        <v>680</v>
      </c>
      <c r="D377" s="1">
        <v>-0.25</v>
      </c>
      <c r="E377" s="1">
        <v>-2.5</v>
      </c>
      <c r="F377" s="1">
        <v>175.0</v>
      </c>
      <c r="G377" s="1">
        <v>1.0</v>
      </c>
      <c r="H377" s="1">
        <v>36300.0</v>
      </c>
    </row>
    <row r="378">
      <c r="A378" s="1">
        <v>162.0</v>
      </c>
      <c r="B378" s="1" t="s">
        <v>601</v>
      </c>
      <c r="C378" s="1" t="s">
        <v>611</v>
      </c>
      <c r="D378" s="1">
        <v>-3.25</v>
      </c>
      <c r="E378" s="1">
        <v>-1.75</v>
      </c>
      <c r="F378" s="1">
        <v>10.0</v>
      </c>
      <c r="G378" s="1">
        <v>1.0</v>
      </c>
      <c r="H378" s="1">
        <v>74600.0</v>
      </c>
    </row>
    <row r="379">
      <c r="A379" s="1">
        <v>162.0</v>
      </c>
      <c r="B379" s="1" t="s">
        <v>607</v>
      </c>
      <c r="C379" s="1" t="s">
        <v>610</v>
      </c>
      <c r="D379" s="1">
        <v>-1.75</v>
      </c>
      <c r="E379" s="1">
        <v>-2.5</v>
      </c>
      <c r="F379" s="1">
        <v>180.0</v>
      </c>
      <c r="G379" s="1">
        <v>1.0</v>
      </c>
      <c r="H379" s="1">
        <v>0.0</v>
      </c>
    </row>
    <row r="380">
      <c r="A380" s="1">
        <v>162.0</v>
      </c>
      <c r="B380" s="1" t="s">
        <v>17</v>
      </c>
      <c r="C380" s="1" t="s">
        <v>759</v>
      </c>
      <c r="D380" s="1" t="s">
        <v>17</v>
      </c>
      <c r="E380" s="1" t="s">
        <v>17</v>
      </c>
      <c r="F380" s="1" t="s">
        <v>17</v>
      </c>
      <c r="G380" s="1">
        <v>1.0</v>
      </c>
      <c r="H380" s="1">
        <v>100000.0</v>
      </c>
    </row>
    <row r="381">
      <c r="A381" s="1">
        <v>163.0</v>
      </c>
      <c r="B381" s="1" t="s">
        <v>604</v>
      </c>
      <c r="C381" s="1" t="s">
        <v>760</v>
      </c>
      <c r="D381" s="1" t="s">
        <v>17</v>
      </c>
      <c r="E381" s="1" t="s">
        <v>17</v>
      </c>
      <c r="F381" s="1" t="s">
        <v>17</v>
      </c>
      <c r="G381" s="1">
        <v>1.0</v>
      </c>
      <c r="H381" s="1">
        <v>50000.0</v>
      </c>
    </row>
    <row r="382">
      <c r="A382" s="1">
        <v>163.0</v>
      </c>
      <c r="B382" s="1" t="s">
        <v>601</v>
      </c>
      <c r="C382" s="1" t="s">
        <v>616</v>
      </c>
      <c r="D382" s="1">
        <v>0.0</v>
      </c>
      <c r="E382" s="1">
        <v>0.0</v>
      </c>
      <c r="F382" s="1" t="s">
        <v>17</v>
      </c>
      <c r="G382" s="1">
        <v>1.0</v>
      </c>
      <c r="H382" s="1">
        <v>30000.0</v>
      </c>
    </row>
    <row r="383">
      <c r="A383" s="1">
        <v>163.0</v>
      </c>
      <c r="B383" s="1" t="s">
        <v>607</v>
      </c>
      <c r="C383" s="1" t="s">
        <v>616</v>
      </c>
      <c r="D383" s="1">
        <v>0.0</v>
      </c>
      <c r="E383" s="1">
        <v>0.0</v>
      </c>
      <c r="F383" s="1" t="s">
        <v>17</v>
      </c>
      <c r="G383" s="1">
        <v>1.0</v>
      </c>
      <c r="H383" s="1">
        <v>0.0</v>
      </c>
    </row>
    <row r="384">
      <c r="A384" s="1">
        <v>164.0</v>
      </c>
      <c r="B384" s="1" t="s">
        <v>17</v>
      </c>
      <c r="C384" s="1" t="s">
        <v>761</v>
      </c>
      <c r="D384" s="1" t="s">
        <v>17</v>
      </c>
      <c r="E384" s="1" t="s">
        <v>17</v>
      </c>
      <c r="F384" s="1" t="s">
        <v>17</v>
      </c>
      <c r="G384" s="1">
        <v>1.0</v>
      </c>
      <c r="H384" s="1">
        <v>44400.0</v>
      </c>
    </row>
    <row r="385">
      <c r="A385" s="1">
        <v>164.0</v>
      </c>
      <c r="B385" s="1" t="s">
        <v>601</v>
      </c>
      <c r="C385" s="1" t="s">
        <v>611</v>
      </c>
      <c r="D385" s="1">
        <v>0.0</v>
      </c>
      <c r="E385" s="1">
        <v>0.0</v>
      </c>
      <c r="F385" s="1" t="s">
        <v>17</v>
      </c>
      <c r="G385" s="1">
        <v>1.0</v>
      </c>
      <c r="H385" s="1">
        <v>66300.0</v>
      </c>
    </row>
    <row r="386">
      <c r="A386" s="1">
        <v>164.0</v>
      </c>
      <c r="B386" s="1" t="s">
        <v>607</v>
      </c>
      <c r="C386" s="1" t="s">
        <v>611</v>
      </c>
      <c r="D386" s="1">
        <v>0.0</v>
      </c>
      <c r="E386" s="1">
        <v>0.0</v>
      </c>
      <c r="F386" s="1" t="s">
        <v>17</v>
      </c>
      <c r="G386" s="1">
        <v>1.0</v>
      </c>
      <c r="H386" s="1">
        <v>0.0</v>
      </c>
    </row>
    <row r="387">
      <c r="A387" s="1">
        <v>165.0</v>
      </c>
      <c r="B387" s="1" t="s">
        <v>604</v>
      </c>
      <c r="C387" s="1" t="s">
        <v>736</v>
      </c>
      <c r="D387" s="1" t="s">
        <v>17</v>
      </c>
      <c r="E387" s="1" t="s">
        <v>17</v>
      </c>
      <c r="F387" s="1" t="s">
        <v>17</v>
      </c>
      <c r="G387" s="1">
        <v>1.0</v>
      </c>
      <c r="H387" s="1">
        <v>50000.0</v>
      </c>
    </row>
    <row r="388">
      <c r="A388" s="1">
        <v>165.0</v>
      </c>
      <c r="B388" s="1" t="s">
        <v>601</v>
      </c>
      <c r="C388" s="1" t="s">
        <v>616</v>
      </c>
      <c r="D388" s="1">
        <v>1.5</v>
      </c>
      <c r="E388" s="1">
        <v>0.0</v>
      </c>
      <c r="F388" s="1" t="s">
        <v>17</v>
      </c>
      <c r="G388" s="1">
        <v>1.0</v>
      </c>
      <c r="H388" s="1">
        <v>30000.0</v>
      </c>
    </row>
    <row r="389">
      <c r="A389" s="1">
        <v>165.0</v>
      </c>
      <c r="B389" s="1" t="s">
        <v>607</v>
      </c>
      <c r="C389" s="1" t="s">
        <v>616</v>
      </c>
      <c r="D389" s="1">
        <v>1.0</v>
      </c>
      <c r="E389" s="1">
        <v>0.5</v>
      </c>
      <c r="F389" s="1">
        <v>120.0</v>
      </c>
      <c r="G389" s="1">
        <v>1.0</v>
      </c>
      <c r="H389" s="1">
        <v>0.0</v>
      </c>
    </row>
    <row r="390">
      <c r="A390" s="1">
        <v>166.0</v>
      </c>
      <c r="B390" s="1" t="s">
        <v>17</v>
      </c>
      <c r="C390" s="1" t="s">
        <v>676</v>
      </c>
      <c r="D390" s="1" t="s">
        <v>17</v>
      </c>
      <c r="E390" s="1" t="s">
        <v>17</v>
      </c>
      <c r="F390" s="1" t="s">
        <v>17</v>
      </c>
      <c r="G390" s="1">
        <v>1.0</v>
      </c>
      <c r="H390" s="1">
        <v>60500.0</v>
      </c>
    </row>
    <row r="391">
      <c r="A391" s="1">
        <v>166.0</v>
      </c>
      <c r="B391" s="1" t="s">
        <v>601</v>
      </c>
      <c r="C391" s="1" t="s">
        <v>677</v>
      </c>
      <c r="D391" s="1">
        <v>0.5</v>
      </c>
      <c r="E391" s="1">
        <v>0.0</v>
      </c>
      <c r="F391" s="1" t="s">
        <v>17</v>
      </c>
      <c r="G391" s="1">
        <v>1.0</v>
      </c>
      <c r="H391" s="1">
        <v>240000.0</v>
      </c>
    </row>
    <row r="392">
      <c r="A392" s="1">
        <v>166.0</v>
      </c>
      <c r="B392" s="1" t="s">
        <v>607</v>
      </c>
      <c r="C392" s="1" t="s">
        <v>677</v>
      </c>
      <c r="D392" s="1">
        <v>0.25</v>
      </c>
      <c r="E392" s="1">
        <v>-0.5</v>
      </c>
      <c r="F392" s="1">
        <v>68.0</v>
      </c>
      <c r="G392" s="1">
        <v>1.0</v>
      </c>
      <c r="H392" s="1">
        <v>0.0</v>
      </c>
    </row>
    <row r="393">
      <c r="A393" s="1">
        <v>167.0</v>
      </c>
      <c r="B393" s="1" t="s">
        <v>601</v>
      </c>
      <c r="C393" s="1" t="s">
        <v>611</v>
      </c>
      <c r="D393" s="1">
        <v>-3.0</v>
      </c>
      <c r="E393" s="1">
        <v>-0.5</v>
      </c>
      <c r="F393" s="1">
        <v>27.0</v>
      </c>
      <c r="G393" s="1">
        <v>1.0</v>
      </c>
      <c r="H393" s="1">
        <v>61000.0</v>
      </c>
    </row>
    <row r="394">
      <c r="A394" s="1">
        <v>167.0</v>
      </c>
      <c r="B394" s="1" t="s">
        <v>607</v>
      </c>
      <c r="C394" s="1" t="s">
        <v>611</v>
      </c>
      <c r="D394" s="1">
        <v>-2.5</v>
      </c>
      <c r="E394" s="1">
        <v>-1.25</v>
      </c>
      <c r="F394" s="1">
        <v>159.0</v>
      </c>
      <c r="G394" s="1">
        <v>1.0</v>
      </c>
      <c r="H394" s="1">
        <v>0.0</v>
      </c>
    </row>
    <row r="395">
      <c r="A395" s="1">
        <v>167.0</v>
      </c>
      <c r="B395" s="1" t="s">
        <v>601</v>
      </c>
      <c r="C395" s="1" t="s">
        <v>668</v>
      </c>
      <c r="D395" s="1">
        <v>-1.5</v>
      </c>
      <c r="E395" s="1">
        <v>-0.5</v>
      </c>
      <c r="F395" s="1">
        <v>27.0</v>
      </c>
      <c r="G395" s="1">
        <v>1.0</v>
      </c>
      <c r="H395" s="1">
        <v>26200.0</v>
      </c>
    </row>
    <row r="396">
      <c r="A396" s="1">
        <v>167.0</v>
      </c>
      <c r="B396" s="1" t="s">
        <v>607</v>
      </c>
      <c r="C396" s="1" t="s">
        <v>668</v>
      </c>
      <c r="D396" s="1">
        <v>-1.0</v>
      </c>
      <c r="E396" s="1">
        <v>-1.25</v>
      </c>
      <c r="F396" s="1">
        <v>159.0</v>
      </c>
      <c r="G396" s="1">
        <v>1.0</v>
      </c>
      <c r="H396" s="1">
        <v>0.0</v>
      </c>
    </row>
    <row r="397">
      <c r="A397" s="1">
        <v>167.0</v>
      </c>
      <c r="B397" s="1" t="s">
        <v>601</v>
      </c>
      <c r="C397" s="1" t="s">
        <v>616</v>
      </c>
      <c r="D397" s="1">
        <v>-0.25</v>
      </c>
      <c r="E397" s="1">
        <v>-0.25</v>
      </c>
      <c r="F397" s="1">
        <v>15.0</v>
      </c>
      <c r="G397" s="1">
        <v>1.0</v>
      </c>
      <c r="H397" s="1">
        <v>36000.0</v>
      </c>
    </row>
    <row r="398">
      <c r="A398" s="1">
        <v>167.0</v>
      </c>
      <c r="B398" s="1" t="s">
        <v>607</v>
      </c>
      <c r="C398" s="1" t="s">
        <v>616</v>
      </c>
      <c r="D398" s="1">
        <v>0.0</v>
      </c>
      <c r="E398" s="1">
        <v>-0.75</v>
      </c>
      <c r="F398" s="1">
        <v>16.0</v>
      </c>
      <c r="G398" s="1">
        <v>1.0</v>
      </c>
      <c r="H398" s="1">
        <v>0.0</v>
      </c>
    </row>
    <row r="399">
      <c r="A399" s="1">
        <v>168.0</v>
      </c>
      <c r="B399" s="1" t="s">
        <v>601</v>
      </c>
      <c r="C399" s="1" t="s">
        <v>762</v>
      </c>
      <c r="D399" s="1">
        <v>-2.0</v>
      </c>
      <c r="E399" s="1">
        <v>-1.0</v>
      </c>
      <c r="F399" s="1">
        <v>90.0</v>
      </c>
      <c r="G399" s="1">
        <v>1.0</v>
      </c>
      <c r="H399" s="1">
        <v>830840.0</v>
      </c>
    </row>
    <row r="400">
      <c r="A400" s="1">
        <v>168.0</v>
      </c>
      <c r="B400" s="1" t="s">
        <v>607</v>
      </c>
      <c r="C400" s="1" t="s">
        <v>762</v>
      </c>
      <c r="D400" s="1">
        <v>-0.75</v>
      </c>
      <c r="E400" s="1">
        <v>-0.25</v>
      </c>
      <c r="F400" s="1">
        <v>70.0</v>
      </c>
      <c r="G400" s="1">
        <v>1.0</v>
      </c>
      <c r="H400" s="1">
        <v>0.0</v>
      </c>
    </row>
    <row r="401">
      <c r="A401" s="1">
        <v>168.0</v>
      </c>
      <c r="B401" s="1" t="s">
        <v>17</v>
      </c>
      <c r="C401" s="1" t="s">
        <v>763</v>
      </c>
      <c r="D401" s="1" t="s">
        <v>17</v>
      </c>
      <c r="E401" s="1" t="s">
        <v>17</v>
      </c>
      <c r="F401" s="1" t="s">
        <v>17</v>
      </c>
      <c r="G401" s="1">
        <v>1.0</v>
      </c>
      <c r="H401" s="1">
        <v>117400.0</v>
      </c>
    </row>
    <row r="402">
      <c r="A402" s="1">
        <v>168.0</v>
      </c>
      <c r="B402" s="1" t="s">
        <v>17</v>
      </c>
      <c r="C402" s="1" t="s">
        <v>764</v>
      </c>
      <c r="D402" s="1" t="s">
        <v>17</v>
      </c>
      <c r="E402" s="1" t="s">
        <v>17</v>
      </c>
      <c r="F402" s="1" t="s">
        <v>17</v>
      </c>
      <c r="G402" s="1">
        <v>1.0</v>
      </c>
      <c r="H402" s="1">
        <v>125900.0</v>
      </c>
    </row>
    <row r="403">
      <c r="A403" s="1">
        <v>169.0</v>
      </c>
      <c r="B403" s="1" t="s">
        <v>17</v>
      </c>
      <c r="C403" s="1" t="s">
        <v>736</v>
      </c>
      <c r="D403" s="1" t="s">
        <v>17</v>
      </c>
      <c r="E403" s="1" t="s">
        <v>17</v>
      </c>
      <c r="F403" s="1" t="s">
        <v>17</v>
      </c>
      <c r="G403" s="1">
        <v>1.0</v>
      </c>
      <c r="H403" s="1">
        <v>40000.0</v>
      </c>
    </row>
    <row r="404">
      <c r="A404" s="1">
        <v>169.0</v>
      </c>
      <c r="B404" s="1" t="s">
        <v>601</v>
      </c>
      <c r="C404" s="1" t="s">
        <v>616</v>
      </c>
      <c r="D404" s="1">
        <v>-2.75</v>
      </c>
      <c r="E404" s="1">
        <v>0.0</v>
      </c>
      <c r="F404" s="1" t="s">
        <v>17</v>
      </c>
      <c r="G404" s="1">
        <v>1.0</v>
      </c>
      <c r="H404" s="1">
        <v>24600.0</v>
      </c>
    </row>
    <row r="405">
      <c r="A405" s="1">
        <v>169.0</v>
      </c>
      <c r="B405" s="1" t="s">
        <v>607</v>
      </c>
      <c r="C405" s="1" t="s">
        <v>616</v>
      </c>
      <c r="D405" s="1">
        <v>-2.75</v>
      </c>
      <c r="E405" s="1">
        <v>0.0</v>
      </c>
      <c r="F405" s="1" t="s">
        <v>17</v>
      </c>
      <c r="G405" s="1">
        <v>1.0</v>
      </c>
      <c r="H405" s="1">
        <v>0.0</v>
      </c>
    </row>
    <row r="406">
      <c r="A406" s="1">
        <v>170.0</v>
      </c>
      <c r="B406" s="1" t="s">
        <v>601</v>
      </c>
      <c r="C406" s="1" t="s">
        <v>702</v>
      </c>
      <c r="D406" s="1">
        <v>1.25</v>
      </c>
      <c r="E406" s="1">
        <v>0.25</v>
      </c>
      <c r="F406" s="1">
        <v>90.0</v>
      </c>
      <c r="G406" s="1">
        <v>1.0</v>
      </c>
      <c r="H406" s="1">
        <v>366480.0</v>
      </c>
    </row>
    <row r="407">
      <c r="A407" s="1">
        <v>170.0</v>
      </c>
      <c r="B407" s="1" t="s">
        <v>607</v>
      </c>
      <c r="C407" s="1" t="s">
        <v>702</v>
      </c>
      <c r="D407" s="1">
        <v>1.0</v>
      </c>
      <c r="E407" s="1">
        <v>0.75</v>
      </c>
      <c r="F407" s="1">
        <v>90.0</v>
      </c>
      <c r="G407" s="1">
        <v>1.0</v>
      </c>
      <c r="H407" s="1">
        <v>0.0</v>
      </c>
    </row>
    <row r="408">
      <c r="A408" s="1">
        <v>170.0</v>
      </c>
      <c r="B408" s="1" t="s">
        <v>17</v>
      </c>
      <c r="C408" s="1" t="s">
        <v>765</v>
      </c>
      <c r="D408" s="1" t="s">
        <v>17</v>
      </c>
      <c r="E408" s="1" t="s">
        <v>17</v>
      </c>
      <c r="F408" s="1" t="s">
        <v>17</v>
      </c>
      <c r="G408" s="1">
        <v>1.0</v>
      </c>
      <c r="H408" s="1">
        <v>112800.0</v>
      </c>
    </row>
    <row r="409">
      <c r="A409" s="1">
        <v>170.0</v>
      </c>
      <c r="B409" s="1" t="s">
        <v>17</v>
      </c>
      <c r="C409" s="1" t="s">
        <v>736</v>
      </c>
      <c r="D409" s="1" t="s">
        <v>17</v>
      </c>
      <c r="E409" s="1" t="s">
        <v>17</v>
      </c>
      <c r="F409" s="1" t="s">
        <v>17</v>
      </c>
      <c r="G409" s="1">
        <v>1.0</v>
      </c>
      <c r="H409" s="1">
        <v>0.0</v>
      </c>
    </row>
    <row r="410">
      <c r="A410" s="1">
        <v>171.0</v>
      </c>
      <c r="B410" s="1" t="s">
        <v>601</v>
      </c>
      <c r="C410" s="1" t="s">
        <v>766</v>
      </c>
      <c r="D410" s="1">
        <v>0.75</v>
      </c>
      <c r="E410" s="1">
        <v>0.0</v>
      </c>
      <c r="F410" s="1" t="s">
        <v>17</v>
      </c>
      <c r="G410" s="1">
        <v>1.0</v>
      </c>
      <c r="H410" s="1">
        <v>162820.0</v>
      </c>
    </row>
    <row r="411">
      <c r="A411" s="1">
        <v>171.0</v>
      </c>
      <c r="B411" s="1" t="s">
        <v>607</v>
      </c>
      <c r="C411" s="1" t="s">
        <v>766</v>
      </c>
      <c r="D411" s="1">
        <v>1.5</v>
      </c>
      <c r="E411" s="1">
        <v>0.0</v>
      </c>
      <c r="F411" s="1" t="s">
        <v>17</v>
      </c>
      <c r="G411" s="1">
        <v>1.0</v>
      </c>
      <c r="H411" s="1">
        <v>0.0</v>
      </c>
    </row>
    <row r="412">
      <c r="A412" s="1">
        <v>171.0</v>
      </c>
      <c r="B412" s="1" t="s">
        <v>17</v>
      </c>
      <c r="C412" s="1" t="s">
        <v>736</v>
      </c>
      <c r="D412" s="1" t="s">
        <v>17</v>
      </c>
      <c r="E412" s="1" t="s">
        <v>17</v>
      </c>
      <c r="F412" s="1" t="s">
        <v>17</v>
      </c>
      <c r="G412" s="1">
        <v>1.0</v>
      </c>
      <c r="H412" s="1">
        <v>45000.0</v>
      </c>
    </row>
    <row r="413">
      <c r="A413" s="1">
        <v>172.0</v>
      </c>
      <c r="B413" s="1" t="s">
        <v>17</v>
      </c>
      <c r="C413" s="1" t="s">
        <v>767</v>
      </c>
      <c r="D413" s="1" t="s">
        <v>17</v>
      </c>
      <c r="E413" s="1" t="s">
        <v>17</v>
      </c>
      <c r="F413" s="1" t="s">
        <v>17</v>
      </c>
      <c r="G413" s="1">
        <v>1.0</v>
      </c>
      <c r="H413" s="1">
        <v>227000.0</v>
      </c>
    </row>
    <row r="414">
      <c r="A414" s="1">
        <v>172.0</v>
      </c>
      <c r="B414" s="1" t="s">
        <v>17</v>
      </c>
      <c r="C414" s="1" t="s">
        <v>768</v>
      </c>
      <c r="D414" s="1" t="s">
        <v>17</v>
      </c>
      <c r="E414" s="1" t="s">
        <v>17</v>
      </c>
      <c r="F414" s="1" t="s">
        <v>17</v>
      </c>
      <c r="G414" s="1">
        <v>1.0</v>
      </c>
      <c r="H414" s="1">
        <v>0.0</v>
      </c>
    </row>
    <row r="415">
      <c r="A415" s="1">
        <v>172.0</v>
      </c>
      <c r="B415" s="1" t="s">
        <v>601</v>
      </c>
      <c r="C415" s="1" t="s">
        <v>616</v>
      </c>
      <c r="D415" s="1">
        <v>-0.25</v>
      </c>
      <c r="E415" s="1">
        <v>-1.5</v>
      </c>
      <c r="F415" s="1">
        <v>165.0</v>
      </c>
      <c r="G415" s="1">
        <v>1.0</v>
      </c>
      <c r="H415" s="1">
        <v>0.0</v>
      </c>
    </row>
    <row r="416">
      <c r="A416" s="1">
        <v>172.0</v>
      </c>
      <c r="B416" s="1" t="s">
        <v>607</v>
      </c>
      <c r="C416" s="1" t="s">
        <v>616</v>
      </c>
      <c r="D416" s="1">
        <v>-0.25</v>
      </c>
      <c r="E416" s="1">
        <v>-1.5</v>
      </c>
      <c r="F416" s="1">
        <v>30.0</v>
      </c>
      <c r="G416" s="1">
        <v>1.0</v>
      </c>
      <c r="H416" s="1">
        <v>0.0</v>
      </c>
    </row>
    <row r="417">
      <c r="A417" s="1">
        <v>173.0</v>
      </c>
      <c r="B417" s="1" t="s">
        <v>601</v>
      </c>
      <c r="C417" s="1" t="s">
        <v>769</v>
      </c>
      <c r="D417" s="1">
        <v>-4.0</v>
      </c>
      <c r="E417" s="1">
        <v>-1.0</v>
      </c>
      <c r="F417" s="1">
        <v>85.0</v>
      </c>
      <c r="G417" s="1">
        <v>1.0</v>
      </c>
      <c r="H417" s="1">
        <v>408000.0</v>
      </c>
    </row>
    <row r="418">
      <c r="A418" s="1">
        <v>173.0</v>
      </c>
      <c r="B418" s="1" t="s">
        <v>607</v>
      </c>
      <c r="C418" s="1" t="s">
        <v>769</v>
      </c>
      <c r="D418" s="1">
        <v>-2.75</v>
      </c>
      <c r="E418" s="1">
        <v>-1.5</v>
      </c>
      <c r="F418" s="1">
        <v>110.0</v>
      </c>
      <c r="G418" s="1">
        <v>1.0</v>
      </c>
      <c r="H418" s="1">
        <v>0.0</v>
      </c>
    </row>
    <row r="419">
      <c r="A419" s="1">
        <v>173.0</v>
      </c>
      <c r="B419" s="1" t="s">
        <v>17</v>
      </c>
      <c r="C419" s="1" t="s">
        <v>736</v>
      </c>
      <c r="D419" s="1" t="s">
        <v>17</v>
      </c>
      <c r="E419" s="1" t="s">
        <v>17</v>
      </c>
      <c r="F419" s="1" t="s">
        <v>17</v>
      </c>
      <c r="G419" s="1">
        <v>1.0</v>
      </c>
      <c r="H419" s="1">
        <v>40000.0</v>
      </c>
    </row>
    <row r="420">
      <c r="A420" s="1">
        <v>173.0</v>
      </c>
      <c r="B420" s="1" t="s">
        <v>17</v>
      </c>
      <c r="C420" s="1" t="s">
        <v>736</v>
      </c>
      <c r="D420" s="1" t="s">
        <v>17</v>
      </c>
      <c r="E420" s="1" t="s">
        <v>17</v>
      </c>
      <c r="F420" s="1" t="s">
        <v>17</v>
      </c>
      <c r="G420" s="1">
        <v>1.0</v>
      </c>
      <c r="H420" s="1">
        <v>0.0</v>
      </c>
    </row>
    <row r="421">
      <c r="A421" s="1">
        <v>174.0</v>
      </c>
      <c r="B421" s="1" t="s">
        <v>601</v>
      </c>
      <c r="C421" s="1" t="s">
        <v>616</v>
      </c>
      <c r="D421" s="1">
        <v>-1.5</v>
      </c>
      <c r="E421" s="1">
        <v>1.0</v>
      </c>
      <c r="F421" s="1">
        <v>20.0</v>
      </c>
      <c r="G421" s="1">
        <v>1.0</v>
      </c>
      <c r="H421" s="1">
        <v>25000.0</v>
      </c>
    </row>
    <row r="422">
      <c r="A422" s="1">
        <v>174.0</v>
      </c>
      <c r="B422" s="1" t="s">
        <v>607</v>
      </c>
      <c r="C422" s="1" t="s">
        <v>616</v>
      </c>
      <c r="D422" s="1">
        <v>0.0</v>
      </c>
      <c r="E422" s="1">
        <v>0.5</v>
      </c>
      <c r="F422" s="1">
        <v>15.0</v>
      </c>
      <c r="G422" s="1">
        <v>1.0</v>
      </c>
      <c r="H422" s="1">
        <v>0.0</v>
      </c>
    </row>
    <row r="423">
      <c r="A423" s="1">
        <v>175.0</v>
      </c>
      <c r="B423" s="1" t="s">
        <v>17</v>
      </c>
      <c r="C423" s="1" t="s">
        <v>770</v>
      </c>
      <c r="D423" s="1" t="s">
        <v>17</v>
      </c>
      <c r="E423" s="1" t="s">
        <v>17</v>
      </c>
      <c r="F423" s="1" t="s">
        <v>17</v>
      </c>
      <c r="G423" s="1">
        <v>1.0</v>
      </c>
      <c r="H423" s="1">
        <v>75000.0</v>
      </c>
    </row>
    <row r="424">
      <c r="A424" s="1">
        <v>176.0</v>
      </c>
      <c r="B424" s="1" t="s">
        <v>17</v>
      </c>
      <c r="C424" s="1" t="s">
        <v>771</v>
      </c>
      <c r="D424" s="1" t="s">
        <v>17</v>
      </c>
      <c r="E424" s="1" t="s">
        <v>17</v>
      </c>
      <c r="F424" s="1" t="s">
        <v>17</v>
      </c>
      <c r="G424" s="1">
        <v>1.0</v>
      </c>
      <c r="H424" s="1">
        <v>94000.0</v>
      </c>
    </row>
    <row r="425">
      <c r="A425" s="1">
        <v>176.0</v>
      </c>
      <c r="B425" s="1" t="s">
        <v>601</v>
      </c>
      <c r="C425" s="1" t="s">
        <v>772</v>
      </c>
      <c r="D425" s="1">
        <v>3.0</v>
      </c>
      <c r="E425" s="1">
        <v>0.0</v>
      </c>
      <c r="F425" s="1" t="s">
        <v>17</v>
      </c>
      <c r="G425" s="1">
        <v>1.0</v>
      </c>
      <c r="H425" s="1">
        <v>500000.0</v>
      </c>
    </row>
    <row r="426">
      <c r="A426" s="1">
        <v>176.0</v>
      </c>
      <c r="B426" s="1" t="s">
        <v>607</v>
      </c>
      <c r="C426" s="1" t="s">
        <v>772</v>
      </c>
      <c r="D426" s="1">
        <v>3.0</v>
      </c>
      <c r="E426" s="1">
        <v>0.0</v>
      </c>
      <c r="F426" s="1" t="s">
        <v>17</v>
      </c>
      <c r="G426" s="1">
        <v>1.0</v>
      </c>
      <c r="H426" s="1">
        <v>0.0</v>
      </c>
    </row>
    <row r="427">
      <c r="A427" s="1">
        <v>176.0</v>
      </c>
      <c r="B427" s="1" t="s">
        <v>17</v>
      </c>
      <c r="C427" s="1" t="s">
        <v>773</v>
      </c>
      <c r="D427" s="1" t="s">
        <v>17</v>
      </c>
      <c r="E427" s="1" t="s">
        <v>17</v>
      </c>
      <c r="F427" s="1" t="s">
        <v>17</v>
      </c>
      <c r="G427" s="1">
        <v>1.0</v>
      </c>
      <c r="H427" s="1">
        <v>3000.0</v>
      </c>
    </row>
    <row r="428">
      <c r="A428" s="1">
        <v>177.0</v>
      </c>
      <c r="B428" s="1" t="s">
        <v>17</v>
      </c>
      <c r="C428" s="1" t="s">
        <v>774</v>
      </c>
      <c r="D428" s="1" t="s">
        <v>17</v>
      </c>
      <c r="E428" s="1" t="s">
        <v>17</v>
      </c>
      <c r="F428" s="1" t="s">
        <v>17</v>
      </c>
      <c r="G428" s="1">
        <v>1.0</v>
      </c>
      <c r="H428" s="1">
        <v>100000.0</v>
      </c>
    </row>
    <row r="429">
      <c r="A429" s="1">
        <v>178.0</v>
      </c>
      <c r="B429" s="1" t="s">
        <v>17</v>
      </c>
      <c r="C429" s="1" t="s">
        <v>775</v>
      </c>
      <c r="D429" s="1" t="s">
        <v>17</v>
      </c>
      <c r="E429" s="1" t="s">
        <v>17</v>
      </c>
      <c r="F429" s="1" t="s">
        <v>17</v>
      </c>
      <c r="G429" s="1">
        <v>1.0</v>
      </c>
      <c r="H429" s="1">
        <v>87200.0</v>
      </c>
    </row>
    <row r="430">
      <c r="A430" s="1">
        <v>179.0</v>
      </c>
      <c r="B430" s="1" t="s">
        <v>17</v>
      </c>
      <c r="C430" s="1" t="s">
        <v>722</v>
      </c>
      <c r="D430" s="1" t="s">
        <v>17</v>
      </c>
      <c r="E430" s="1" t="s">
        <v>17</v>
      </c>
      <c r="F430" s="1" t="s">
        <v>17</v>
      </c>
      <c r="G430" s="1">
        <v>1.0</v>
      </c>
      <c r="H430" s="1">
        <v>30000.0</v>
      </c>
    </row>
    <row r="431">
      <c r="A431" s="1">
        <v>179.0</v>
      </c>
      <c r="B431" s="1" t="s">
        <v>601</v>
      </c>
      <c r="C431" s="1" t="s">
        <v>616</v>
      </c>
      <c r="D431" s="1">
        <v>1.75</v>
      </c>
      <c r="E431" s="1">
        <v>-0.5</v>
      </c>
      <c r="F431" s="1">
        <v>90.0</v>
      </c>
      <c r="G431" s="1">
        <v>1.0</v>
      </c>
      <c r="H431" s="1">
        <v>27000.0</v>
      </c>
    </row>
    <row r="432">
      <c r="A432" s="1">
        <v>179.0</v>
      </c>
      <c r="B432" s="1" t="s">
        <v>607</v>
      </c>
      <c r="C432" s="1" t="s">
        <v>616</v>
      </c>
      <c r="D432" s="1">
        <v>1.75</v>
      </c>
      <c r="E432" s="1">
        <v>-0.5</v>
      </c>
      <c r="F432" s="1">
        <v>10.0</v>
      </c>
      <c r="G432" s="1">
        <v>1.0</v>
      </c>
      <c r="H432" s="1">
        <v>0.0</v>
      </c>
    </row>
    <row r="433">
      <c r="A433" s="1">
        <v>180.0</v>
      </c>
      <c r="B433" s="1" t="s">
        <v>601</v>
      </c>
      <c r="C433" s="1" t="s">
        <v>776</v>
      </c>
      <c r="D433" s="1">
        <v>1.0</v>
      </c>
      <c r="E433" s="1">
        <v>-0.25</v>
      </c>
      <c r="F433" s="1">
        <v>65.0</v>
      </c>
      <c r="G433" s="1">
        <v>1.0</v>
      </c>
      <c r="H433" s="1">
        <v>410000.0</v>
      </c>
    </row>
    <row r="434">
      <c r="A434" s="1">
        <v>180.0</v>
      </c>
      <c r="B434" s="1" t="s">
        <v>601</v>
      </c>
      <c r="C434" s="1" t="s">
        <v>776</v>
      </c>
      <c r="D434" s="1">
        <v>1.25</v>
      </c>
      <c r="E434" s="1">
        <v>-0.25</v>
      </c>
      <c r="F434" s="1">
        <v>90.0</v>
      </c>
      <c r="G434" s="1">
        <v>1.0</v>
      </c>
      <c r="H434" s="1">
        <v>0.0</v>
      </c>
    </row>
    <row r="435">
      <c r="A435" s="1">
        <v>180.0</v>
      </c>
      <c r="B435" s="1" t="s">
        <v>604</v>
      </c>
      <c r="C435" s="1" t="s">
        <v>777</v>
      </c>
      <c r="D435" s="1">
        <v>0.0</v>
      </c>
      <c r="E435" s="1">
        <v>0.0</v>
      </c>
      <c r="F435" s="1" t="s">
        <v>17</v>
      </c>
      <c r="G435" s="1">
        <v>1.0</v>
      </c>
      <c r="H435" s="1">
        <v>0.0</v>
      </c>
    </row>
    <row r="436">
      <c r="A436" s="1">
        <v>180.0</v>
      </c>
      <c r="B436" s="1" t="s">
        <v>604</v>
      </c>
      <c r="C436" s="1" t="s">
        <v>778</v>
      </c>
      <c r="D436" s="1" t="s">
        <v>17</v>
      </c>
      <c r="E436" s="1" t="s">
        <v>17</v>
      </c>
      <c r="F436" s="1" t="s">
        <v>17</v>
      </c>
      <c r="G436" s="1">
        <v>1.0</v>
      </c>
      <c r="H436" s="1">
        <v>0.0</v>
      </c>
    </row>
    <row r="437">
      <c r="A437" s="1">
        <v>180.0</v>
      </c>
      <c r="B437" s="1" t="s">
        <v>604</v>
      </c>
      <c r="C437" s="1" t="s">
        <v>736</v>
      </c>
      <c r="D437" s="1" t="s">
        <v>17</v>
      </c>
      <c r="E437" s="1" t="s">
        <v>17</v>
      </c>
      <c r="F437" s="1" t="s">
        <v>17</v>
      </c>
      <c r="G437" s="1">
        <v>1.0</v>
      </c>
      <c r="H437" s="1">
        <v>55000.0</v>
      </c>
    </row>
    <row r="438">
      <c r="A438" s="1">
        <v>180.0</v>
      </c>
      <c r="B438" s="1" t="s">
        <v>601</v>
      </c>
      <c r="C438" s="1" t="s">
        <v>776</v>
      </c>
      <c r="D438" s="1">
        <v>1.5</v>
      </c>
      <c r="E438" s="1">
        <v>0.25</v>
      </c>
      <c r="F438" s="1">
        <v>10.0</v>
      </c>
      <c r="G438" s="1">
        <v>1.0</v>
      </c>
      <c r="H438" s="1">
        <v>679300.0</v>
      </c>
    </row>
    <row r="439">
      <c r="A439" s="1">
        <v>180.0</v>
      </c>
      <c r="B439" s="1" t="s">
        <v>607</v>
      </c>
      <c r="C439" s="1" t="s">
        <v>776</v>
      </c>
      <c r="D439" s="1">
        <v>1.25</v>
      </c>
      <c r="E439" s="1">
        <v>0.0</v>
      </c>
      <c r="F439" s="1" t="s">
        <v>17</v>
      </c>
      <c r="G439" s="1">
        <v>1.0</v>
      </c>
      <c r="H439" s="1">
        <v>0.0</v>
      </c>
    </row>
    <row r="440">
      <c r="A440" s="1">
        <v>180.0</v>
      </c>
      <c r="B440" s="1" t="s">
        <v>604</v>
      </c>
      <c r="C440" s="1" t="s">
        <v>776</v>
      </c>
      <c r="D440" s="1">
        <v>0.0</v>
      </c>
      <c r="E440" s="1">
        <v>0.0</v>
      </c>
      <c r="F440" s="1" t="s">
        <v>17</v>
      </c>
      <c r="G440" s="1">
        <v>1.0</v>
      </c>
      <c r="H440" s="1">
        <v>0.0</v>
      </c>
    </row>
    <row r="441">
      <c r="A441" s="1">
        <v>180.0</v>
      </c>
      <c r="B441" s="1" t="s">
        <v>604</v>
      </c>
      <c r="C441" s="1" t="s">
        <v>779</v>
      </c>
      <c r="D441" s="1" t="s">
        <v>17</v>
      </c>
      <c r="E441" s="1" t="s">
        <v>17</v>
      </c>
      <c r="F441" s="1" t="s">
        <v>17</v>
      </c>
      <c r="G441" s="1">
        <v>1.0</v>
      </c>
      <c r="H441" s="1">
        <v>0.0</v>
      </c>
    </row>
    <row r="442">
      <c r="A442" s="1">
        <v>180.0</v>
      </c>
      <c r="B442" s="1" t="s">
        <v>604</v>
      </c>
      <c r="C442" s="1" t="s">
        <v>686</v>
      </c>
      <c r="D442" s="1" t="s">
        <v>17</v>
      </c>
      <c r="E442" s="1" t="s">
        <v>17</v>
      </c>
      <c r="F442" s="1" t="s">
        <v>17</v>
      </c>
      <c r="G442" s="1">
        <v>1.0</v>
      </c>
      <c r="H442" s="1">
        <v>0.0</v>
      </c>
    </row>
    <row r="443">
      <c r="A443" s="1">
        <v>181.0</v>
      </c>
      <c r="B443" s="1" t="s">
        <v>601</v>
      </c>
      <c r="C443" s="1" t="s">
        <v>702</v>
      </c>
      <c r="D443" s="1">
        <v>0.5</v>
      </c>
      <c r="E443" s="1">
        <v>-0.75</v>
      </c>
      <c r="F443" s="1">
        <v>170.0</v>
      </c>
      <c r="G443" s="1">
        <v>1.0</v>
      </c>
      <c r="H443" s="1">
        <v>390000.0</v>
      </c>
    </row>
    <row r="444">
      <c r="A444" s="1">
        <v>181.0</v>
      </c>
      <c r="B444" s="1" t="s">
        <v>607</v>
      </c>
      <c r="C444" s="1" t="s">
        <v>702</v>
      </c>
      <c r="D444" s="1">
        <v>0.5</v>
      </c>
      <c r="E444" s="1">
        <v>-1.5</v>
      </c>
      <c r="F444" s="1">
        <v>180.0</v>
      </c>
      <c r="G444" s="1">
        <v>1.0</v>
      </c>
      <c r="H444" s="1">
        <v>0.0</v>
      </c>
    </row>
    <row r="445">
      <c r="A445" s="1">
        <v>181.0</v>
      </c>
      <c r="B445" s="1" t="s">
        <v>604</v>
      </c>
      <c r="C445" s="1" t="s">
        <v>780</v>
      </c>
      <c r="D445" s="1" t="s">
        <v>17</v>
      </c>
      <c r="E445" s="1" t="s">
        <v>17</v>
      </c>
      <c r="F445" s="1" t="s">
        <v>17</v>
      </c>
      <c r="G445" s="1">
        <v>1.0</v>
      </c>
      <c r="H445" s="1">
        <v>90400.0</v>
      </c>
    </row>
    <row r="446">
      <c r="A446" s="1">
        <v>181.0</v>
      </c>
      <c r="B446" s="1" t="s">
        <v>604</v>
      </c>
      <c r="C446" s="1" t="s">
        <v>736</v>
      </c>
      <c r="D446" s="1" t="s">
        <v>17</v>
      </c>
      <c r="E446" s="1" t="s">
        <v>17</v>
      </c>
      <c r="F446" s="1" t="s">
        <v>17</v>
      </c>
      <c r="G446" s="1">
        <v>1.0</v>
      </c>
      <c r="H446" s="1">
        <v>0.0</v>
      </c>
    </row>
    <row r="447">
      <c r="A447" s="1">
        <v>182.0</v>
      </c>
      <c r="B447" s="1" t="s">
        <v>601</v>
      </c>
      <c r="C447" s="1" t="s">
        <v>611</v>
      </c>
      <c r="D447" s="1">
        <v>0.0</v>
      </c>
      <c r="E447" s="1">
        <v>-1.0</v>
      </c>
      <c r="F447" s="1">
        <v>90.0</v>
      </c>
      <c r="G447" s="1">
        <v>1.0</v>
      </c>
      <c r="H447" s="1">
        <v>44300.0</v>
      </c>
    </row>
    <row r="448">
      <c r="A448" s="1">
        <v>182.0</v>
      </c>
      <c r="B448" s="1" t="s">
        <v>607</v>
      </c>
      <c r="C448" s="1" t="s">
        <v>611</v>
      </c>
      <c r="D448" s="1">
        <v>0.0</v>
      </c>
      <c r="E448" s="1">
        <v>-0.5</v>
      </c>
      <c r="F448" s="1">
        <v>40.0</v>
      </c>
      <c r="G448" s="1">
        <v>1.0</v>
      </c>
      <c r="H448" s="1">
        <v>0.0</v>
      </c>
    </row>
    <row r="449">
      <c r="A449" s="1">
        <v>183.0</v>
      </c>
      <c r="B449" s="1" t="s">
        <v>601</v>
      </c>
      <c r="C449" s="1" t="s">
        <v>781</v>
      </c>
      <c r="D449" s="1">
        <v>-11.5</v>
      </c>
      <c r="E449" s="1" t="s">
        <v>17</v>
      </c>
      <c r="F449" s="1" t="s">
        <v>17</v>
      </c>
      <c r="G449" s="1">
        <v>1.0</v>
      </c>
      <c r="H449" s="1">
        <v>50000.0</v>
      </c>
    </row>
    <row r="450">
      <c r="A450" s="1">
        <v>183.0</v>
      </c>
      <c r="B450" s="1" t="s">
        <v>607</v>
      </c>
      <c r="C450" s="1" t="s">
        <v>781</v>
      </c>
      <c r="D450" s="1">
        <v>-11.5</v>
      </c>
      <c r="E450" s="1" t="s">
        <v>17</v>
      </c>
      <c r="F450" s="1" t="s">
        <v>17</v>
      </c>
      <c r="G450" s="1">
        <v>1.0</v>
      </c>
      <c r="H450" s="1">
        <v>45000.0</v>
      </c>
    </row>
    <row r="451">
      <c r="A451" s="1">
        <v>184.0</v>
      </c>
      <c r="B451" s="1" t="s">
        <v>604</v>
      </c>
      <c r="C451" s="1" t="s">
        <v>606</v>
      </c>
      <c r="D451" s="1">
        <v>2.25</v>
      </c>
      <c r="E451" s="1">
        <v>0.0</v>
      </c>
      <c r="F451" s="1" t="s">
        <v>17</v>
      </c>
      <c r="G451" s="1">
        <v>1.0</v>
      </c>
      <c r="H451" s="1">
        <v>30000.0</v>
      </c>
    </row>
    <row r="452">
      <c r="A452" s="1">
        <v>184.0</v>
      </c>
      <c r="B452" s="1" t="s">
        <v>17</v>
      </c>
      <c r="C452" s="1" t="s">
        <v>674</v>
      </c>
      <c r="D452" s="1" t="s">
        <v>17</v>
      </c>
      <c r="E452" s="1" t="s">
        <v>17</v>
      </c>
      <c r="F452" s="1" t="s">
        <v>17</v>
      </c>
      <c r="G452" s="1">
        <v>1.0</v>
      </c>
      <c r="H452" s="1">
        <v>0.0</v>
      </c>
    </row>
    <row r="453">
      <c r="A453" s="1">
        <v>185.0</v>
      </c>
      <c r="B453" s="1" t="s">
        <v>604</v>
      </c>
      <c r="C453" s="1" t="s">
        <v>782</v>
      </c>
      <c r="D453" s="1" t="s">
        <v>17</v>
      </c>
      <c r="E453" s="1" t="s">
        <v>17</v>
      </c>
      <c r="F453" s="1" t="s">
        <v>17</v>
      </c>
      <c r="G453" s="1">
        <v>1.0</v>
      </c>
      <c r="H453" s="1">
        <v>75000.0</v>
      </c>
    </row>
    <row r="454">
      <c r="A454" s="1">
        <v>186.0</v>
      </c>
      <c r="B454" s="1" t="s">
        <v>604</v>
      </c>
      <c r="C454" s="1" t="s">
        <v>783</v>
      </c>
      <c r="D454" s="1" t="s">
        <v>17</v>
      </c>
      <c r="E454" s="1" t="s">
        <v>17</v>
      </c>
      <c r="F454" s="1" t="s">
        <v>17</v>
      </c>
      <c r="G454" s="1">
        <v>1.0</v>
      </c>
      <c r="H454" s="1">
        <v>65400.0</v>
      </c>
    </row>
    <row r="455">
      <c r="A455" s="1">
        <v>186.0</v>
      </c>
      <c r="B455" s="1" t="s">
        <v>604</v>
      </c>
      <c r="C455" s="1" t="s">
        <v>784</v>
      </c>
      <c r="D455" s="1" t="s">
        <v>17</v>
      </c>
      <c r="E455" s="1" t="s">
        <v>17</v>
      </c>
      <c r="F455" s="1" t="s">
        <v>17</v>
      </c>
      <c r="G455" s="1">
        <v>1.0</v>
      </c>
      <c r="H455" s="1">
        <v>6000.0</v>
      </c>
    </row>
    <row r="456">
      <c r="A456" s="1">
        <v>187.0</v>
      </c>
      <c r="B456" s="1" t="s">
        <v>601</v>
      </c>
      <c r="C456" s="1" t="s">
        <v>785</v>
      </c>
      <c r="D456" s="1">
        <v>-4.5</v>
      </c>
      <c r="E456" s="1">
        <v>-2.25</v>
      </c>
      <c r="F456" s="1">
        <v>5.0</v>
      </c>
      <c r="G456" s="1">
        <v>1.0</v>
      </c>
      <c r="H456" s="1">
        <v>74000.0</v>
      </c>
    </row>
    <row r="457">
      <c r="A457" s="1">
        <v>187.0</v>
      </c>
      <c r="B457" s="1" t="s">
        <v>607</v>
      </c>
      <c r="C457" s="1" t="s">
        <v>785</v>
      </c>
      <c r="D457" s="1">
        <v>5.0</v>
      </c>
      <c r="E457" s="1">
        <v>-2.0</v>
      </c>
      <c r="F457" s="1">
        <v>180.0</v>
      </c>
      <c r="G457" s="1">
        <v>1.0</v>
      </c>
      <c r="H457" s="1">
        <v>0.0</v>
      </c>
    </row>
    <row r="458">
      <c r="A458" s="1">
        <v>187.0</v>
      </c>
      <c r="B458" s="1" t="s">
        <v>604</v>
      </c>
      <c r="C458" s="1" t="s">
        <v>786</v>
      </c>
      <c r="D458" s="1" t="s">
        <v>17</v>
      </c>
      <c r="E458" s="1" t="s">
        <v>17</v>
      </c>
      <c r="F458" s="1" t="s">
        <v>17</v>
      </c>
      <c r="G458" s="1">
        <v>1.0</v>
      </c>
      <c r="H458" s="1">
        <v>48000.0</v>
      </c>
    </row>
    <row r="459">
      <c r="A459" s="1">
        <v>188.0</v>
      </c>
      <c r="B459" s="1" t="s">
        <v>604</v>
      </c>
      <c r="C459" s="1" t="s">
        <v>734</v>
      </c>
      <c r="D459" s="1" t="s">
        <v>17</v>
      </c>
      <c r="E459" s="1" t="s">
        <v>17</v>
      </c>
      <c r="F459" s="1" t="s">
        <v>17</v>
      </c>
      <c r="G459" s="1">
        <v>1.0</v>
      </c>
      <c r="H459" s="1">
        <v>36000.0</v>
      </c>
    </row>
    <row r="460">
      <c r="A460" s="1">
        <v>188.0</v>
      </c>
      <c r="B460" s="1" t="s">
        <v>601</v>
      </c>
      <c r="C460" s="1" t="s">
        <v>616</v>
      </c>
      <c r="D460" s="1">
        <v>-1.5</v>
      </c>
      <c r="E460" s="1">
        <v>-1.5</v>
      </c>
      <c r="F460" s="1">
        <v>170.0</v>
      </c>
      <c r="G460" s="1">
        <v>1.0</v>
      </c>
      <c r="H460" s="1">
        <v>30000.0</v>
      </c>
    </row>
    <row r="461">
      <c r="A461" s="1">
        <v>188.0</v>
      </c>
      <c r="B461" s="1" t="s">
        <v>607</v>
      </c>
      <c r="C461" s="1" t="s">
        <v>616</v>
      </c>
      <c r="D461" s="1">
        <v>-0.5</v>
      </c>
      <c r="E461" s="1">
        <v>-2.75</v>
      </c>
      <c r="F461" s="1">
        <v>173.0</v>
      </c>
      <c r="G461" s="1">
        <v>1.0</v>
      </c>
      <c r="H461" s="1">
        <v>0.0</v>
      </c>
    </row>
    <row r="462">
      <c r="A462" s="1">
        <v>189.0</v>
      </c>
      <c r="B462" s="1" t="s">
        <v>601</v>
      </c>
      <c r="C462" s="1" t="s">
        <v>787</v>
      </c>
      <c r="D462" s="1">
        <v>-3.0</v>
      </c>
      <c r="E462" s="1">
        <v>-1.0</v>
      </c>
      <c r="F462" s="1">
        <v>80.0</v>
      </c>
      <c r="G462" s="1">
        <v>1.0</v>
      </c>
      <c r="H462" s="1">
        <v>70000.0</v>
      </c>
    </row>
    <row r="463">
      <c r="A463" s="1">
        <v>189.0</v>
      </c>
      <c r="B463" s="1" t="s">
        <v>607</v>
      </c>
      <c r="C463" s="1" t="s">
        <v>787</v>
      </c>
      <c r="D463" s="1">
        <v>-3.5</v>
      </c>
      <c r="E463" s="1">
        <v>-0.75</v>
      </c>
      <c r="F463" s="1">
        <v>70.0</v>
      </c>
      <c r="G463" s="1">
        <v>1.0</v>
      </c>
      <c r="H463" s="1">
        <v>0.0</v>
      </c>
    </row>
    <row r="464">
      <c r="A464" s="1">
        <v>189.0</v>
      </c>
      <c r="B464" s="1" t="s">
        <v>604</v>
      </c>
      <c r="C464" s="1" t="s">
        <v>761</v>
      </c>
      <c r="D464" s="1" t="s">
        <v>17</v>
      </c>
      <c r="E464" s="1" t="s">
        <v>17</v>
      </c>
      <c r="F464" s="1" t="s">
        <v>17</v>
      </c>
      <c r="G464" s="1">
        <v>1.0</v>
      </c>
      <c r="H464" s="1">
        <v>40000.0</v>
      </c>
    </row>
    <row r="465">
      <c r="A465" s="1">
        <v>190.0</v>
      </c>
      <c r="B465" s="1" t="s">
        <v>604</v>
      </c>
      <c r="C465" s="1" t="s">
        <v>788</v>
      </c>
      <c r="D465" s="1" t="s">
        <v>17</v>
      </c>
      <c r="E465" s="1" t="s">
        <v>17</v>
      </c>
      <c r="F465" s="1" t="s">
        <v>17</v>
      </c>
      <c r="G465" s="1">
        <v>1.0</v>
      </c>
      <c r="H465" s="1">
        <v>132000.0</v>
      </c>
    </row>
    <row r="466">
      <c r="A466" s="1">
        <v>190.0</v>
      </c>
      <c r="B466" s="1" t="s">
        <v>601</v>
      </c>
      <c r="C466" s="1" t="s">
        <v>616</v>
      </c>
      <c r="D466" s="1">
        <v>0.25</v>
      </c>
      <c r="E466" s="1">
        <v>-2.0</v>
      </c>
      <c r="F466" s="1">
        <v>10.0</v>
      </c>
      <c r="G466" s="1">
        <v>1.0</v>
      </c>
      <c r="H466" s="1">
        <v>36120.0</v>
      </c>
    </row>
    <row r="467">
      <c r="A467" s="1">
        <v>190.0</v>
      </c>
      <c r="B467" s="1" t="s">
        <v>607</v>
      </c>
      <c r="C467" s="1" t="s">
        <v>616</v>
      </c>
      <c r="D467" s="1">
        <v>0.25</v>
      </c>
      <c r="E467" s="1">
        <v>-2.0</v>
      </c>
      <c r="F467" s="1">
        <v>175.0</v>
      </c>
      <c r="G467" s="1">
        <v>1.0</v>
      </c>
      <c r="H467" s="1">
        <v>0.0</v>
      </c>
    </row>
    <row r="468">
      <c r="A468" s="1">
        <v>191.0</v>
      </c>
      <c r="B468" s="1" t="s">
        <v>601</v>
      </c>
      <c r="C468" s="1" t="s">
        <v>787</v>
      </c>
      <c r="D468" s="1">
        <v>-3.0</v>
      </c>
      <c r="E468" s="1">
        <v>-1.0</v>
      </c>
      <c r="F468" s="1">
        <v>80.0</v>
      </c>
      <c r="G468" s="1">
        <v>1.0</v>
      </c>
      <c r="H468" s="1">
        <v>70000.0</v>
      </c>
    </row>
    <row r="469">
      <c r="A469" s="1">
        <v>191.0</v>
      </c>
      <c r="B469" s="1" t="s">
        <v>607</v>
      </c>
      <c r="C469" s="1" t="s">
        <v>787</v>
      </c>
      <c r="D469" s="1">
        <v>-3.5</v>
      </c>
      <c r="E469" s="1">
        <v>-0.75</v>
      </c>
      <c r="F469" s="1">
        <v>70.0</v>
      </c>
      <c r="G469" s="1">
        <v>1.0</v>
      </c>
      <c r="H469" s="1">
        <v>0.0</v>
      </c>
    </row>
    <row r="470">
      <c r="A470" s="1">
        <v>191.0</v>
      </c>
      <c r="B470" s="1" t="s">
        <v>604</v>
      </c>
      <c r="C470" s="1" t="s">
        <v>761</v>
      </c>
      <c r="D470" s="1" t="s">
        <v>17</v>
      </c>
      <c r="E470" s="1" t="s">
        <v>17</v>
      </c>
      <c r="F470" s="1" t="s">
        <v>17</v>
      </c>
      <c r="G470" s="1">
        <v>1.0</v>
      </c>
      <c r="H470" s="1">
        <v>40000.0</v>
      </c>
    </row>
    <row r="471">
      <c r="A471" s="1">
        <v>192.0</v>
      </c>
      <c r="B471" s="1" t="s">
        <v>601</v>
      </c>
      <c r="C471" s="1" t="s">
        <v>664</v>
      </c>
      <c r="D471" s="1">
        <v>3.5</v>
      </c>
      <c r="E471" s="1">
        <v>0.5</v>
      </c>
      <c r="F471" s="1">
        <v>105.0</v>
      </c>
      <c r="G471" s="1">
        <v>1.0</v>
      </c>
      <c r="H471" s="1">
        <v>161849.0</v>
      </c>
    </row>
    <row r="472">
      <c r="A472" s="1">
        <v>192.0</v>
      </c>
      <c r="B472" s="1" t="s">
        <v>607</v>
      </c>
      <c r="C472" s="1" t="s">
        <v>664</v>
      </c>
      <c r="D472" s="1">
        <v>4.25</v>
      </c>
      <c r="E472" s="1">
        <v>0.5</v>
      </c>
      <c r="F472" s="1">
        <v>110.0</v>
      </c>
      <c r="G472" s="1">
        <v>1.0</v>
      </c>
      <c r="H472" s="1">
        <v>0.0</v>
      </c>
    </row>
    <row r="473">
      <c r="A473" s="1">
        <v>193.0</v>
      </c>
      <c r="B473" s="1" t="s">
        <v>601</v>
      </c>
      <c r="C473" s="1" t="s">
        <v>687</v>
      </c>
      <c r="D473" s="1">
        <v>-4.0</v>
      </c>
      <c r="E473" s="1">
        <v>-4.0</v>
      </c>
      <c r="F473" s="1">
        <v>30.0</v>
      </c>
      <c r="G473" s="1">
        <v>1.0</v>
      </c>
      <c r="H473" s="1">
        <v>173000.0</v>
      </c>
    </row>
    <row r="474">
      <c r="A474" s="1">
        <v>193.0</v>
      </c>
      <c r="B474" s="1" t="s">
        <v>607</v>
      </c>
      <c r="C474" s="1" t="s">
        <v>687</v>
      </c>
      <c r="D474" s="1">
        <v>-3.5</v>
      </c>
      <c r="E474" s="1">
        <v>-4.75</v>
      </c>
      <c r="F474" s="1">
        <v>120.0</v>
      </c>
      <c r="G474" s="1">
        <v>1.0</v>
      </c>
      <c r="H474" s="1">
        <v>0.0</v>
      </c>
    </row>
    <row r="475">
      <c r="A475" s="1">
        <v>193.0</v>
      </c>
      <c r="B475" s="1" t="s">
        <v>604</v>
      </c>
      <c r="C475" s="1" t="s">
        <v>789</v>
      </c>
      <c r="D475" s="1" t="s">
        <v>17</v>
      </c>
      <c r="E475" s="1" t="s">
        <v>17</v>
      </c>
      <c r="F475" s="1" t="s">
        <v>17</v>
      </c>
      <c r="G475" s="1">
        <v>1.0</v>
      </c>
      <c r="H475" s="1">
        <v>198200.0</v>
      </c>
    </row>
    <row r="476">
      <c r="A476" s="1">
        <v>193.0</v>
      </c>
      <c r="B476" s="1" t="s">
        <v>604</v>
      </c>
      <c r="C476" s="1" t="s">
        <v>620</v>
      </c>
      <c r="D476" s="1" t="s">
        <v>17</v>
      </c>
      <c r="E476" s="1" t="s">
        <v>17</v>
      </c>
      <c r="F476" s="1" t="s">
        <v>17</v>
      </c>
      <c r="G476" s="1">
        <v>1.0</v>
      </c>
      <c r="H476" s="1">
        <v>32000.0</v>
      </c>
    </row>
    <row r="477">
      <c r="A477" s="1">
        <v>194.0</v>
      </c>
      <c r="B477" s="1" t="s">
        <v>601</v>
      </c>
      <c r="C477" s="1" t="s">
        <v>611</v>
      </c>
      <c r="D477" s="1">
        <v>-1.5</v>
      </c>
      <c r="E477" s="1">
        <v>-0.25</v>
      </c>
      <c r="F477" s="1">
        <v>20.0</v>
      </c>
      <c r="G477" s="1">
        <v>1.0</v>
      </c>
      <c r="H477" s="1">
        <v>55400.0</v>
      </c>
    </row>
    <row r="478">
      <c r="A478" s="1">
        <v>194.0</v>
      </c>
      <c r="B478" s="1" t="s">
        <v>607</v>
      </c>
      <c r="C478" s="1" t="s">
        <v>611</v>
      </c>
      <c r="D478" s="1">
        <v>-1.25</v>
      </c>
      <c r="E478" s="1">
        <v>-0.5</v>
      </c>
      <c r="F478" s="1">
        <v>170.0</v>
      </c>
      <c r="G478" s="1">
        <v>1.0</v>
      </c>
      <c r="H478" s="1">
        <v>0.0</v>
      </c>
    </row>
    <row r="479">
      <c r="A479" s="1">
        <v>194.0</v>
      </c>
      <c r="B479" s="1" t="s">
        <v>604</v>
      </c>
      <c r="C479" s="1" t="s">
        <v>790</v>
      </c>
      <c r="D479" s="1" t="s">
        <v>17</v>
      </c>
      <c r="E479" s="1" t="s">
        <v>17</v>
      </c>
      <c r="F479" s="1" t="s">
        <v>17</v>
      </c>
      <c r="G479" s="1">
        <v>1.0</v>
      </c>
      <c r="H479" s="1">
        <v>55000.0</v>
      </c>
    </row>
    <row r="480">
      <c r="A480" s="1">
        <v>195.0</v>
      </c>
      <c r="B480" s="1" t="s">
        <v>17</v>
      </c>
      <c r="C480" s="1" t="s">
        <v>791</v>
      </c>
      <c r="D480" s="1" t="s">
        <v>17</v>
      </c>
      <c r="E480" s="1" t="s">
        <v>17</v>
      </c>
      <c r="F480" s="1" t="s">
        <v>17</v>
      </c>
      <c r="G480" s="1">
        <v>1.0</v>
      </c>
      <c r="H480" s="1">
        <v>3600.0</v>
      </c>
    </row>
    <row r="481">
      <c r="A481" s="1">
        <v>195.0</v>
      </c>
      <c r="B481" s="1" t="s">
        <v>17</v>
      </c>
      <c r="C481" s="1" t="s">
        <v>792</v>
      </c>
      <c r="D481" s="1" t="s">
        <v>17</v>
      </c>
      <c r="E481" s="1" t="s">
        <v>17</v>
      </c>
      <c r="F481" s="1" t="s">
        <v>17</v>
      </c>
      <c r="G481" s="1">
        <v>1.0</v>
      </c>
      <c r="H481" s="1">
        <v>5800.0</v>
      </c>
    </row>
    <row r="482">
      <c r="A482" s="1">
        <v>196.0</v>
      </c>
      <c r="B482" s="1" t="s">
        <v>17</v>
      </c>
      <c r="C482" s="1" t="s">
        <v>773</v>
      </c>
      <c r="D482" s="1" t="s">
        <v>17</v>
      </c>
      <c r="E482" s="1" t="s">
        <v>17</v>
      </c>
      <c r="F482" s="1" t="s">
        <v>17</v>
      </c>
      <c r="G482" s="1">
        <v>1.0</v>
      </c>
      <c r="H482" s="1">
        <v>3000.0</v>
      </c>
    </row>
    <row r="483">
      <c r="A483" s="1">
        <v>196.0</v>
      </c>
      <c r="B483" s="1" t="s">
        <v>17</v>
      </c>
      <c r="C483" s="1" t="s">
        <v>686</v>
      </c>
      <c r="D483" s="1" t="s">
        <v>17</v>
      </c>
      <c r="E483" s="1" t="s">
        <v>17</v>
      </c>
      <c r="F483" s="1" t="s">
        <v>17</v>
      </c>
      <c r="G483" s="1">
        <v>1.0</v>
      </c>
      <c r="H483" s="1">
        <v>8000.0</v>
      </c>
    </row>
    <row r="484">
      <c r="A484" s="1">
        <v>197.0</v>
      </c>
      <c r="B484" s="1" t="s">
        <v>601</v>
      </c>
      <c r="C484" s="1" t="s">
        <v>616</v>
      </c>
      <c r="D484" s="1">
        <v>1.75</v>
      </c>
      <c r="E484" s="1">
        <v>1.5</v>
      </c>
      <c r="F484" s="1">
        <v>5.0</v>
      </c>
      <c r="G484" s="1">
        <v>1.0</v>
      </c>
      <c r="H484" s="1">
        <v>30000.0</v>
      </c>
    </row>
    <row r="485">
      <c r="A485" s="1">
        <v>197.0</v>
      </c>
      <c r="B485" s="1" t="s">
        <v>607</v>
      </c>
      <c r="C485" s="1" t="s">
        <v>616</v>
      </c>
      <c r="D485" s="1">
        <v>2.0</v>
      </c>
      <c r="E485" s="1">
        <v>0.0</v>
      </c>
      <c r="F485" s="1" t="s">
        <v>17</v>
      </c>
      <c r="G485" s="1">
        <v>1.0</v>
      </c>
      <c r="H485" s="1">
        <v>0.0</v>
      </c>
    </row>
    <row r="486">
      <c r="A486" s="1">
        <v>197.0</v>
      </c>
      <c r="B486" s="1" t="s">
        <v>604</v>
      </c>
      <c r="C486" s="1" t="s">
        <v>793</v>
      </c>
      <c r="D486" s="1" t="s">
        <v>17</v>
      </c>
      <c r="E486" s="1" t="s">
        <v>17</v>
      </c>
      <c r="F486" s="1" t="s">
        <v>17</v>
      </c>
      <c r="G486" s="1">
        <v>1.0</v>
      </c>
      <c r="H486" s="1">
        <v>60000.0</v>
      </c>
    </row>
    <row r="487">
      <c r="A487" s="1">
        <v>198.0</v>
      </c>
      <c r="B487" s="1" t="s">
        <v>601</v>
      </c>
      <c r="C487" s="1" t="s">
        <v>616</v>
      </c>
      <c r="D487" s="1">
        <v>-2.0</v>
      </c>
      <c r="E487" s="1">
        <v>0.0</v>
      </c>
      <c r="F487" s="1" t="s">
        <v>17</v>
      </c>
      <c r="G487" s="1">
        <v>1.0</v>
      </c>
      <c r="H487" s="1">
        <v>30000.0</v>
      </c>
    </row>
    <row r="488">
      <c r="A488" s="1">
        <v>198.0</v>
      </c>
      <c r="B488" s="1" t="s">
        <v>607</v>
      </c>
      <c r="C488" s="1" t="s">
        <v>616</v>
      </c>
      <c r="D488" s="1">
        <v>-2.0</v>
      </c>
      <c r="E488" s="1">
        <v>0.0</v>
      </c>
      <c r="F488" s="1" t="s">
        <v>17</v>
      </c>
      <c r="G488" s="1">
        <v>1.0</v>
      </c>
      <c r="H488" s="1">
        <v>0.0</v>
      </c>
    </row>
    <row r="489">
      <c r="A489" s="1">
        <v>199.0</v>
      </c>
      <c r="B489" s="1" t="s">
        <v>601</v>
      </c>
      <c r="C489" s="1" t="s">
        <v>794</v>
      </c>
      <c r="D489" s="1">
        <v>0.5</v>
      </c>
      <c r="E489" s="1">
        <v>-1.0</v>
      </c>
      <c r="F489" s="1">
        <v>2.0</v>
      </c>
      <c r="G489" s="1">
        <v>1.0</v>
      </c>
      <c r="H489" s="1">
        <v>67200.0</v>
      </c>
    </row>
    <row r="490">
      <c r="A490" s="1">
        <v>199.0</v>
      </c>
      <c r="B490" s="1" t="s">
        <v>607</v>
      </c>
      <c r="C490" s="1" t="s">
        <v>794</v>
      </c>
      <c r="D490" s="1">
        <v>0.0</v>
      </c>
      <c r="E490" s="1">
        <v>-1.0</v>
      </c>
      <c r="F490" s="1">
        <v>3.0</v>
      </c>
      <c r="G490" s="1">
        <v>1.0</v>
      </c>
      <c r="H490" s="1">
        <v>0.0</v>
      </c>
    </row>
    <row r="491">
      <c r="A491" s="1">
        <v>199.0</v>
      </c>
      <c r="B491" s="1" t="s">
        <v>604</v>
      </c>
      <c r="C491" s="1" t="s">
        <v>795</v>
      </c>
      <c r="D491" s="1" t="s">
        <v>17</v>
      </c>
      <c r="E491" s="1" t="s">
        <v>17</v>
      </c>
      <c r="F491" s="1" t="s">
        <v>17</v>
      </c>
      <c r="G491" s="1">
        <v>1.0</v>
      </c>
      <c r="H491" s="1">
        <v>84000.0</v>
      </c>
    </row>
    <row r="492">
      <c r="A492" s="1">
        <v>200.0</v>
      </c>
      <c r="B492" s="1" t="s">
        <v>601</v>
      </c>
      <c r="C492" s="1" t="s">
        <v>616</v>
      </c>
      <c r="D492" s="1">
        <v>0.5</v>
      </c>
      <c r="E492" s="1">
        <v>-1.0</v>
      </c>
      <c r="F492" s="1">
        <v>80.0</v>
      </c>
      <c r="G492" s="1">
        <v>1.0</v>
      </c>
      <c r="H492" s="1">
        <v>30000.0</v>
      </c>
    </row>
    <row r="493">
      <c r="A493" s="1">
        <v>200.0</v>
      </c>
      <c r="B493" s="1" t="s">
        <v>601</v>
      </c>
      <c r="C493" s="1" t="s">
        <v>616</v>
      </c>
      <c r="D493" s="1">
        <v>0.0</v>
      </c>
      <c r="E493" s="1">
        <v>-0.5</v>
      </c>
      <c r="F493" s="1">
        <v>70.0</v>
      </c>
      <c r="G493" s="1">
        <v>1.0</v>
      </c>
      <c r="H493" s="1">
        <v>0.0</v>
      </c>
    </row>
    <row r="494">
      <c r="A494" s="1">
        <v>201.0</v>
      </c>
      <c r="B494" s="1" t="s">
        <v>17</v>
      </c>
      <c r="C494" s="1" t="s">
        <v>795</v>
      </c>
      <c r="D494" s="1" t="s">
        <v>17</v>
      </c>
      <c r="E494" s="1" t="s">
        <v>17</v>
      </c>
      <c r="F494" s="1" t="s">
        <v>17</v>
      </c>
      <c r="G494" s="1">
        <v>1.0</v>
      </c>
      <c r="H494" s="1">
        <v>0.0</v>
      </c>
    </row>
    <row r="495">
      <c r="A495" s="1">
        <v>202.0</v>
      </c>
      <c r="B495" s="1" t="s">
        <v>601</v>
      </c>
      <c r="C495" s="1" t="s">
        <v>702</v>
      </c>
      <c r="D495" s="1">
        <v>1.5</v>
      </c>
      <c r="E495" s="1">
        <v>0.5</v>
      </c>
      <c r="F495" s="1">
        <v>75.0</v>
      </c>
      <c r="G495" s="1">
        <v>1.0</v>
      </c>
      <c r="H495" s="1">
        <v>384400.0</v>
      </c>
    </row>
    <row r="496">
      <c r="A496" s="1">
        <v>202.0</v>
      </c>
      <c r="B496" s="1" t="s">
        <v>607</v>
      </c>
      <c r="C496" s="1" t="s">
        <v>702</v>
      </c>
      <c r="D496" s="1">
        <v>1.0</v>
      </c>
      <c r="E496" s="1">
        <v>0.75</v>
      </c>
      <c r="F496" s="1">
        <v>130.0</v>
      </c>
      <c r="G496" s="1">
        <v>1.0</v>
      </c>
      <c r="H496" s="1">
        <v>0.0</v>
      </c>
    </row>
    <row r="497">
      <c r="A497" s="1">
        <v>202.0</v>
      </c>
      <c r="B497" s="1" t="s">
        <v>604</v>
      </c>
      <c r="C497" s="1" t="s">
        <v>796</v>
      </c>
      <c r="D497" s="1" t="s">
        <v>17</v>
      </c>
      <c r="E497" s="1" t="s">
        <v>17</v>
      </c>
      <c r="F497" s="1" t="s">
        <v>17</v>
      </c>
      <c r="G497" s="1">
        <v>1.0</v>
      </c>
      <c r="H497" s="1">
        <v>86400.0</v>
      </c>
    </row>
    <row r="498">
      <c r="A498" s="1">
        <v>202.0</v>
      </c>
      <c r="B498" s="1" t="s">
        <v>604</v>
      </c>
      <c r="C498" s="1" t="s">
        <v>790</v>
      </c>
      <c r="D498" s="1" t="s">
        <v>17</v>
      </c>
      <c r="E498" s="1" t="s">
        <v>17</v>
      </c>
      <c r="F498" s="1" t="s">
        <v>17</v>
      </c>
      <c r="G498" s="1">
        <v>1.0</v>
      </c>
      <c r="H498" s="1">
        <v>0.0</v>
      </c>
    </row>
    <row r="499">
      <c r="A499" s="1">
        <v>203.0</v>
      </c>
      <c r="B499" s="1" t="s">
        <v>17</v>
      </c>
      <c r="C499" s="1" t="s">
        <v>797</v>
      </c>
      <c r="D499" s="1" t="s">
        <v>17</v>
      </c>
      <c r="E499" s="1" t="s">
        <v>17</v>
      </c>
      <c r="F499" s="1" t="s">
        <v>17</v>
      </c>
      <c r="G499" s="1">
        <v>1.0</v>
      </c>
      <c r="H499" s="1">
        <v>91500.0</v>
      </c>
    </row>
    <row r="500">
      <c r="A500" s="1">
        <v>203.0</v>
      </c>
      <c r="B500" s="1" t="s">
        <v>601</v>
      </c>
      <c r="C500" s="1" t="s">
        <v>616</v>
      </c>
      <c r="D500" s="1">
        <v>0.0</v>
      </c>
      <c r="E500" s="1">
        <v>-0.75</v>
      </c>
      <c r="F500" s="1">
        <v>90.0</v>
      </c>
      <c r="G500" s="1">
        <v>1.0</v>
      </c>
      <c r="H500" s="1">
        <v>36000.0</v>
      </c>
    </row>
    <row r="501">
      <c r="A501" s="1">
        <v>203.0</v>
      </c>
      <c r="B501" s="1" t="s">
        <v>607</v>
      </c>
      <c r="C501" s="1" t="s">
        <v>616</v>
      </c>
      <c r="D501" s="1">
        <v>0.0</v>
      </c>
      <c r="E501" s="1">
        <v>-0.5</v>
      </c>
      <c r="F501" s="1">
        <v>65.0</v>
      </c>
      <c r="G501" s="1">
        <v>1.0</v>
      </c>
      <c r="H501" s="1">
        <v>0.0</v>
      </c>
    </row>
    <row r="502">
      <c r="A502" s="1">
        <v>204.0</v>
      </c>
      <c r="B502" s="1" t="s">
        <v>604</v>
      </c>
      <c r="C502" s="1" t="s">
        <v>798</v>
      </c>
      <c r="D502" s="1" t="s">
        <v>17</v>
      </c>
      <c r="E502" s="1" t="s">
        <v>17</v>
      </c>
      <c r="F502" s="1" t="s">
        <v>17</v>
      </c>
      <c r="G502" s="1">
        <v>1.0</v>
      </c>
      <c r="H502" s="1">
        <v>79000.0</v>
      </c>
    </row>
    <row r="503">
      <c r="A503" s="1">
        <v>205.0</v>
      </c>
      <c r="B503" s="1" t="s">
        <v>17</v>
      </c>
      <c r="C503" s="1" t="s">
        <v>797</v>
      </c>
      <c r="D503" s="1" t="s">
        <v>17</v>
      </c>
      <c r="E503" s="1" t="s">
        <v>17</v>
      </c>
      <c r="F503" s="1" t="s">
        <v>17</v>
      </c>
      <c r="G503" s="1">
        <v>1.0</v>
      </c>
      <c r="H503" s="1">
        <v>0.0</v>
      </c>
    </row>
    <row r="504">
      <c r="A504" s="1">
        <v>206.0</v>
      </c>
      <c r="B504" s="1" t="s">
        <v>604</v>
      </c>
      <c r="C504" s="1" t="s">
        <v>736</v>
      </c>
      <c r="D504" s="1" t="s">
        <v>17</v>
      </c>
      <c r="E504" s="1" t="s">
        <v>17</v>
      </c>
      <c r="F504" s="1" t="s">
        <v>17</v>
      </c>
      <c r="G504" s="1">
        <v>1.0</v>
      </c>
      <c r="H504" s="1">
        <v>65000.0</v>
      </c>
    </row>
    <row r="505">
      <c r="A505" s="1">
        <v>206.0</v>
      </c>
      <c r="B505" s="1" t="s">
        <v>601</v>
      </c>
      <c r="C505" s="1" t="s">
        <v>611</v>
      </c>
      <c r="D505" s="1">
        <v>0.0</v>
      </c>
      <c r="E505" s="1">
        <v>0.5</v>
      </c>
      <c r="F505" s="1">
        <v>160.0</v>
      </c>
      <c r="G505" s="1">
        <v>1.0</v>
      </c>
      <c r="H505" s="1">
        <v>60000.0</v>
      </c>
    </row>
    <row r="506">
      <c r="A506" s="1">
        <v>206.0</v>
      </c>
      <c r="B506" s="1" t="s">
        <v>607</v>
      </c>
      <c r="C506" s="1" t="s">
        <v>611</v>
      </c>
      <c r="D506" s="1">
        <v>0.0</v>
      </c>
      <c r="E506" s="1">
        <v>0.5</v>
      </c>
      <c r="F506" s="1">
        <v>50.0</v>
      </c>
      <c r="G506" s="1">
        <v>1.0</v>
      </c>
      <c r="H506" s="1">
        <v>0.0</v>
      </c>
    </row>
    <row r="507">
      <c r="A507" s="1">
        <v>207.0</v>
      </c>
      <c r="B507" s="1" t="s">
        <v>601</v>
      </c>
      <c r="C507" s="1" t="s">
        <v>799</v>
      </c>
      <c r="D507" s="1">
        <v>0.5</v>
      </c>
      <c r="E507" s="1">
        <v>0.0</v>
      </c>
      <c r="F507" s="1" t="s">
        <v>17</v>
      </c>
      <c r="G507" s="1">
        <v>1.0</v>
      </c>
      <c r="H507" s="1">
        <v>280000.0</v>
      </c>
    </row>
    <row r="508">
      <c r="A508" s="1">
        <v>207.0</v>
      </c>
      <c r="B508" s="1" t="s">
        <v>607</v>
      </c>
      <c r="C508" s="1" t="s">
        <v>799</v>
      </c>
      <c r="D508" s="1">
        <v>0.75</v>
      </c>
      <c r="E508" s="1">
        <v>0.0</v>
      </c>
      <c r="F508" s="1" t="s">
        <v>17</v>
      </c>
      <c r="G508" s="1">
        <v>1.0</v>
      </c>
      <c r="H508" s="1">
        <v>0.0</v>
      </c>
    </row>
    <row r="509">
      <c r="A509" s="1">
        <v>208.0</v>
      </c>
      <c r="B509" s="1" t="s">
        <v>604</v>
      </c>
      <c r="C509" s="1" t="s">
        <v>800</v>
      </c>
      <c r="D509" s="1" t="s">
        <v>17</v>
      </c>
      <c r="E509" s="1" t="s">
        <v>17</v>
      </c>
      <c r="F509" s="1" t="s">
        <v>17</v>
      </c>
      <c r="G509" s="1">
        <v>1.0</v>
      </c>
      <c r="H509" s="1">
        <v>0.0</v>
      </c>
    </row>
    <row r="510">
      <c r="A510" s="1">
        <v>208.0</v>
      </c>
      <c r="B510" s="1" t="s">
        <v>604</v>
      </c>
      <c r="C510" s="1" t="s">
        <v>761</v>
      </c>
      <c r="D510" s="1" t="s">
        <v>17</v>
      </c>
      <c r="E510" s="1" t="s">
        <v>17</v>
      </c>
      <c r="F510" s="1" t="s">
        <v>17</v>
      </c>
      <c r="G510" s="1">
        <v>1.0</v>
      </c>
      <c r="H510" s="1">
        <v>0.0</v>
      </c>
    </row>
    <row r="511">
      <c r="A511" s="1">
        <v>208.0</v>
      </c>
      <c r="B511" s="1" t="s">
        <v>601</v>
      </c>
      <c r="C511" s="1" t="s">
        <v>616</v>
      </c>
      <c r="D511" s="1">
        <v>2.5</v>
      </c>
      <c r="E511" s="1">
        <v>1.0</v>
      </c>
      <c r="F511" s="1">
        <v>15.0</v>
      </c>
      <c r="G511" s="1">
        <v>1.0</v>
      </c>
      <c r="H511" s="1">
        <v>0.0</v>
      </c>
    </row>
    <row r="512">
      <c r="A512" s="1">
        <v>208.0</v>
      </c>
      <c r="B512" s="1" t="s">
        <v>607</v>
      </c>
      <c r="C512" s="1" t="s">
        <v>616</v>
      </c>
      <c r="D512" s="1">
        <v>2.5</v>
      </c>
      <c r="E512" s="1">
        <v>0.75</v>
      </c>
      <c r="F512" s="1">
        <v>174.0</v>
      </c>
      <c r="G512" s="1">
        <v>1.0</v>
      </c>
      <c r="H512" s="1">
        <v>0.0</v>
      </c>
    </row>
    <row r="513">
      <c r="A513" s="1">
        <v>208.0</v>
      </c>
      <c r="B513" s="1" t="s">
        <v>601</v>
      </c>
      <c r="C513" s="1" t="s">
        <v>668</v>
      </c>
      <c r="D513" s="1">
        <v>4.75</v>
      </c>
      <c r="E513" s="1">
        <v>1.0</v>
      </c>
      <c r="F513" s="1">
        <v>15.0</v>
      </c>
      <c r="G513" s="1">
        <v>1.0</v>
      </c>
      <c r="H513" s="1">
        <v>0.0</v>
      </c>
    </row>
    <row r="514">
      <c r="A514" s="1">
        <v>208.0</v>
      </c>
      <c r="B514" s="1" t="s">
        <v>607</v>
      </c>
      <c r="C514" s="1" t="s">
        <v>668</v>
      </c>
      <c r="D514" s="1">
        <v>4.75</v>
      </c>
      <c r="E514" s="1">
        <v>0.75</v>
      </c>
      <c r="F514" s="1">
        <v>174.0</v>
      </c>
      <c r="G514" s="1">
        <v>1.0</v>
      </c>
      <c r="H514" s="1">
        <v>159600.0</v>
      </c>
    </row>
    <row r="515">
      <c r="A515" s="1">
        <v>209.0</v>
      </c>
      <c r="B515" s="1" t="s">
        <v>601</v>
      </c>
      <c r="C515" s="1" t="s">
        <v>616</v>
      </c>
      <c r="D515" s="1">
        <v>0.0</v>
      </c>
      <c r="E515" s="1">
        <v>-0.25</v>
      </c>
      <c r="F515" s="1">
        <v>54.0</v>
      </c>
      <c r="G515" s="1">
        <v>1.0</v>
      </c>
      <c r="H515" s="1">
        <v>0.0</v>
      </c>
    </row>
    <row r="516">
      <c r="A516" s="1">
        <v>209.0</v>
      </c>
      <c r="B516" s="1" t="s">
        <v>607</v>
      </c>
      <c r="C516" s="1" t="s">
        <v>616</v>
      </c>
      <c r="D516" s="1">
        <v>0.0</v>
      </c>
      <c r="E516" s="1">
        <v>-0.25</v>
      </c>
      <c r="F516" s="1">
        <v>67.0</v>
      </c>
      <c r="G516" s="1">
        <v>1.0</v>
      </c>
      <c r="H516" s="1">
        <v>43200.0</v>
      </c>
    </row>
    <row r="517">
      <c r="A517" s="1">
        <v>209.0</v>
      </c>
      <c r="B517" s="1" t="s">
        <v>604</v>
      </c>
      <c r="C517" s="1" t="s">
        <v>761</v>
      </c>
      <c r="D517" s="1" t="s">
        <v>17</v>
      </c>
      <c r="E517" s="1" t="s">
        <v>17</v>
      </c>
      <c r="F517" s="1" t="s">
        <v>17</v>
      </c>
      <c r="G517" s="1">
        <v>1.0</v>
      </c>
      <c r="H517" s="1">
        <v>56400.0</v>
      </c>
    </row>
    <row r="518">
      <c r="A518" s="1">
        <v>210.0</v>
      </c>
      <c r="B518" s="1" t="s">
        <v>17</v>
      </c>
      <c r="C518" s="1" t="s">
        <v>801</v>
      </c>
      <c r="D518" s="1" t="s">
        <v>17</v>
      </c>
      <c r="E518" s="1" t="s">
        <v>17</v>
      </c>
      <c r="F518" s="1" t="s">
        <v>17</v>
      </c>
      <c r="G518" s="1">
        <v>1.0</v>
      </c>
      <c r="H518" s="1">
        <v>85000.0</v>
      </c>
    </row>
    <row r="519">
      <c r="A519" s="1">
        <v>211.0</v>
      </c>
      <c r="B519" s="1" t="s">
        <v>604</v>
      </c>
      <c r="C519" s="1" t="s">
        <v>802</v>
      </c>
      <c r="D519" s="1" t="s">
        <v>17</v>
      </c>
      <c r="E519" s="1" t="s">
        <v>17</v>
      </c>
      <c r="F519" s="1" t="s">
        <v>17</v>
      </c>
      <c r="G519" s="1">
        <v>1.0</v>
      </c>
      <c r="H519" s="1">
        <v>105000.0</v>
      </c>
    </row>
    <row r="520">
      <c r="A520" s="1">
        <v>211.0</v>
      </c>
      <c r="B520" s="1" t="s">
        <v>604</v>
      </c>
      <c r="C520" s="1" t="s">
        <v>803</v>
      </c>
      <c r="D520" s="1" t="s">
        <v>17</v>
      </c>
      <c r="E520" s="1" t="s">
        <v>17</v>
      </c>
      <c r="F520" s="1" t="s">
        <v>17</v>
      </c>
      <c r="G520" s="1">
        <v>1.0</v>
      </c>
      <c r="H520" s="1">
        <v>85000.0</v>
      </c>
    </row>
    <row r="521">
      <c r="A521" s="1">
        <v>212.0</v>
      </c>
      <c r="B521" s="1" t="s">
        <v>604</v>
      </c>
      <c r="C521" s="1" t="s">
        <v>761</v>
      </c>
      <c r="D521" s="1" t="s">
        <v>17</v>
      </c>
      <c r="E521" s="1" t="s">
        <v>17</v>
      </c>
      <c r="F521" s="1" t="s">
        <v>17</v>
      </c>
      <c r="G521" s="1">
        <v>1.0</v>
      </c>
      <c r="H521" s="1">
        <v>54000.0</v>
      </c>
    </row>
    <row r="522">
      <c r="A522" s="1">
        <v>212.0</v>
      </c>
      <c r="B522" s="1" t="s">
        <v>601</v>
      </c>
      <c r="C522" s="1" t="s">
        <v>804</v>
      </c>
      <c r="D522" s="1">
        <v>-3.5</v>
      </c>
      <c r="E522" s="1">
        <v>-1.25</v>
      </c>
      <c r="F522" s="1">
        <v>0.0</v>
      </c>
      <c r="G522" s="1">
        <v>1.0</v>
      </c>
      <c r="H522" s="1">
        <v>334000.0</v>
      </c>
    </row>
    <row r="523">
      <c r="A523" s="1">
        <v>212.0</v>
      </c>
      <c r="B523" s="1" t="s">
        <v>607</v>
      </c>
      <c r="C523" s="1" t="s">
        <v>804</v>
      </c>
      <c r="D523" s="1">
        <v>-4.25</v>
      </c>
      <c r="E523" s="1">
        <v>-1.0</v>
      </c>
      <c r="F523" s="1">
        <v>175.0</v>
      </c>
      <c r="G523" s="1">
        <v>1.0</v>
      </c>
      <c r="H523" s="1">
        <v>0.0</v>
      </c>
    </row>
    <row r="524">
      <c r="A524" s="1">
        <v>213.0</v>
      </c>
      <c r="B524" s="1" t="s">
        <v>17</v>
      </c>
      <c r="C524" s="1" t="s">
        <v>805</v>
      </c>
      <c r="D524" s="1" t="s">
        <v>17</v>
      </c>
      <c r="E524" s="1" t="s">
        <v>17</v>
      </c>
      <c r="F524" s="1" t="s">
        <v>17</v>
      </c>
      <c r="G524" s="1">
        <v>1.0</v>
      </c>
      <c r="H524" s="1">
        <v>100200.0</v>
      </c>
    </row>
    <row r="525">
      <c r="A525" s="1">
        <v>213.0</v>
      </c>
      <c r="B525" s="1" t="s">
        <v>17</v>
      </c>
      <c r="C525" s="1" t="s">
        <v>611</v>
      </c>
      <c r="D525" s="1">
        <v>0.0</v>
      </c>
      <c r="E525" s="1">
        <v>-1.0</v>
      </c>
      <c r="F525" s="1">
        <v>90.0</v>
      </c>
      <c r="G525" s="1">
        <v>1.0</v>
      </c>
      <c r="H525" s="1">
        <v>66400.0</v>
      </c>
    </row>
    <row r="526">
      <c r="A526" s="1">
        <v>213.0</v>
      </c>
      <c r="B526" s="1" t="s">
        <v>17</v>
      </c>
      <c r="C526" s="1" t="s">
        <v>611</v>
      </c>
      <c r="D526" s="1">
        <v>-0.25</v>
      </c>
      <c r="E526" s="1">
        <v>-0.5</v>
      </c>
      <c r="F526" s="1">
        <v>90.0</v>
      </c>
      <c r="G526" s="1">
        <v>1.0</v>
      </c>
      <c r="H526" s="1">
        <v>0.0</v>
      </c>
    </row>
    <row r="527">
      <c r="A527" s="1">
        <v>214.0</v>
      </c>
      <c r="B527" s="1" t="s">
        <v>17</v>
      </c>
      <c r="C527" s="1" t="s">
        <v>806</v>
      </c>
      <c r="D527" s="1" t="s">
        <v>17</v>
      </c>
      <c r="E527" s="1" t="s">
        <v>17</v>
      </c>
      <c r="F527" s="1" t="s">
        <v>17</v>
      </c>
      <c r="G527" s="1">
        <v>1.0</v>
      </c>
      <c r="H527" s="1">
        <v>110000.0</v>
      </c>
    </row>
    <row r="528">
      <c r="A528" s="1">
        <v>214.0</v>
      </c>
      <c r="B528" s="1" t="s">
        <v>17</v>
      </c>
      <c r="C528" s="1" t="s">
        <v>668</v>
      </c>
      <c r="D528" s="1">
        <v>0.0</v>
      </c>
      <c r="E528" s="1">
        <v>-0.5</v>
      </c>
      <c r="F528" s="1">
        <v>0.0</v>
      </c>
      <c r="G528" s="1">
        <v>1.0</v>
      </c>
      <c r="H528" s="1">
        <v>36000.0</v>
      </c>
    </row>
    <row r="529">
      <c r="A529" s="1">
        <v>214.0</v>
      </c>
      <c r="B529" s="1" t="s">
        <v>17</v>
      </c>
      <c r="C529" s="1" t="s">
        <v>668</v>
      </c>
      <c r="D529" s="1">
        <v>0.0</v>
      </c>
      <c r="E529" s="1">
        <v>-0.5</v>
      </c>
      <c r="F529" s="1">
        <v>10.0</v>
      </c>
      <c r="G529" s="1">
        <v>1.0</v>
      </c>
      <c r="H529" s="1">
        <v>0.0</v>
      </c>
    </row>
    <row r="530">
      <c r="A530" s="1">
        <v>215.0</v>
      </c>
      <c r="B530" s="1" t="s">
        <v>601</v>
      </c>
      <c r="C530" s="1" t="s">
        <v>611</v>
      </c>
      <c r="D530" s="1">
        <v>1.75</v>
      </c>
      <c r="E530" s="1">
        <v>0.0</v>
      </c>
      <c r="F530" s="1" t="s">
        <v>17</v>
      </c>
      <c r="G530" s="1">
        <v>1.0</v>
      </c>
      <c r="H530" s="1">
        <v>66400.0</v>
      </c>
    </row>
    <row r="531">
      <c r="A531" s="1">
        <v>215.0</v>
      </c>
      <c r="B531" s="1" t="s">
        <v>607</v>
      </c>
      <c r="C531" s="1" t="s">
        <v>611</v>
      </c>
      <c r="D531" s="1">
        <v>1.75</v>
      </c>
      <c r="E531" s="1">
        <v>0.0</v>
      </c>
      <c r="F531" s="1" t="s">
        <v>17</v>
      </c>
      <c r="G531" s="1">
        <v>1.0</v>
      </c>
      <c r="H531" s="1">
        <v>0.0</v>
      </c>
    </row>
    <row r="532">
      <c r="A532" s="1">
        <v>215.0</v>
      </c>
      <c r="B532" s="1" t="s">
        <v>17</v>
      </c>
      <c r="C532" s="1" t="s">
        <v>807</v>
      </c>
      <c r="D532" s="1" t="s">
        <v>17</v>
      </c>
      <c r="E532" s="1" t="s">
        <v>17</v>
      </c>
      <c r="F532" s="1" t="s">
        <v>17</v>
      </c>
      <c r="G532" s="1">
        <v>1.0</v>
      </c>
      <c r="H532" s="1">
        <v>96000.0</v>
      </c>
    </row>
    <row r="533">
      <c r="A533" s="1">
        <v>215.0</v>
      </c>
      <c r="B533" s="1" t="s">
        <v>17</v>
      </c>
      <c r="C533" s="1" t="s">
        <v>808</v>
      </c>
      <c r="D533" s="1" t="s">
        <v>17</v>
      </c>
      <c r="E533" s="1" t="s">
        <v>17</v>
      </c>
      <c r="F533" s="1" t="s">
        <v>17</v>
      </c>
      <c r="G533" s="1">
        <v>1.0</v>
      </c>
      <c r="H533" s="1">
        <v>145000.0</v>
      </c>
    </row>
    <row r="534">
      <c r="A534" s="1">
        <v>216.0</v>
      </c>
      <c r="B534" s="1" t="s">
        <v>17</v>
      </c>
      <c r="C534" s="1" t="s">
        <v>809</v>
      </c>
      <c r="D534" s="1" t="s">
        <v>17</v>
      </c>
      <c r="E534" s="1" t="s">
        <v>17</v>
      </c>
      <c r="F534" s="1" t="s">
        <v>17</v>
      </c>
      <c r="G534" s="1">
        <v>1.0</v>
      </c>
      <c r="H534" s="1">
        <v>100000.0</v>
      </c>
    </row>
    <row r="535">
      <c r="A535" s="1">
        <v>216.0</v>
      </c>
      <c r="B535" s="1" t="s">
        <v>601</v>
      </c>
      <c r="C535" s="1" t="s">
        <v>787</v>
      </c>
      <c r="D535" s="1">
        <v>-1.0</v>
      </c>
      <c r="E535" s="1">
        <v>-0.75</v>
      </c>
      <c r="F535" s="1">
        <v>170.0</v>
      </c>
      <c r="G535" s="1">
        <v>1.0</v>
      </c>
      <c r="H535" s="1">
        <v>91200.0</v>
      </c>
    </row>
    <row r="536">
      <c r="A536" s="1">
        <v>216.0</v>
      </c>
      <c r="B536" s="1" t="s">
        <v>607</v>
      </c>
      <c r="C536" s="1" t="s">
        <v>787</v>
      </c>
      <c r="D536" s="1">
        <v>-2.0</v>
      </c>
      <c r="E536" s="1">
        <v>-1.5</v>
      </c>
      <c r="F536" s="1">
        <v>5.0</v>
      </c>
      <c r="G536" s="1">
        <v>1.0</v>
      </c>
      <c r="H536" s="1">
        <v>0.0</v>
      </c>
    </row>
    <row r="537">
      <c r="A537" s="1">
        <v>217.0</v>
      </c>
      <c r="B537" s="1" t="s">
        <v>601</v>
      </c>
      <c r="C537" s="1" t="s">
        <v>810</v>
      </c>
      <c r="D537" s="1" t="s">
        <v>17</v>
      </c>
      <c r="E537" s="1" t="s">
        <v>17</v>
      </c>
      <c r="F537" s="1" t="s">
        <v>17</v>
      </c>
      <c r="G537" s="1">
        <v>1.0</v>
      </c>
      <c r="H537" s="1">
        <v>0.0</v>
      </c>
    </row>
    <row r="538">
      <c r="A538" s="1">
        <v>217.0</v>
      </c>
      <c r="B538" s="1" t="s">
        <v>607</v>
      </c>
      <c r="C538" s="1" t="s">
        <v>811</v>
      </c>
      <c r="D538" s="1" t="s">
        <v>17</v>
      </c>
      <c r="E538" s="1" t="s">
        <v>17</v>
      </c>
      <c r="F538" s="1" t="s">
        <v>17</v>
      </c>
      <c r="G538" s="1">
        <v>1.0</v>
      </c>
      <c r="H538" s="1">
        <v>0.0</v>
      </c>
    </row>
    <row r="539">
      <c r="A539" s="1">
        <v>217.0</v>
      </c>
      <c r="B539" s="1" t="s">
        <v>601</v>
      </c>
      <c r="C539" s="1" t="s">
        <v>606</v>
      </c>
      <c r="D539" s="1">
        <v>1.0</v>
      </c>
      <c r="E539" s="1">
        <v>0.5</v>
      </c>
      <c r="F539" s="1">
        <v>70.0</v>
      </c>
      <c r="G539" s="1">
        <v>1.0</v>
      </c>
      <c r="H539" s="1">
        <v>0.0</v>
      </c>
    </row>
    <row r="540">
      <c r="A540" s="1">
        <v>217.0</v>
      </c>
      <c r="B540" s="1" t="s">
        <v>607</v>
      </c>
      <c r="C540" s="1" t="s">
        <v>606</v>
      </c>
      <c r="D540" s="1">
        <v>1.0</v>
      </c>
      <c r="E540" s="1">
        <v>0.5</v>
      </c>
      <c r="F540" s="1">
        <v>100.0</v>
      </c>
      <c r="G540" s="1">
        <v>1.0</v>
      </c>
      <c r="H540" s="1">
        <v>0.0</v>
      </c>
    </row>
    <row r="541">
      <c r="A541" s="1">
        <v>217.0</v>
      </c>
      <c r="B541" s="1" t="s">
        <v>601</v>
      </c>
      <c r="C541" s="1" t="s">
        <v>606</v>
      </c>
      <c r="D541" s="1">
        <v>3.0</v>
      </c>
      <c r="E541" s="1">
        <v>0.5</v>
      </c>
      <c r="F541" s="1">
        <v>70.0</v>
      </c>
      <c r="G541" s="1">
        <v>1.0</v>
      </c>
      <c r="H541" s="1">
        <v>0.0</v>
      </c>
    </row>
    <row r="542">
      <c r="A542" s="1">
        <v>217.0</v>
      </c>
      <c r="B542" s="1" t="s">
        <v>607</v>
      </c>
      <c r="C542" s="1" t="s">
        <v>606</v>
      </c>
      <c r="D542" s="1">
        <v>3.0</v>
      </c>
      <c r="E542" s="1">
        <v>0.5</v>
      </c>
      <c r="F542" s="1">
        <v>100.0</v>
      </c>
      <c r="G542" s="1">
        <v>1.0</v>
      </c>
      <c r="H542" s="1">
        <v>0.0</v>
      </c>
    </row>
    <row r="543">
      <c r="A543" s="1">
        <v>218.0</v>
      </c>
      <c r="B543" s="1" t="s">
        <v>17</v>
      </c>
      <c r="C543" s="1" t="s">
        <v>606</v>
      </c>
      <c r="D543" s="1">
        <v>0.0</v>
      </c>
      <c r="E543" s="1">
        <v>0.0</v>
      </c>
      <c r="F543" s="1" t="s">
        <v>17</v>
      </c>
      <c r="G543" s="1">
        <v>1.0</v>
      </c>
      <c r="H543" s="1">
        <v>0.0</v>
      </c>
    </row>
    <row r="544">
      <c r="A544" s="1">
        <v>219.0</v>
      </c>
      <c r="B544" s="1" t="s">
        <v>604</v>
      </c>
      <c r="C544" s="1" t="s">
        <v>761</v>
      </c>
      <c r="D544" s="1" t="s">
        <v>17</v>
      </c>
      <c r="E544" s="1" t="s">
        <v>17</v>
      </c>
      <c r="F544" s="1" t="s">
        <v>17</v>
      </c>
      <c r="G544" s="1">
        <v>1.0</v>
      </c>
      <c r="H544" s="1">
        <v>66000.0</v>
      </c>
    </row>
    <row r="545">
      <c r="A545" s="1">
        <v>219.0</v>
      </c>
      <c r="B545" s="1" t="s">
        <v>601</v>
      </c>
      <c r="C545" s="1" t="s">
        <v>611</v>
      </c>
      <c r="D545" s="1">
        <v>-3.25</v>
      </c>
      <c r="E545" s="1">
        <v>-2.0</v>
      </c>
      <c r="F545" s="1">
        <v>180.0</v>
      </c>
      <c r="G545" s="1">
        <v>1.0</v>
      </c>
      <c r="H545" s="1">
        <v>66000.0</v>
      </c>
    </row>
    <row r="546">
      <c r="A546" s="1">
        <v>219.0</v>
      </c>
      <c r="B546" s="1" t="s">
        <v>607</v>
      </c>
      <c r="C546" s="1" t="s">
        <v>785</v>
      </c>
      <c r="D546" s="1">
        <v>-4.5</v>
      </c>
      <c r="E546" s="1">
        <v>-2.5</v>
      </c>
      <c r="F546" s="1">
        <v>170.0</v>
      </c>
      <c r="G546" s="1">
        <v>1.0</v>
      </c>
      <c r="H546" s="1">
        <v>0.0</v>
      </c>
    </row>
    <row r="547">
      <c r="A547" s="1">
        <v>219.0</v>
      </c>
      <c r="B547" s="1" t="s">
        <v>17</v>
      </c>
      <c r="C547" s="1" t="s">
        <v>736</v>
      </c>
      <c r="D547" s="1" t="s">
        <v>17</v>
      </c>
      <c r="E547" s="1" t="s">
        <v>17</v>
      </c>
      <c r="F547" s="1" t="s">
        <v>17</v>
      </c>
      <c r="G547" s="1">
        <v>1.0</v>
      </c>
      <c r="H547" s="1">
        <v>66000.0</v>
      </c>
    </row>
    <row r="548">
      <c r="A548" s="1">
        <v>219.0</v>
      </c>
      <c r="B548" s="1" t="s">
        <v>601</v>
      </c>
      <c r="C548" s="1" t="s">
        <v>616</v>
      </c>
      <c r="D548" s="1">
        <v>-2.5</v>
      </c>
      <c r="E548" s="1">
        <v>0.0</v>
      </c>
      <c r="F548" s="1" t="s">
        <v>17</v>
      </c>
      <c r="G548" s="1">
        <v>1.0</v>
      </c>
      <c r="H548" s="1">
        <v>43200.0</v>
      </c>
    </row>
    <row r="549">
      <c r="A549" s="1">
        <v>219.0</v>
      </c>
      <c r="B549" s="1" t="s">
        <v>607</v>
      </c>
      <c r="C549" s="1" t="s">
        <v>616</v>
      </c>
      <c r="D549" s="1">
        <v>-2.75</v>
      </c>
      <c r="E549" s="1">
        <v>0.0</v>
      </c>
      <c r="F549" s="1" t="s">
        <v>17</v>
      </c>
      <c r="G549" s="1">
        <v>1.0</v>
      </c>
      <c r="H549" s="1">
        <v>0.0</v>
      </c>
    </row>
    <row r="550">
      <c r="A550" s="1">
        <v>219.0</v>
      </c>
      <c r="B550" s="1" t="s">
        <v>17</v>
      </c>
      <c r="C550" s="1" t="s">
        <v>761</v>
      </c>
      <c r="D550" s="1" t="s">
        <v>17</v>
      </c>
      <c r="E550" s="1" t="s">
        <v>17</v>
      </c>
      <c r="F550" s="1" t="s">
        <v>17</v>
      </c>
      <c r="G550" s="1">
        <v>1.0</v>
      </c>
      <c r="H550" s="1">
        <v>60000.0</v>
      </c>
    </row>
    <row r="551">
      <c r="A551" s="1">
        <v>219.0</v>
      </c>
      <c r="B551" s="1" t="s">
        <v>601</v>
      </c>
      <c r="C551" s="1" t="s">
        <v>616</v>
      </c>
      <c r="D551" s="1">
        <v>-1.75</v>
      </c>
      <c r="E551" s="1">
        <v>0.0</v>
      </c>
      <c r="F551" s="1" t="s">
        <v>17</v>
      </c>
      <c r="G551" s="1">
        <v>1.0</v>
      </c>
      <c r="H551" s="1">
        <v>43200.0</v>
      </c>
    </row>
    <row r="552">
      <c r="A552" s="1">
        <v>219.0</v>
      </c>
      <c r="B552" s="1" t="s">
        <v>607</v>
      </c>
      <c r="C552" s="1" t="s">
        <v>616</v>
      </c>
      <c r="D552" s="1">
        <v>-2.25</v>
      </c>
      <c r="E552" s="1">
        <v>-0.25</v>
      </c>
      <c r="F552" s="1">
        <v>160.0</v>
      </c>
      <c r="G552" s="1">
        <v>1.0</v>
      </c>
      <c r="H552" s="1">
        <v>0.0</v>
      </c>
    </row>
    <row r="553">
      <c r="A553" s="1">
        <v>220.0</v>
      </c>
      <c r="B553" s="1" t="s">
        <v>17</v>
      </c>
      <c r="C553" s="1" t="s">
        <v>736</v>
      </c>
      <c r="D553" s="1" t="s">
        <v>17</v>
      </c>
      <c r="E553" s="1" t="s">
        <v>17</v>
      </c>
      <c r="F553" s="1" t="s">
        <v>17</v>
      </c>
      <c r="G553" s="1">
        <v>1.0</v>
      </c>
      <c r="H553" s="1">
        <v>60000.0</v>
      </c>
    </row>
    <row r="554">
      <c r="A554" s="1">
        <v>220.0</v>
      </c>
      <c r="B554" s="1" t="s">
        <v>601</v>
      </c>
      <c r="C554" s="1" t="s">
        <v>616</v>
      </c>
      <c r="D554" s="1">
        <v>-0.25</v>
      </c>
      <c r="E554" s="1">
        <v>-0.5</v>
      </c>
      <c r="F554" s="1">
        <v>10.0</v>
      </c>
      <c r="G554" s="1">
        <v>1.0</v>
      </c>
      <c r="H554" s="1">
        <v>29000.0</v>
      </c>
    </row>
    <row r="555">
      <c r="A555" s="1">
        <v>220.0</v>
      </c>
      <c r="B555" s="1" t="s">
        <v>607</v>
      </c>
      <c r="C555" s="1" t="s">
        <v>616</v>
      </c>
      <c r="D555" s="1">
        <v>-0.25</v>
      </c>
      <c r="E555" s="1">
        <v>-1.0</v>
      </c>
      <c r="F555" s="1">
        <v>165.0</v>
      </c>
      <c r="G555" s="1">
        <v>1.0</v>
      </c>
      <c r="H555" s="1">
        <v>0.0</v>
      </c>
    </row>
    <row r="556">
      <c r="A556" s="1">
        <v>221.0</v>
      </c>
      <c r="B556" s="1" t="s">
        <v>17</v>
      </c>
      <c r="C556" s="1" t="s">
        <v>774</v>
      </c>
      <c r="D556" s="1" t="s">
        <v>17</v>
      </c>
      <c r="E556" s="1" t="s">
        <v>17</v>
      </c>
      <c r="F556" s="1" t="s">
        <v>17</v>
      </c>
      <c r="G556" s="1">
        <v>1.0</v>
      </c>
      <c r="H556" s="1">
        <v>130000.0</v>
      </c>
    </row>
    <row r="557">
      <c r="A557" s="1">
        <v>221.0</v>
      </c>
      <c r="B557" s="1" t="s">
        <v>17</v>
      </c>
      <c r="C557" s="1" t="s">
        <v>736</v>
      </c>
      <c r="D557" s="1" t="s">
        <v>17</v>
      </c>
      <c r="E557" s="1" t="s">
        <v>17</v>
      </c>
      <c r="F557" s="1" t="s">
        <v>17</v>
      </c>
      <c r="G557" s="1">
        <v>1.0</v>
      </c>
      <c r="H557" s="1">
        <v>0.0</v>
      </c>
    </row>
    <row r="558">
      <c r="A558" s="1">
        <v>221.0</v>
      </c>
      <c r="B558" s="1" t="s">
        <v>601</v>
      </c>
      <c r="C558" s="1" t="s">
        <v>702</v>
      </c>
      <c r="D558" s="1">
        <v>2.25</v>
      </c>
      <c r="E558" s="1">
        <v>0.0</v>
      </c>
      <c r="F558" s="1" t="s">
        <v>17</v>
      </c>
      <c r="G558" s="1">
        <v>1.0</v>
      </c>
      <c r="H558" s="1">
        <v>335500.0</v>
      </c>
    </row>
    <row r="559">
      <c r="A559" s="1">
        <v>221.0</v>
      </c>
      <c r="B559" s="1" t="s">
        <v>607</v>
      </c>
      <c r="C559" s="1" t="s">
        <v>702</v>
      </c>
      <c r="D559" s="1">
        <v>2.5</v>
      </c>
      <c r="E559" s="1">
        <v>0.0</v>
      </c>
      <c r="F559" s="1" t="s">
        <v>17</v>
      </c>
      <c r="G559" s="1">
        <v>1.0</v>
      </c>
      <c r="H559" s="1">
        <v>0.0</v>
      </c>
    </row>
    <row r="560">
      <c r="A560" s="1">
        <v>222.0</v>
      </c>
      <c r="B560" s="1" t="s">
        <v>17</v>
      </c>
      <c r="C560" s="1" t="s">
        <v>812</v>
      </c>
      <c r="D560" s="1" t="s">
        <v>17</v>
      </c>
      <c r="E560" s="1" t="s">
        <v>17</v>
      </c>
      <c r="F560" s="1" t="s">
        <v>17</v>
      </c>
      <c r="G560" s="1">
        <v>1.0</v>
      </c>
      <c r="H560" s="1">
        <v>101000.0</v>
      </c>
    </row>
    <row r="561">
      <c r="A561" s="1">
        <v>223.0</v>
      </c>
      <c r="B561" s="1" t="s">
        <v>17</v>
      </c>
      <c r="C561" s="1" t="s">
        <v>736</v>
      </c>
      <c r="D561" s="1" t="s">
        <v>17</v>
      </c>
      <c r="E561" s="1" t="s">
        <v>17</v>
      </c>
      <c r="F561" s="1" t="s">
        <v>17</v>
      </c>
      <c r="G561" s="1">
        <v>1.0</v>
      </c>
      <c r="H561" s="1">
        <v>78000.0</v>
      </c>
    </row>
    <row r="562">
      <c r="A562" s="1">
        <v>223.0</v>
      </c>
      <c r="B562" s="1" t="s">
        <v>601</v>
      </c>
      <c r="C562" s="1" t="s">
        <v>794</v>
      </c>
      <c r="D562" s="1">
        <v>0.0</v>
      </c>
      <c r="E562" s="1">
        <v>0.0</v>
      </c>
      <c r="F562" s="1" t="s">
        <v>17</v>
      </c>
      <c r="G562" s="1">
        <v>1.0</v>
      </c>
      <c r="H562" s="1">
        <v>67200.0</v>
      </c>
    </row>
    <row r="563">
      <c r="A563" s="1">
        <v>223.0</v>
      </c>
      <c r="B563" s="1" t="s">
        <v>607</v>
      </c>
      <c r="C563" s="1" t="s">
        <v>794</v>
      </c>
      <c r="D563" s="1">
        <v>-0.5</v>
      </c>
      <c r="E563" s="1">
        <v>-1.0</v>
      </c>
      <c r="F563" s="1">
        <v>40.0</v>
      </c>
      <c r="G563" s="1">
        <v>1.0</v>
      </c>
      <c r="H563" s="1">
        <v>0.0</v>
      </c>
    </row>
    <row r="564">
      <c r="A564" s="1">
        <v>224.0</v>
      </c>
      <c r="B564" s="1" t="s">
        <v>17</v>
      </c>
      <c r="C564" s="1" t="s">
        <v>774</v>
      </c>
      <c r="D564" s="1" t="s">
        <v>17</v>
      </c>
      <c r="E564" s="1" t="s">
        <v>17</v>
      </c>
      <c r="F564" s="1" t="s">
        <v>17</v>
      </c>
      <c r="G564" s="1">
        <v>1.0</v>
      </c>
      <c r="H564" s="1">
        <v>156000.0</v>
      </c>
    </row>
    <row r="565">
      <c r="A565" s="1">
        <v>224.0</v>
      </c>
      <c r="B565" s="1" t="s">
        <v>601</v>
      </c>
      <c r="C565" s="1" t="s">
        <v>611</v>
      </c>
      <c r="D565" s="1">
        <v>0.0</v>
      </c>
      <c r="E565" s="1">
        <v>-0.25</v>
      </c>
      <c r="F565" s="1">
        <v>90.0</v>
      </c>
      <c r="G565" s="1">
        <v>1.0</v>
      </c>
      <c r="H565" s="1">
        <v>66400.0</v>
      </c>
    </row>
    <row r="566">
      <c r="A566" s="1">
        <v>224.0</v>
      </c>
      <c r="B566" s="1" t="s">
        <v>607</v>
      </c>
      <c r="C566" s="1" t="s">
        <v>611</v>
      </c>
      <c r="D566" s="1">
        <v>0.0</v>
      </c>
      <c r="E566" s="1">
        <v>-0.5</v>
      </c>
      <c r="F566" s="1">
        <v>80.0</v>
      </c>
      <c r="G566" s="1">
        <v>1.0</v>
      </c>
      <c r="H566" s="1">
        <v>0.0</v>
      </c>
    </row>
    <row r="567">
      <c r="A567" s="1">
        <v>225.0</v>
      </c>
      <c r="B567" s="1" t="s">
        <v>604</v>
      </c>
      <c r="C567" s="1" t="s">
        <v>781</v>
      </c>
      <c r="D567" s="1">
        <v>-3.75</v>
      </c>
      <c r="E567" s="1" t="s">
        <v>17</v>
      </c>
      <c r="F567" s="1" t="s">
        <v>17</v>
      </c>
      <c r="G567" s="1">
        <v>1.0</v>
      </c>
      <c r="H567" s="1">
        <v>70000.0</v>
      </c>
    </row>
    <row r="568">
      <c r="A568" s="1">
        <v>226.0</v>
      </c>
      <c r="B568" s="1" t="s">
        <v>17</v>
      </c>
      <c r="C568" s="1" t="s">
        <v>736</v>
      </c>
      <c r="D568" s="1" t="s">
        <v>17</v>
      </c>
      <c r="E568" s="1" t="s">
        <v>17</v>
      </c>
      <c r="F568" s="1" t="s">
        <v>17</v>
      </c>
      <c r="G568" s="1">
        <v>1.0</v>
      </c>
      <c r="H568" s="1">
        <v>57000.0</v>
      </c>
    </row>
    <row r="569">
      <c r="A569" s="1">
        <v>226.0</v>
      </c>
      <c r="B569" s="1" t="s">
        <v>601</v>
      </c>
      <c r="C569" s="1" t="s">
        <v>813</v>
      </c>
      <c r="D569" s="1">
        <v>0.0</v>
      </c>
      <c r="E569" s="1">
        <v>-2.0</v>
      </c>
      <c r="F569" s="1">
        <v>5.0</v>
      </c>
      <c r="G569" s="1">
        <v>1.0</v>
      </c>
      <c r="H569" s="1">
        <v>66400.0</v>
      </c>
    </row>
    <row r="570">
      <c r="A570" s="1">
        <v>226.0</v>
      </c>
      <c r="B570" s="1" t="s">
        <v>607</v>
      </c>
      <c r="C570" s="1" t="s">
        <v>813</v>
      </c>
      <c r="D570" s="1">
        <v>0.0</v>
      </c>
      <c r="E570" s="1">
        <v>-1.0</v>
      </c>
      <c r="F570" s="1">
        <v>20.0</v>
      </c>
      <c r="G570" s="1">
        <v>1.0</v>
      </c>
      <c r="H570" s="1">
        <v>0.0</v>
      </c>
    </row>
    <row r="571">
      <c r="A571" s="1">
        <v>227.0</v>
      </c>
      <c r="B571" s="1" t="s">
        <v>17</v>
      </c>
      <c r="C571" s="1" t="s">
        <v>736</v>
      </c>
      <c r="D571" s="1" t="s">
        <v>17</v>
      </c>
      <c r="E571" s="1" t="s">
        <v>17</v>
      </c>
      <c r="F571" s="1" t="s">
        <v>17</v>
      </c>
      <c r="G571" s="1">
        <v>1.0</v>
      </c>
      <c r="H571" s="1">
        <v>67000.0</v>
      </c>
    </row>
    <row r="572">
      <c r="A572" s="1">
        <v>227.0</v>
      </c>
      <c r="B572" s="1" t="s">
        <v>601</v>
      </c>
      <c r="C572" s="1" t="s">
        <v>610</v>
      </c>
      <c r="D572" s="1">
        <v>-0.75</v>
      </c>
      <c r="E572" s="1">
        <v>0.0</v>
      </c>
      <c r="F572" s="1" t="s">
        <v>17</v>
      </c>
      <c r="G572" s="1">
        <v>1.0</v>
      </c>
      <c r="H572" s="1">
        <v>66400.0</v>
      </c>
    </row>
    <row r="573">
      <c r="A573" s="1">
        <v>227.0</v>
      </c>
      <c r="B573" s="1" t="s">
        <v>607</v>
      </c>
      <c r="C573" s="1" t="s">
        <v>610</v>
      </c>
      <c r="D573" s="1">
        <v>-1.0</v>
      </c>
      <c r="E573" s="1">
        <v>0.0</v>
      </c>
      <c r="F573" s="1" t="s">
        <v>17</v>
      </c>
      <c r="G573" s="1">
        <v>1.0</v>
      </c>
      <c r="H573" s="1">
        <v>0.0</v>
      </c>
    </row>
    <row r="574">
      <c r="A574" s="1">
        <v>228.0</v>
      </c>
      <c r="B574" s="1" t="s">
        <v>17</v>
      </c>
      <c r="C574" s="1" t="s">
        <v>736</v>
      </c>
      <c r="D574" s="1" t="s">
        <v>17</v>
      </c>
      <c r="E574" s="1" t="s">
        <v>17</v>
      </c>
      <c r="F574" s="1" t="s">
        <v>17</v>
      </c>
      <c r="G574" s="1">
        <v>1.0</v>
      </c>
      <c r="H574" s="1">
        <v>0.0</v>
      </c>
    </row>
    <row r="575">
      <c r="A575" s="1">
        <v>229.0</v>
      </c>
      <c r="B575" s="1" t="s">
        <v>604</v>
      </c>
      <c r="C575" s="1" t="s">
        <v>736</v>
      </c>
      <c r="D575" s="1" t="s">
        <v>17</v>
      </c>
      <c r="E575" s="1" t="s">
        <v>17</v>
      </c>
      <c r="F575" s="1" t="s">
        <v>17</v>
      </c>
      <c r="G575" s="1">
        <v>1.0</v>
      </c>
      <c r="H575" s="1">
        <v>102000.0</v>
      </c>
    </row>
    <row r="576">
      <c r="A576" s="1">
        <v>229.0</v>
      </c>
      <c r="B576" s="1" t="s">
        <v>601</v>
      </c>
      <c r="C576" s="1" t="s">
        <v>785</v>
      </c>
      <c r="D576" s="1">
        <v>-8.0</v>
      </c>
      <c r="E576" s="1">
        <v>-2.0</v>
      </c>
      <c r="F576" s="1">
        <v>180.0</v>
      </c>
      <c r="G576" s="1">
        <v>1.0</v>
      </c>
      <c r="H576" s="1">
        <v>234000.0</v>
      </c>
    </row>
    <row r="577">
      <c r="A577" s="1">
        <v>229.0</v>
      </c>
      <c r="B577" s="1" t="s">
        <v>607</v>
      </c>
      <c r="C577" s="1" t="s">
        <v>785</v>
      </c>
      <c r="D577" s="1">
        <v>-7.0</v>
      </c>
      <c r="E577" s="1">
        <v>-2.0</v>
      </c>
      <c r="F577" s="1">
        <v>150.0</v>
      </c>
      <c r="G577" s="1">
        <v>1.0</v>
      </c>
      <c r="H577" s="1">
        <v>0.0</v>
      </c>
    </row>
    <row r="578">
      <c r="A578" s="1">
        <v>230.0</v>
      </c>
      <c r="B578" s="1" t="s">
        <v>17</v>
      </c>
      <c r="C578" s="1" t="s">
        <v>814</v>
      </c>
      <c r="D578" s="1" t="s">
        <v>17</v>
      </c>
      <c r="E578" s="1" t="s">
        <v>17</v>
      </c>
      <c r="F578" s="1" t="s">
        <v>17</v>
      </c>
      <c r="G578" s="1">
        <v>1.0</v>
      </c>
      <c r="H578" s="1">
        <v>0.0</v>
      </c>
    </row>
    <row r="579">
      <c r="A579" s="1">
        <v>230.0</v>
      </c>
      <c r="B579" s="1" t="s">
        <v>17</v>
      </c>
      <c r="C579" s="1" t="s">
        <v>684</v>
      </c>
      <c r="D579" s="1" t="s">
        <v>17</v>
      </c>
      <c r="E579" s="1" t="s">
        <v>17</v>
      </c>
      <c r="F579" s="1" t="s">
        <v>17</v>
      </c>
      <c r="G579" s="1">
        <v>1.0</v>
      </c>
      <c r="H579" s="1">
        <v>4000.0</v>
      </c>
    </row>
    <row r="580">
      <c r="A580" s="1">
        <v>231.0</v>
      </c>
      <c r="B580" s="1" t="s">
        <v>17</v>
      </c>
      <c r="C580" s="1" t="s">
        <v>736</v>
      </c>
      <c r="D580" s="1" t="s">
        <v>17</v>
      </c>
      <c r="E580" s="1" t="s">
        <v>17</v>
      </c>
      <c r="F580" s="1" t="s">
        <v>17</v>
      </c>
      <c r="G580" s="1">
        <v>1.0</v>
      </c>
      <c r="H580" s="1">
        <v>102000.0</v>
      </c>
    </row>
    <row r="581">
      <c r="A581" s="1">
        <v>231.0</v>
      </c>
      <c r="B581" s="1" t="s">
        <v>601</v>
      </c>
      <c r="C581" s="1" t="s">
        <v>611</v>
      </c>
      <c r="D581" s="1">
        <v>-8.0</v>
      </c>
      <c r="E581" s="1">
        <v>-2.0</v>
      </c>
      <c r="F581" s="1">
        <v>180.0</v>
      </c>
      <c r="G581" s="1">
        <v>1.0</v>
      </c>
      <c r="H581" s="1">
        <v>234000.0</v>
      </c>
    </row>
    <row r="582">
      <c r="A582" s="1">
        <v>231.0</v>
      </c>
      <c r="B582" s="1" t="s">
        <v>17</v>
      </c>
      <c r="C582" s="1" t="s">
        <v>611</v>
      </c>
      <c r="D582" s="1">
        <v>-7.0</v>
      </c>
      <c r="E582" s="1">
        <v>-2.0</v>
      </c>
      <c r="F582" s="1">
        <v>150.0</v>
      </c>
      <c r="G582" s="1">
        <v>1.0</v>
      </c>
      <c r="H582" s="1">
        <v>0.0</v>
      </c>
    </row>
    <row r="583">
      <c r="A583" s="1">
        <v>232.0</v>
      </c>
      <c r="B583" s="1" t="s">
        <v>601</v>
      </c>
      <c r="C583" s="1" t="s">
        <v>610</v>
      </c>
      <c r="D583" s="1">
        <v>1.5</v>
      </c>
      <c r="E583" s="1">
        <v>-2.5</v>
      </c>
      <c r="F583" s="1">
        <v>90.0</v>
      </c>
      <c r="G583" s="1">
        <v>1.0</v>
      </c>
      <c r="H583" s="1">
        <v>92400.0</v>
      </c>
    </row>
    <row r="584">
      <c r="A584" s="1">
        <v>232.0</v>
      </c>
      <c r="B584" s="1" t="s">
        <v>607</v>
      </c>
      <c r="C584" s="1" t="s">
        <v>610</v>
      </c>
      <c r="D584" s="1">
        <v>-1.5</v>
      </c>
      <c r="E584" s="1">
        <v>-0.5</v>
      </c>
      <c r="F584" s="1">
        <v>90.0</v>
      </c>
      <c r="G584" s="1">
        <v>1.0</v>
      </c>
      <c r="H584" s="1">
        <v>0.0</v>
      </c>
    </row>
    <row r="585">
      <c r="A585" s="1">
        <v>233.0</v>
      </c>
      <c r="B585" s="1" t="s">
        <v>17</v>
      </c>
      <c r="C585" s="1" t="s">
        <v>815</v>
      </c>
      <c r="D585" s="1" t="s">
        <v>17</v>
      </c>
      <c r="E585" s="1" t="s">
        <v>17</v>
      </c>
      <c r="F585" s="1" t="s">
        <v>17</v>
      </c>
      <c r="G585" s="1">
        <v>1.0</v>
      </c>
      <c r="H585" s="1">
        <v>60000.0</v>
      </c>
    </row>
    <row r="586">
      <c r="A586" s="1">
        <v>233.0</v>
      </c>
      <c r="B586" s="1" t="s">
        <v>17</v>
      </c>
      <c r="C586" s="1" t="s">
        <v>794</v>
      </c>
      <c r="D586" s="1">
        <v>0.0</v>
      </c>
      <c r="E586" s="1">
        <v>0.0</v>
      </c>
      <c r="F586" s="1" t="s">
        <v>17</v>
      </c>
      <c r="G586" s="1">
        <v>1.0</v>
      </c>
      <c r="H586" s="1">
        <v>56000.0</v>
      </c>
    </row>
    <row r="587">
      <c r="A587" s="1">
        <v>233.0</v>
      </c>
      <c r="B587" s="1" t="s">
        <v>17</v>
      </c>
      <c r="C587" s="1" t="s">
        <v>794</v>
      </c>
      <c r="D587" s="1">
        <v>0.0</v>
      </c>
      <c r="E587" s="1">
        <v>0.0</v>
      </c>
      <c r="F587" s="1" t="s">
        <v>17</v>
      </c>
      <c r="G587" s="1">
        <v>1.0</v>
      </c>
      <c r="H587" s="1">
        <v>0.0</v>
      </c>
    </row>
    <row r="588">
      <c r="A588" s="1">
        <v>234.0</v>
      </c>
      <c r="B588" s="1" t="s">
        <v>17</v>
      </c>
      <c r="C588" s="1" t="s">
        <v>816</v>
      </c>
      <c r="D588" s="1" t="s">
        <v>17</v>
      </c>
      <c r="E588" s="1" t="s">
        <v>17</v>
      </c>
      <c r="F588" s="1" t="s">
        <v>17</v>
      </c>
      <c r="G588" s="1">
        <v>1.0</v>
      </c>
      <c r="H588" s="1">
        <v>87000.0</v>
      </c>
    </row>
    <row r="589">
      <c r="A589" s="1">
        <v>234.0</v>
      </c>
      <c r="B589" s="1" t="s">
        <v>17</v>
      </c>
      <c r="C589" s="1" t="s">
        <v>616</v>
      </c>
      <c r="D589" s="1">
        <v>0.0</v>
      </c>
      <c r="E589" s="1">
        <v>0.0</v>
      </c>
      <c r="F589" s="1" t="s">
        <v>17</v>
      </c>
      <c r="G589" s="1">
        <v>1.0</v>
      </c>
      <c r="H589" s="1">
        <v>36000.0</v>
      </c>
    </row>
    <row r="590">
      <c r="A590" s="1">
        <v>234.0</v>
      </c>
      <c r="B590" s="1" t="s">
        <v>17</v>
      </c>
      <c r="C590" s="1" t="s">
        <v>616</v>
      </c>
      <c r="D590" s="1">
        <v>0.0</v>
      </c>
      <c r="E590" s="1">
        <v>0.0</v>
      </c>
      <c r="F590" s="1" t="s">
        <v>17</v>
      </c>
      <c r="G590" s="1">
        <v>1.0</v>
      </c>
      <c r="H590" s="1">
        <v>0.0</v>
      </c>
    </row>
    <row r="591">
      <c r="A591" s="1">
        <v>235.0</v>
      </c>
      <c r="B591" s="1" t="s">
        <v>17</v>
      </c>
      <c r="C591" s="1" t="s">
        <v>606</v>
      </c>
      <c r="D591" s="1">
        <v>0.0</v>
      </c>
      <c r="E591" s="1">
        <v>0.0</v>
      </c>
      <c r="F591" s="1" t="s">
        <v>17</v>
      </c>
      <c r="G591" s="1">
        <v>1.0</v>
      </c>
      <c r="H591" s="1">
        <v>0.0</v>
      </c>
    </row>
    <row r="592">
      <c r="A592" s="1">
        <v>236.0</v>
      </c>
      <c r="B592" s="1" t="s">
        <v>17</v>
      </c>
      <c r="C592" s="1" t="s">
        <v>785</v>
      </c>
      <c r="D592" s="1">
        <v>0.0</v>
      </c>
      <c r="E592" s="1">
        <v>0.0</v>
      </c>
      <c r="F592" s="1" t="s">
        <v>17</v>
      </c>
      <c r="G592" s="1">
        <v>1.0</v>
      </c>
      <c r="H592" s="1">
        <v>81600.0</v>
      </c>
    </row>
    <row r="593">
      <c r="A593" s="1">
        <v>236.0</v>
      </c>
      <c r="B593" s="1" t="s">
        <v>17</v>
      </c>
      <c r="C593" s="1" t="s">
        <v>785</v>
      </c>
      <c r="D593" s="1">
        <v>0.0</v>
      </c>
      <c r="E593" s="1">
        <v>0.0</v>
      </c>
      <c r="F593" s="1" t="s">
        <v>17</v>
      </c>
      <c r="G593" s="1">
        <v>1.0</v>
      </c>
      <c r="H593" s="1">
        <v>0.0</v>
      </c>
    </row>
    <row r="594">
      <c r="A594" s="1">
        <v>236.0</v>
      </c>
      <c r="B594" s="1" t="s">
        <v>17</v>
      </c>
      <c r="C594" s="1" t="s">
        <v>608</v>
      </c>
      <c r="D594" s="1">
        <v>0.0</v>
      </c>
      <c r="E594" s="1">
        <v>0.0</v>
      </c>
      <c r="F594" s="1" t="s">
        <v>17</v>
      </c>
      <c r="G594" s="1">
        <v>1.0</v>
      </c>
      <c r="H594" s="1">
        <v>0.0</v>
      </c>
    </row>
    <row r="595">
      <c r="A595" s="1">
        <v>236.0</v>
      </c>
      <c r="B595" s="1" t="s">
        <v>17</v>
      </c>
      <c r="C595" s="1" t="s">
        <v>608</v>
      </c>
      <c r="D595" s="1">
        <v>0.0</v>
      </c>
      <c r="E595" s="1">
        <v>0.0</v>
      </c>
      <c r="F595" s="1" t="s">
        <v>17</v>
      </c>
      <c r="G595" s="1">
        <v>1.0</v>
      </c>
      <c r="H595" s="1">
        <v>0.0</v>
      </c>
    </row>
    <row r="596">
      <c r="A596" s="1">
        <v>236.0</v>
      </c>
      <c r="B596" s="1" t="s">
        <v>17</v>
      </c>
      <c r="C596" s="1" t="s">
        <v>761</v>
      </c>
      <c r="D596" s="1" t="s">
        <v>17</v>
      </c>
      <c r="E596" s="1" t="s">
        <v>17</v>
      </c>
      <c r="F596" s="1" t="s">
        <v>17</v>
      </c>
      <c r="G596" s="1">
        <v>1.0</v>
      </c>
      <c r="H596" s="1">
        <v>72000.0</v>
      </c>
    </row>
    <row r="597">
      <c r="A597" s="1">
        <v>236.0</v>
      </c>
      <c r="B597" s="1" t="s">
        <v>17</v>
      </c>
      <c r="C597" s="1" t="s">
        <v>736</v>
      </c>
      <c r="D597" s="1" t="s">
        <v>17</v>
      </c>
      <c r="E597" s="1" t="s">
        <v>17</v>
      </c>
      <c r="F597" s="1" t="s">
        <v>17</v>
      </c>
      <c r="G597" s="1">
        <v>1.0</v>
      </c>
      <c r="H597" s="1">
        <v>0.0</v>
      </c>
    </row>
    <row r="598">
      <c r="A598" s="1">
        <v>237.0</v>
      </c>
      <c r="B598" s="1" t="s">
        <v>17</v>
      </c>
      <c r="C598" s="1" t="s">
        <v>736</v>
      </c>
      <c r="D598" s="1" t="s">
        <v>17</v>
      </c>
      <c r="E598" s="1" t="s">
        <v>17</v>
      </c>
      <c r="F598" s="1" t="s">
        <v>17</v>
      </c>
      <c r="G598" s="1">
        <v>1.0</v>
      </c>
      <c r="H598" s="1">
        <v>92400.0</v>
      </c>
    </row>
    <row r="599">
      <c r="A599" s="1">
        <v>238.0</v>
      </c>
      <c r="B599" s="1" t="s">
        <v>17</v>
      </c>
      <c r="C599" s="1" t="s">
        <v>761</v>
      </c>
      <c r="D599" s="1" t="s">
        <v>17</v>
      </c>
      <c r="E599" s="1" t="s">
        <v>17</v>
      </c>
      <c r="F599" s="1" t="s">
        <v>17</v>
      </c>
      <c r="G599" s="1">
        <v>1.0</v>
      </c>
      <c r="H599" s="1">
        <v>72000.0</v>
      </c>
    </row>
    <row r="600">
      <c r="A600" s="1">
        <v>238.0</v>
      </c>
      <c r="B600" s="1" t="s">
        <v>17</v>
      </c>
      <c r="C600" s="1" t="s">
        <v>817</v>
      </c>
      <c r="D600" s="1" t="s">
        <v>17</v>
      </c>
      <c r="E600" s="1" t="s">
        <v>17</v>
      </c>
      <c r="F600" s="1" t="s">
        <v>17</v>
      </c>
      <c r="G600" s="1">
        <v>1.0</v>
      </c>
      <c r="H600" s="1">
        <v>0.0</v>
      </c>
    </row>
    <row r="601">
      <c r="A601" s="1">
        <v>238.0</v>
      </c>
      <c r="B601" s="1" t="s">
        <v>601</v>
      </c>
      <c r="C601" s="1" t="s">
        <v>610</v>
      </c>
      <c r="D601" s="1">
        <v>0.75</v>
      </c>
      <c r="E601" s="1">
        <v>-2.75</v>
      </c>
      <c r="F601" s="1">
        <v>10.0</v>
      </c>
      <c r="G601" s="1">
        <v>1.0</v>
      </c>
      <c r="H601" s="1">
        <v>81600.0</v>
      </c>
    </row>
    <row r="602">
      <c r="A602" s="1">
        <v>238.0</v>
      </c>
      <c r="B602" s="1" t="s">
        <v>607</v>
      </c>
      <c r="C602" s="1" t="s">
        <v>610</v>
      </c>
      <c r="D602" s="1">
        <v>1.0</v>
      </c>
      <c r="E602" s="1">
        <v>-3.0</v>
      </c>
      <c r="F602" s="1">
        <v>160.0</v>
      </c>
      <c r="G602" s="1">
        <v>1.0</v>
      </c>
      <c r="H602" s="1">
        <v>0.0</v>
      </c>
    </row>
    <row r="603">
      <c r="A603" s="1">
        <v>238.0</v>
      </c>
      <c r="B603" s="1" t="s">
        <v>601</v>
      </c>
      <c r="C603" s="1" t="s">
        <v>608</v>
      </c>
      <c r="D603" s="1">
        <v>0.75</v>
      </c>
      <c r="E603" s="1">
        <v>-2.75</v>
      </c>
      <c r="F603" s="1">
        <v>10.0</v>
      </c>
      <c r="G603" s="1">
        <v>1.0</v>
      </c>
      <c r="H603" s="1">
        <v>0.0</v>
      </c>
    </row>
    <row r="604">
      <c r="A604" s="1">
        <v>238.0</v>
      </c>
      <c r="B604" s="1" t="s">
        <v>607</v>
      </c>
      <c r="C604" s="1" t="s">
        <v>608</v>
      </c>
      <c r="D604" s="1">
        <v>1.0</v>
      </c>
      <c r="E604" s="1">
        <v>-3.0</v>
      </c>
      <c r="F604" s="1">
        <v>160.0</v>
      </c>
      <c r="G604" s="1">
        <v>1.0</v>
      </c>
      <c r="H604" s="1">
        <v>0.0</v>
      </c>
    </row>
    <row r="605">
      <c r="A605" s="1">
        <v>239.0</v>
      </c>
      <c r="B605" s="1" t="s">
        <v>604</v>
      </c>
      <c r="C605" s="1" t="s">
        <v>614</v>
      </c>
      <c r="D605" s="1" t="s">
        <v>17</v>
      </c>
      <c r="E605" s="1" t="s">
        <v>17</v>
      </c>
      <c r="F605" s="1" t="s">
        <v>17</v>
      </c>
      <c r="G605" s="1">
        <v>1.0</v>
      </c>
      <c r="H605" s="1">
        <v>99000.0</v>
      </c>
    </row>
    <row r="606">
      <c r="A606" s="1">
        <v>240.0</v>
      </c>
      <c r="B606" s="1" t="s">
        <v>17</v>
      </c>
      <c r="C606" s="1" t="s">
        <v>818</v>
      </c>
      <c r="D606" s="1" t="s">
        <v>17</v>
      </c>
      <c r="E606" s="1" t="s">
        <v>17</v>
      </c>
      <c r="F606" s="1" t="s">
        <v>17</v>
      </c>
      <c r="G606" s="1">
        <v>1.0</v>
      </c>
      <c r="H606" s="1">
        <v>121000.0</v>
      </c>
    </row>
    <row r="607">
      <c r="A607" s="1">
        <v>240.0</v>
      </c>
      <c r="B607" s="1" t="s">
        <v>17</v>
      </c>
      <c r="C607" s="1" t="s">
        <v>819</v>
      </c>
      <c r="D607" s="1" t="s">
        <v>17</v>
      </c>
      <c r="E607" s="1" t="s">
        <v>17</v>
      </c>
      <c r="F607" s="1" t="s">
        <v>17</v>
      </c>
      <c r="G607" s="1">
        <v>1.0</v>
      </c>
      <c r="H607" s="1">
        <v>107000.0</v>
      </c>
    </row>
    <row r="608">
      <c r="A608" s="1">
        <v>240.0</v>
      </c>
      <c r="B608" s="1" t="s">
        <v>604</v>
      </c>
      <c r="C608" s="1" t="s">
        <v>611</v>
      </c>
      <c r="D608" s="1">
        <v>1.5</v>
      </c>
      <c r="E608" s="1">
        <v>0.0</v>
      </c>
      <c r="F608" s="1" t="s">
        <v>17</v>
      </c>
      <c r="G608" s="1">
        <v>1.0</v>
      </c>
      <c r="H608" s="1">
        <v>60000.0</v>
      </c>
    </row>
    <row r="609">
      <c r="A609" s="1">
        <v>241.0</v>
      </c>
      <c r="B609" s="1" t="s">
        <v>17</v>
      </c>
      <c r="C609" s="1" t="s">
        <v>616</v>
      </c>
      <c r="D609" s="1">
        <v>0.0</v>
      </c>
      <c r="E609" s="1">
        <v>0.0</v>
      </c>
      <c r="F609" s="1" t="s">
        <v>17</v>
      </c>
      <c r="G609" s="1">
        <v>1.0</v>
      </c>
      <c r="H609" s="1">
        <v>43200.0</v>
      </c>
    </row>
    <row r="610">
      <c r="A610" s="1">
        <v>241.0</v>
      </c>
      <c r="B610" s="1" t="s">
        <v>17</v>
      </c>
      <c r="C610" s="1" t="s">
        <v>616</v>
      </c>
      <c r="D610" s="1">
        <v>0.0</v>
      </c>
      <c r="E610" s="1">
        <v>0.0</v>
      </c>
      <c r="F610" s="1" t="s">
        <v>17</v>
      </c>
      <c r="G610" s="1">
        <v>1.0</v>
      </c>
      <c r="H610" s="1">
        <v>0.0</v>
      </c>
    </row>
    <row r="611">
      <c r="A611" s="1">
        <v>241.0</v>
      </c>
      <c r="B611" s="1" t="s">
        <v>17</v>
      </c>
      <c r="C611" s="1" t="s">
        <v>696</v>
      </c>
      <c r="D611" s="1" t="s">
        <v>17</v>
      </c>
      <c r="E611" s="1" t="s">
        <v>17</v>
      </c>
      <c r="F611" s="1" t="s">
        <v>17</v>
      </c>
      <c r="G611" s="1">
        <v>1.0</v>
      </c>
      <c r="H611" s="1">
        <v>107800.0</v>
      </c>
    </row>
    <row r="612">
      <c r="A612" s="1">
        <v>242.0</v>
      </c>
      <c r="B612" s="1" t="s">
        <v>17</v>
      </c>
      <c r="C612" s="1" t="s">
        <v>820</v>
      </c>
      <c r="D612" s="1" t="s">
        <v>17</v>
      </c>
      <c r="E612" s="1" t="s">
        <v>17</v>
      </c>
      <c r="F612" s="1" t="s">
        <v>17</v>
      </c>
      <c r="G612" s="1">
        <v>1.0</v>
      </c>
      <c r="H612" s="1">
        <v>107800.0</v>
      </c>
    </row>
    <row r="613">
      <c r="A613" s="1">
        <v>242.0</v>
      </c>
      <c r="B613" s="1" t="s">
        <v>601</v>
      </c>
      <c r="C613" s="1" t="s">
        <v>745</v>
      </c>
      <c r="D613" s="1">
        <v>0.25</v>
      </c>
      <c r="E613" s="1">
        <v>1.0</v>
      </c>
      <c r="F613" s="1">
        <v>110.0</v>
      </c>
      <c r="G613" s="1">
        <v>1.0</v>
      </c>
      <c r="H613" s="1">
        <v>151200.0</v>
      </c>
    </row>
    <row r="614">
      <c r="A614" s="1">
        <v>242.0</v>
      </c>
      <c r="B614" s="1" t="s">
        <v>607</v>
      </c>
      <c r="C614" s="1" t="s">
        <v>745</v>
      </c>
      <c r="D614" s="1">
        <v>0.0</v>
      </c>
      <c r="E614" s="1">
        <v>0.0</v>
      </c>
      <c r="F614" s="1">
        <v>55.0</v>
      </c>
      <c r="G614" s="1">
        <v>1.0</v>
      </c>
      <c r="H614" s="1">
        <v>0.0</v>
      </c>
    </row>
    <row r="615">
      <c r="A615" s="1">
        <v>243.0</v>
      </c>
      <c r="B615" s="1" t="s">
        <v>17</v>
      </c>
      <c r="C615" s="1" t="s">
        <v>691</v>
      </c>
      <c r="D615" s="1" t="s">
        <v>17</v>
      </c>
      <c r="E615" s="1" t="s">
        <v>17</v>
      </c>
      <c r="F615" s="1" t="s">
        <v>17</v>
      </c>
      <c r="G615" s="1">
        <v>1.0</v>
      </c>
      <c r="H615" s="1">
        <v>113000.0</v>
      </c>
    </row>
    <row r="616">
      <c r="A616" s="1">
        <v>243.0</v>
      </c>
      <c r="B616" s="1" t="s">
        <v>17</v>
      </c>
      <c r="C616" s="1" t="s">
        <v>736</v>
      </c>
      <c r="D616" s="1" t="s">
        <v>17</v>
      </c>
      <c r="E616" s="1" t="s">
        <v>17</v>
      </c>
      <c r="F616" s="1" t="s">
        <v>17</v>
      </c>
      <c r="G616" s="1">
        <v>1.0</v>
      </c>
      <c r="H616" s="1">
        <v>79000.0</v>
      </c>
    </row>
    <row r="617">
      <c r="A617" s="1">
        <v>243.0</v>
      </c>
      <c r="B617" s="1" t="s">
        <v>601</v>
      </c>
      <c r="C617" s="1" t="s">
        <v>616</v>
      </c>
      <c r="D617" s="1">
        <v>-3.0</v>
      </c>
      <c r="E617" s="1">
        <v>0.0</v>
      </c>
      <c r="F617" s="1" t="s">
        <v>17</v>
      </c>
      <c r="G617" s="1">
        <v>1.0</v>
      </c>
      <c r="H617" s="1">
        <v>54000.0</v>
      </c>
    </row>
    <row r="618">
      <c r="A618" s="1">
        <v>243.0</v>
      </c>
      <c r="B618" s="1" t="s">
        <v>607</v>
      </c>
      <c r="C618" s="1" t="s">
        <v>616</v>
      </c>
      <c r="D618" s="1">
        <v>-2.5</v>
      </c>
      <c r="E618" s="1">
        <v>-0.5</v>
      </c>
      <c r="F618" s="1">
        <v>180.0</v>
      </c>
      <c r="G618" s="1">
        <v>1.0</v>
      </c>
      <c r="H618" s="1">
        <v>0.0</v>
      </c>
    </row>
    <row r="619">
      <c r="A619" s="1">
        <v>244.0</v>
      </c>
      <c r="B619" s="1" t="s">
        <v>601</v>
      </c>
      <c r="C619" s="1" t="s">
        <v>606</v>
      </c>
      <c r="D619" s="1">
        <v>-3.0</v>
      </c>
      <c r="E619" s="1">
        <v>0.0</v>
      </c>
      <c r="F619" s="1" t="s">
        <v>17</v>
      </c>
      <c r="G619" s="1">
        <v>1.0</v>
      </c>
      <c r="H619" s="1">
        <v>25000.0</v>
      </c>
    </row>
    <row r="620">
      <c r="A620" s="1">
        <v>244.0</v>
      </c>
      <c r="B620" s="1" t="s">
        <v>607</v>
      </c>
      <c r="C620" s="1" t="s">
        <v>606</v>
      </c>
      <c r="D620" s="1">
        <v>-2.5</v>
      </c>
      <c r="E620" s="1">
        <v>-0.5</v>
      </c>
      <c r="F620" s="1">
        <v>180.0</v>
      </c>
      <c r="G620" s="1">
        <v>1.0</v>
      </c>
      <c r="H620" s="1">
        <v>0.0</v>
      </c>
    </row>
    <row r="621">
      <c r="A621" s="1">
        <v>245.0</v>
      </c>
      <c r="B621" s="1" t="s">
        <v>17</v>
      </c>
      <c r="C621" s="1" t="s">
        <v>821</v>
      </c>
      <c r="D621" s="1" t="s">
        <v>17</v>
      </c>
      <c r="E621" s="1" t="s">
        <v>17</v>
      </c>
      <c r="F621" s="1" t="s">
        <v>17</v>
      </c>
      <c r="G621" s="1">
        <v>1.0</v>
      </c>
      <c r="H621" s="1">
        <v>140000.0</v>
      </c>
    </row>
    <row r="622">
      <c r="A622" s="1">
        <v>245.0</v>
      </c>
      <c r="B622" s="1" t="s">
        <v>601</v>
      </c>
      <c r="C622" s="1" t="s">
        <v>611</v>
      </c>
      <c r="D622" s="1">
        <v>0.0</v>
      </c>
      <c r="E622" s="1">
        <v>-0.5</v>
      </c>
      <c r="F622" s="1">
        <v>160.0</v>
      </c>
      <c r="G622" s="1">
        <v>1.0</v>
      </c>
      <c r="H622" s="1">
        <v>72000.0</v>
      </c>
    </row>
    <row r="623">
      <c r="A623" s="1">
        <v>245.0</v>
      </c>
      <c r="B623" s="1" t="s">
        <v>607</v>
      </c>
      <c r="C623" s="1" t="s">
        <v>611</v>
      </c>
      <c r="D623" s="1">
        <v>-0.25</v>
      </c>
      <c r="E623" s="1">
        <v>-0.5</v>
      </c>
      <c r="F623" s="1">
        <v>20.0</v>
      </c>
      <c r="G623" s="1">
        <v>1.0</v>
      </c>
      <c r="H623" s="1">
        <v>0.0</v>
      </c>
    </row>
    <row r="624">
      <c r="A624" s="1">
        <v>246.0</v>
      </c>
      <c r="B624" s="1" t="s">
        <v>604</v>
      </c>
      <c r="C624" s="1" t="s">
        <v>659</v>
      </c>
      <c r="D624" s="1" t="s">
        <v>17</v>
      </c>
      <c r="E624" s="1" t="s">
        <v>17</v>
      </c>
      <c r="F624" s="1" t="s">
        <v>17</v>
      </c>
      <c r="G624" s="1">
        <v>1.0</v>
      </c>
      <c r="H624" s="1">
        <v>25000.0</v>
      </c>
    </row>
    <row r="625">
      <c r="A625" s="1">
        <v>246.0</v>
      </c>
      <c r="B625" s="1" t="s">
        <v>604</v>
      </c>
      <c r="C625" s="1" t="s">
        <v>668</v>
      </c>
      <c r="D625" s="1">
        <v>1.5</v>
      </c>
      <c r="E625" s="1">
        <v>0.0</v>
      </c>
      <c r="F625" s="1" t="s">
        <v>17</v>
      </c>
      <c r="G625" s="1">
        <v>1.0</v>
      </c>
      <c r="H625" s="1">
        <v>17000.0</v>
      </c>
    </row>
    <row r="626">
      <c r="A626" s="1">
        <v>247.0</v>
      </c>
      <c r="B626" s="1" t="s">
        <v>17</v>
      </c>
      <c r="C626" s="1" t="s">
        <v>819</v>
      </c>
      <c r="D626" s="1" t="s">
        <v>17</v>
      </c>
      <c r="E626" s="1" t="s">
        <v>17</v>
      </c>
      <c r="F626" s="1" t="s">
        <v>17</v>
      </c>
      <c r="G626" s="1">
        <v>1.0</v>
      </c>
      <c r="H626" s="1">
        <v>107000.0</v>
      </c>
    </row>
    <row r="627">
      <c r="A627" s="1">
        <v>247.0</v>
      </c>
      <c r="B627" s="1" t="s">
        <v>604</v>
      </c>
      <c r="C627" s="1" t="s">
        <v>611</v>
      </c>
      <c r="D627" s="1">
        <v>1.5</v>
      </c>
      <c r="E627" s="1">
        <v>0.0</v>
      </c>
      <c r="F627" s="1" t="s">
        <v>17</v>
      </c>
      <c r="G627" s="1">
        <v>1.0</v>
      </c>
      <c r="H627" s="1">
        <v>60000.0</v>
      </c>
    </row>
    <row r="628">
      <c r="A628" s="1">
        <v>247.0</v>
      </c>
      <c r="B628" s="1" t="s">
        <v>604</v>
      </c>
      <c r="C628" s="1" t="s">
        <v>822</v>
      </c>
      <c r="D628" s="1" t="s">
        <v>17</v>
      </c>
      <c r="E628" s="1" t="s">
        <v>17</v>
      </c>
      <c r="F628" s="1" t="s">
        <v>17</v>
      </c>
      <c r="G628" s="1">
        <v>1.0</v>
      </c>
      <c r="H628" s="1">
        <v>130000.0</v>
      </c>
    </row>
    <row r="629">
      <c r="A629" s="1">
        <v>248.0</v>
      </c>
      <c r="B629" s="1" t="s">
        <v>604</v>
      </c>
      <c r="C629" s="1" t="s">
        <v>823</v>
      </c>
      <c r="D629" s="1" t="s">
        <v>17</v>
      </c>
      <c r="E629" s="1" t="s">
        <v>17</v>
      </c>
      <c r="F629" s="1" t="s">
        <v>17</v>
      </c>
      <c r="G629" s="1">
        <v>1.0</v>
      </c>
      <c r="H629" s="1">
        <v>260000.0</v>
      </c>
    </row>
    <row r="630">
      <c r="A630" s="1">
        <v>249.0</v>
      </c>
      <c r="B630" s="1" t="s">
        <v>17</v>
      </c>
      <c r="C630" s="1" t="s">
        <v>761</v>
      </c>
      <c r="D630" s="1" t="s">
        <v>17</v>
      </c>
      <c r="E630" s="1" t="s">
        <v>17</v>
      </c>
      <c r="F630" s="1" t="s">
        <v>17</v>
      </c>
      <c r="G630" s="1">
        <v>1.0</v>
      </c>
      <c r="H630" s="1">
        <v>60000.0</v>
      </c>
    </row>
    <row r="631">
      <c r="A631" s="1">
        <v>249.0</v>
      </c>
      <c r="B631" s="1" t="s">
        <v>17</v>
      </c>
      <c r="C631" s="1" t="s">
        <v>664</v>
      </c>
      <c r="D631" s="1">
        <v>0.75</v>
      </c>
      <c r="E631" s="1">
        <v>0.0</v>
      </c>
      <c r="F631" s="1" t="s">
        <v>17</v>
      </c>
      <c r="G631" s="1">
        <v>1.0</v>
      </c>
      <c r="H631" s="1">
        <v>139000.0</v>
      </c>
    </row>
    <row r="632">
      <c r="A632" s="1">
        <v>249.0</v>
      </c>
      <c r="B632" s="1" t="s">
        <v>17</v>
      </c>
      <c r="C632" s="1" t="s">
        <v>664</v>
      </c>
      <c r="D632" s="1">
        <v>0.75</v>
      </c>
      <c r="E632" s="1">
        <v>0.0</v>
      </c>
      <c r="F632" s="1" t="s">
        <v>17</v>
      </c>
      <c r="G632" s="1">
        <v>1.0</v>
      </c>
      <c r="H632" s="1">
        <v>0.0</v>
      </c>
    </row>
    <row r="633">
      <c r="A633" s="1">
        <v>250.0</v>
      </c>
      <c r="B633" s="1" t="s">
        <v>17</v>
      </c>
      <c r="C633" s="1" t="s">
        <v>761</v>
      </c>
      <c r="D633" s="1" t="s">
        <v>17</v>
      </c>
      <c r="E633" s="1" t="s">
        <v>17</v>
      </c>
      <c r="F633" s="1" t="s">
        <v>17</v>
      </c>
      <c r="G633" s="1">
        <v>1.0</v>
      </c>
      <c r="H633" s="1">
        <v>60000.0</v>
      </c>
    </row>
    <row r="634">
      <c r="A634" s="1">
        <v>250.0</v>
      </c>
      <c r="B634" s="1" t="s">
        <v>604</v>
      </c>
      <c r="C634" s="1" t="s">
        <v>664</v>
      </c>
      <c r="D634" s="1">
        <v>0.75</v>
      </c>
      <c r="E634" s="1">
        <v>0.0</v>
      </c>
      <c r="F634" s="1" t="s">
        <v>17</v>
      </c>
      <c r="G634" s="1">
        <v>1.0</v>
      </c>
      <c r="H634" s="1">
        <v>139000.0</v>
      </c>
    </row>
    <row r="635">
      <c r="A635" s="1">
        <v>251.0</v>
      </c>
      <c r="B635" s="1" t="s">
        <v>601</v>
      </c>
      <c r="C635" s="1" t="s">
        <v>611</v>
      </c>
      <c r="D635" s="1">
        <v>0.0</v>
      </c>
      <c r="E635" s="1">
        <v>-0.5</v>
      </c>
      <c r="F635" s="1">
        <v>160.0</v>
      </c>
      <c r="G635" s="1">
        <v>1.0</v>
      </c>
      <c r="H635" s="1">
        <v>60000.0</v>
      </c>
    </row>
    <row r="636">
      <c r="A636" s="1">
        <v>251.0</v>
      </c>
      <c r="B636" s="1" t="s">
        <v>607</v>
      </c>
      <c r="C636" s="1" t="s">
        <v>611</v>
      </c>
      <c r="D636" s="1">
        <v>-0.25</v>
      </c>
      <c r="E636" s="1">
        <v>-0.5</v>
      </c>
      <c r="F636" s="1">
        <v>20.0</v>
      </c>
      <c r="G636" s="1">
        <v>1.0</v>
      </c>
      <c r="H636" s="1">
        <v>0.0</v>
      </c>
    </row>
    <row r="637">
      <c r="A637" s="1">
        <v>252.0</v>
      </c>
      <c r="B637" s="1" t="s">
        <v>601</v>
      </c>
      <c r="C637" s="1" t="s">
        <v>668</v>
      </c>
      <c r="D637" s="1">
        <v>3.25</v>
      </c>
      <c r="E637" s="1">
        <v>0.0</v>
      </c>
      <c r="F637" s="1" t="s">
        <v>17</v>
      </c>
      <c r="G637" s="1">
        <v>1.0</v>
      </c>
      <c r="H637" s="1">
        <v>24200.0</v>
      </c>
    </row>
    <row r="638">
      <c r="A638" s="1">
        <v>252.0</v>
      </c>
      <c r="B638" s="1" t="s">
        <v>607</v>
      </c>
      <c r="C638" s="1" t="s">
        <v>668</v>
      </c>
      <c r="D638" s="1">
        <v>3.25</v>
      </c>
      <c r="E638" s="1">
        <v>0.0</v>
      </c>
      <c r="F638" s="1" t="s">
        <v>17</v>
      </c>
      <c r="G638" s="1">
        <v>1.0</v>
      </c>
      <c r="H638" s="1">
        <v>0.0</v>
      </c>
    </row>
    <row r="639">
      <c r="A639" s="1">
        <v>253.0</v>
      </c>
      <c r="B639" s="1" t="s">
        <v>17</v>
      </c>
      <c r="C639" s="1" t="s">
        <v>824</v>
      </c>
      <c r="D639" s="1" t="s">
        <v>17</v>
      </c>
      <c r="E639" s="1" t="s">
        <v>17</v>
      </c>
      <c r="F639" s="1" t="s">
        <v>17</v>
      </c>
      <c r="G639" s="1">
        <v>1.0</v>
      </c>
      <c r="H639" s="1">
        <v>151800.0</v>
      </c>
    </row>
    <row r="640">
      <c r="A640" s="1">
        <v>254.0</v>
      </c>
      <c r="B640" s="1" t="s">
        <v>17</v>
      </c>
      <c r="C640" s="1" t="s">
        <v>743</v>
      </c>
      <c r="D640" s="1" t="s">
        <v>17</v>
      </c>
      <c r="E640" s="1" t="s">
        <v>17</v>
      </c>
      <c r="F640" s="1" t="s">
        <v>17</v>
      </c>
      <c r="G640" s="1">
        <v>1.0</v>
      </c>
      <c r="H640" s="1">
        <v>15000.0</v>
      </c>
    </row>
    <row r="641">
      <c r="A641" s="1">
        <v>255.0</v>
      </c>
      <c r="B641" s="1" t="s">
        <v>17</v>
      </c>
      <c r="C641" s="1" t="s">
        <v>761</v>
      </c>
      <c r="D641" s="1" t="s">
        <v>17</v>
      </c>
      <c r="E641" s="1" t="s">
        <v>17</v>
      </c>
      <c r="F641" s="1" t="s">
        <v>17</v>
      </c>
      <c r="G641" s="1">
        <v>1.0</v>
      </c>
      <c r="H641" s="1">
        <v>98200.0</v>
      </c>
    </row>
    <row r="642">
      <c r="A642" s="1">
        <v>255.0</v>
      </c>
      <c r="B642" s="1" t="s">
        <v>601</v>
      </c>
      <c r="C642" s="1" t="s">
        <v>787</v>
      </c>
      <c r="D642" s="1">
        <v>-4.5</v>
      </c>
      <c r="E642" s="1">
        <v>-2.5</v>
      </c>
      <c r="F642" s="1">
        <v>180.0</v>
      </c>
      <c r="G642" s="1">
        <v>1.0</v>
      </c>
      <c r="H642" s="1">
        <v>91200.0</v>
      </c>
    </row>
    <row r="643">
      <c r="A643" s="1">
        <v>255.0</v>
      </c>
      <c r="B643" s="1" t="s">
        <v>601</v>
      </c>
      <c r="C643" s="1" t="s">
        <v>787</v>
      </c>
      <c r="D643" s="1">
        <v>-4.5</v>
      </c>
      <c r="E643" s="1">
        <v>-2.5</v>
      </c>
      <c r="F643" s="1">
        <v>180.0</v>
      </c>
      <c r="G643" s="1">
        <v>1.0</v>
      </c>
      <c r="H643" s="1">
        <v>0.0</v>
      </c>
    </row>
    <row r="644">
      <c r="A644" s="1">
        <v>256.0</v>
      </c>
      <c r="B644" s="1" t="s">
        <v>604</v>
      </c>
      <c r="C644" s="1" t="s">
        <v>616</v>
      </c>
      <c r="D644" s="1">
        <v>2.0</v>
      </c>
      <c r="E644" s="1">
        <v>0.0</v>
      </c>
      <c r="F644" s="1" t="s">
        <v>17</v>
      </c>
      <c r="G644" s="1">
        <v>1.0</v>
      </c>
      <c r="H644" s="1">
        <v>36000.0</v>
      </c>
    </row>
    <row r="645">
      <c r="A645" s="1">
        <v>257.0</v>
      </c>
      <c r="B645" s="1" t="s">
        <v>17</v>
      </c>
      <c r="C645" s="1" t="s">
        <v>736</v>
      </c>
      <c r="D645" s="1" t="s">
        <v>17</v>
      </c>
      <c r="E645" s="1" t="s">
        <v>17</v>
      </c>
      <c r="F645" s="1" t="s">
        <v>17</v>
      </c>
      <c r="G645" s="1">
        <v>1.0</v>
      </c>
      <c r="H645" s="1">
        <v>0.0</v>
      </c>
    </row>
    <row r="646">
      <c r="A646" s="1">
        <v>258.0</v>
      </c>
      <c r="B646" s="1" t="s">
        <v>601</v>
      </c>
      <c r="C646" s="1" t="s">
        <v>610</v>
      </c>
      <c r="D646" s="1">
        <v>-4.75</v>
      </c>
      <c r="E646" s="1">
        <v>3.5</v>
      </c>
      <c r="F646" s="1">
        <v>100.0</v>
      </c>
      <c r="G646" s="1">
        <v>1.0</v>
      </c>
      <c r="H646" s="1">
        <v>85000.0</v>
      </c>
    </row>
    <row r="647">
      <c r="A647" s="1">
        <v>258.0</v>
      </c>
      <c r="B647" s="1" t="s">
        <v>607</v>
      </c>
      <c r="C647" s="1" t="s">
        <v>610</v>
      </c>
      <c r="D647" s="1">
        <v>-4.25</v>
      </c>
      <c r="E647" s="1">
        <v>3.5</v>
      </c>
      <c r="F647" s="1">
        <v>85.0</v>
      </c>
      <c r="G647" s="1">
        <v>1.0</v>
      </c>
      <c r="H647" s="1">
        <v>0.0</v>
      </c>
    </row>
    <row r="648">
      <c r="A648" s="1">
        <v>258.0</v>
      </c>
      <c r="B648" s="1" t="s">
        <v>601</v>
      </c>
      <c r="C648" s="1" t="s">
        <v>606</v>
      </c>
      <c r="D648" s="1">
        <v>4.75</v>
      </c>
      <c r="E648" s="1">
        <v>3.5</v>
      </c>
      <c r="F648" s="1">
        <v>100.0</v>
      </c>
      <c r="G648" s="1">
        <v>1.0</v>
      </c>
      <c r="H648" s="1">
        <v>76000.0</v>
      </c>
    </row>
    <row r="649">
      <c r="A649" s="1">
        <v>258.0</v>
      </c>
      <c r="B649" s="1" t="s">
        <v>607</v>
      </c>
      <c r="C649" s="1" t="s">
        <v>606</v>
      </c>
      <c r="D649" s="1">
        <v>4.25</v>
      </c>
      <c r="E649" s="1">
        <v>3.5</v>
      </c>
      <c r="F649" s="1">
        <v>85.0</v>
      </c>
      <c r="G649" s="1">
        <v>1.0</v>
      </c>
      <c r="H649" s="1">
        <v>0.0</v>
      </c>
    </row>
    <row r="650">
      <c r="A650" s="1">
        <v>258.0</v>
      </c>
      <c r="B650" s="1" t="s">
        <v>604</v>
      </c>
      <c r="C650" s="1" t="s">
        <v>620</v>
      </c>
      <c r="D650" s="1" t="s">
        <v>17</v>
      </c>
      <c r="E650" s="1" t="s">
        <v>17</v>
      </c>
      <c r="F650" s="1" t="s">
        <v>17</v>
      </c>
      <c r="G650" s="1">
        <v>1.0</v>
      </c>
      <c r="H650" s="1">
        <v>0.0</v>
      </c>
    </row>
    <row r="651">
      <c r="A651" s="1">
        <v>259.0</v>
      </c>
      <c r="B651" s="1" t="s">
        <v>604</v>
      </c>
      <c r="C651" s="1" t="s">
        <v>736</v>
      </c>
      <c r="D651" s="1" t="s">
        <v>17</v>
      </c>
      <c r="E651" s="1" t="s">
        <v>17</v>
      </c>
      <c r="F651" s="1" t="s">
        <v>17</v>
      </c>
      <c r="G651" s="1">
        <v>1.0</v>
      </c>
      <c r="H651" s="1">
        <v>90000.0</v>
      </c>
    </row>
    <row r="652">
      <c r="A652" s="1">
        <v>259.0</v>
      </c>
      <c r="B652" s="1" t="s">
        <v>601</v>
      </c>
      <c r="C652" s="1" t="s">
        <v>608</v>
      </c>
      <c r="D652" s="1">
        <v>0.5</v>
      </c>
      <c r="E652" s="1">
        <v>-1.25</v>
      </c>
      <c r="F652" s="1">
        <v>150.0</v>
      </c>
      <c r="G652" s="1">
        <v>1.0</v>
      </c>
      <c r="H652" s="1">
        <v>75000.0</v>
      </c>
    </row>
    <row r="653">
      <c r="A653" s="1">
        <v>259.0</v>
      </c>
      <c r="B653" s="1" t="s">
        <v>607</v>
      </c>
      <c r="C653" s="1" t="s">
        <v>608</v>
      </c>
      <c r="D653" s="1">
        <v>0.5</v>
      </c>
      <c r="E653" s="1">
        <v>-2.25</v>
      </c>
      <c r="F653" s="1">
        <v>180.0</v>
      </c>
      <c r="G653" s="1">
        <v>1.0</v>
      </c>
      <c r="H653" s="1">
        <v>0.0</v>
      </c>
    </row>
    <row r="654">
      <c r="A654" s="1">
        <v>259.0</v>
      </c>
      <c r="B654" s="1" t="s">
        <v>601</v>
      </c>
      <c r="C654" s="1" t="s">
        <v>680</v>
      </c>
      <c r="D654" s="1">
        <v>0.0</v>
      </c>
      <c r="E654" s="1">
        <v>0.0</v>
      </c>
      <c r="F654" s="1" t="s">
        <v>17</v>
      </c>
      <c r="G654" s="1">
        <v>1.0</v>
      </c>
      <c r="H654" s="1">
        <v>85000.0</v>
      </c>
    </row>
    <row r="655">
      <c r="A655" s="1">
        <v>259.0</v>
      </c>
      <c r="B655" s="1" t="s">
        <v>607</v>
      </c>
      <c r="C655" s="1" t="s">
        <v>680</v>
      </c>
      <c r="D655" s="1">
        <v>0.0</v>
      </c>
      <c r="E655" s="1">
        <v>0.0</v>
      </c>
      <c r="F655" s="1" t="s">
        <v>17</v>
      </c>
      <c r="G655" s="1">
        <v>1.0</v>
      </c>
      <c r="H655" s="1">
        <v>0.0</v>
      </c>
    </row>
    <row r="656">
      <c r="A656" s="1">
        <v>259.0</v>
      </c>
      <c r="B656" s="1" t="s">
        <v>601</v>
      </c>
      <c r="C656" s="1" t="s">
        <v>610</v>
      </c>
      <c r="D656" s="1">
        <v>0.0</v>
      </c>
      <c r="E656" s="1">
        <v>0.0</v>
      </c>
      <c r="F656" s="1" t="s">
        <v>17</v>
      </c>
      <c r="G656" s="1">
        <v>1.0</v>
      </c>
      <c r="H656" s="1">
        <v>60000.0</v>
      </c>
    </row>
    <row r="657">
      <c r="A657" s="1">
        <v>259.0</v>
      </c>
      <c r="B657" s="1" t="s">
        <v>607</v>
      </c>
      <c r="C657" s="1" t="s">
        <v>610</v>
      </c>
      <c r="D657" s="1">
        <v>0.0</v>
      </c>
      <c r="E657" s="1">
        <v>0.0</v>
      </c>
      <c r="F657" s="1" t="s">
        <v>17</v>
      </c>
      <c r="G657" s="1">
        <v>1.0</v>
      </c>
      <c r="H657" s="1">
        <v>0.0</v>
      </c>
    </row>
    <row r="658">
      <c r="A658" s="1">
        <v>260.0</v>
      </c>
      <c r="B658" s="1" t="s">
        <v>604</v>
      </c>
      <c r="C658" s="1" t="s">
        <v>736</v>
      </c>
      <c r="D658" s="1" t="s">
        <v>17</v>
      </c>
      <c r="E658" s="1" t="s">
        <v>17</v>
      </c>
      <c r="F658" s="1" t="s">
        <v>17</v>
      </c>
      <c r="G658" s="1">
        <v>1.0</v>
      </c>
      <c r="H658" s="1">
        <v>90000.0</v>
      </c>
    </row>
    <row r="659">
      <c r="A659" s="1">
        <v>260.0</v>
      </c>
      <c r="B659" s="1" t="s">
        <v>604</v>
      </c>
      <c r="C659" s="1" t="s">
        <v>784</v>
      </c>
      <c r="D659" s="1" t="s">
        <v>17</v>
      </c>
      <c r="E659" s="1" t="s">
        <v>17</v>
      </c>
      <c r="F659" s="1" t="s">
        <v>17</v>
      </c>
      <c r="G659" s="1">
        <v>1.0</v>
      </c>
      <c r="H659" s="1">
        <v>10000.0</v>
      </c>
    </row>
    <row r="660">
      <c r="A660" s="1">
        <v>261.0</v>
      </c>
      <c r="B660" s="1" t="s">
        <v>17</v>
      </c>
      <c r="C660" s="1" t="s">
        <v>761</v>
      </c>
      <c r="D660" s="1" t="s">
        <v>17</v>
      </c>
      <c r="E660" s="1" t="s">
        <v>17</v>
      </c>
      <c r="F660" s="1" t="s">
        <v>17</v>
      </c>
      <c r="G660" s="1">
        <v>1.0</v>
      </c>
      <c r="H660" s="1">
        <v>101000.0</v>
      </c>
    </row>
    <row r="661">
      <c r="A661" s="1">
        <v>261.0</v>
      </c>
      <c r="B661" s="1" t="s">
        <v>601</v>
      </c>
      <c r="C661" s="1" t="s">
        <v>616</v>
      </c>
      <c r="D661" s="1">
        <v>1.75</v>
      </c>
      <c r="E661" s="1">
        <v>-0.75</v>
      </c>
      <c r="F661" s="1">
        <v>110.0</v>
      </c>
      <c r="G661" s="1">
        <v>1.0</v>
      </c>
      <c r="H661" s="1">
        <v>0.0</v>
      </c>
    </row>
    <row r="662">
      <c r="A662" s="1">
        <v>261.0</v>
      </c>
      <c r="B662" s="1" t="s">
        <v>607</v>
      </c>
      <c r="C662" s="1" t="s">
        <v>616</v>
      </c>
      <c r="D662" s="1">
        <v>1.75</v>
      </c>
      <c r="E662" s="1">
        <v>-1.0</v>
      </c>
      <c r="F662" s="1">
        <v>100.0</v>
      </c>
      <c r="G662" s="1">
        <v>1.0</v>
      </c>
      <c r="H662" s="1">
        <v>0.0</v>
      </c>
    </row>
    <row r="663">
      <c r="A663" s="1">
        <v>262.0</v>
      </c>
      <c r="B663" s="1" t="s">
        <v>17</v>
      </c>
      <c r="C663" s="1" t="s">
        <v>761</v>
      </c>
      <c r="D663" s="1" t="s">
        <v>17</v>
      </c>
      <c r="E663" s="1" t="s">
        <v>17</v>
      </c>
      <c r="F663" s="1" t="s">
        <v>17</v>
      </c>
      <c r="G663" s="1">
        <v>1.0</v>
      </c>
      <c r="H663" s="1">
        <v>98200.0</v>
      </c>
    </row>
    <row r="664">
      <c r="A664" s="1">
        <v>262.0</v>
      </c>
      <c r="B664" s="1" t="s">
        <v>601</v>
      </c>
      <c r="C664" s="1" t="s">
        <v>787</v>
      </c>
      <c r="D664" s="1">
        <v>-4.5</v>
      </c>
      <c r="E664" s="1">
        <v>-2.5</v>
      </c>
      <c r="F664" s="1">
        <v>180.0</v>
      </c>
      <c r="G664" s="1">
        <v>1.0</v>
      </c>
      <c r="H664" s="1">
        <v>91200.0</v>
      </c>
    </row>
    <row r="665">
      <c r="A665" s="1">
        <v>262.0</v>
      </c>
      <c r="B665" s="1" t="s">
        <v>607</v>
      </c>
      <c r="C665" s="1" t="s">
        <v>787</v>
      </c>
      <c r="D665" s="1">
        <v>4.5</v>
      </c>
      <c r="E665" s="1">
        <v>-2.5</v>
      </c>
      <c r="F665" s="1">
        <v>180.0</v>
      </c>
      <c r="G665" s="1">
        <v>1.0</v>
      </c>
      <c r="H665" s="1">
        <v>0.0</v>
      </c>
    </row>
    <row r="666">
      <c r="A666" s="1">
        <v>263.0</v>
      </c>
      <c r="B666" s="1" t="s">
        <v>17</v>
      </c>
      <c r="C666" s="1" t="s">
        <v>761</v>
      </c>
      <c r="D666" s="1" t="s">
        <v>17</v>
      </c>
      <c r="E666" s="1" t="s">
        <v>17</v>
      </c>
      <c r="F666" s="1" t="s">
        <v>17</v>
      </c>
      <c r="G666" s="1">
        <v>1.0</v>
      </c>
      <c r="H666" s="1">
        <v>60000.0</v>
      </c>
    </row>
    <row r="667">
      <c r="A667" s="1">
        <v>263.0</v>
      </c>
      <c r="B667" s="1" t="s">
        <v>601</v>
      </c>
      <c r="C667" s="1" t="s">
        <v>702</v>
      </c>
      <c r="D667" s="1">
        <v>0.0</v>
      </c>
      <c r="E667" s="1">
        <v>0.0</v>
      </c>
      <c r="F667" s="1" t="s">
        <v>17</v>
      </c>
      <c r="G667" s="1">
        <v>1.0</v>
      </c>
      <c r="H667" s="1">
        <v>335500.0</v>
      </c>
    </row>
    <row r="668">
      <c r="A668" s="1">
        <v>263.0</v>
      </c>
      <c r="B668" s="1" t="s">
        <v>607</v>
      </c>
      <c r="C668" s="1" t="s">
        <v>702</v>
      </c>
      <c r="D668" s="1">
        <v>0.0</v>
      </c>
      <c r="E668" s="1">
        <v>0.0</v>
      </c>
      <c r="F668" s="1" t="s">
        <v>17</v>
      </c>
      <c r="G668" s="1">
        <v>1.0</v>
      </c>
      <c r="H668" s="1">
        <v>0.0</v>
      </c>
    </row>
    <row r="669">
      <c r="A669" s="1">
        <v>264.0</v>
      </c>
      <c r="B669" s="1" t="s">
        <v>601</v>
      </c>
      <c r="C669" s="1" t="s">
        <v>611</v>
      </c>
      <c r="D669" s="1">
        <v>-2.5</v>
      </c>
      <c r="E669" s="1">
        <v>-0.5</v>
      </c>
      <c r="F669" s="1">
        <v>75.0</v>
      </c>
      <c r="G669" s="1">
        <v>1.0</v>
      </c>
      <c r="H669" s="1">
        <v>72000.0</v>
      </c>
    </row>
    <row r="670">
      <c r="A670" s="1">
        <v>264.0</v>
      </c>
      <c r="B670" s="1" t="s">
        <v>607</v>
      </c>
      <c r="C670" s="1" t="s">
        <v>611</v>
      </c>
      <c r="D670" s="1">
        <v>-2.75</v>
      </c>
      <c r="E670" s="1">
        <v>-0.5</v>
      </c>
      <c r="F670" s="1">
        <v>90.0</v>
      </c>
      <c r="G670" s="1">
        <v>1.0</v>
      </c>
      <c r="H670" s="1">
        <v>0.0</v>
      </c>
    </row>
    <row r="671">
      <c r="A671" s="1">
        <v>265.0</v>
      </c>
      <c r="B671" s="1" t="s">
        <v>17</v>
      </c>
      <c r="C671" s="1" t="s">
        <v>825</v>
      </c>
      <c r="D671" s="1" t="s">
        <v>17</v>
      </c>
      <c r="E671" s="1" t="s">
        <v>17</v>
      </c>
      <c r="F671" s="1" t="s">
        <v>17</v>
      </c>
      <c r="G671" s="1">
        <v>1.0</v>
      </c>
      <c r="H671" s="1">
        <v>11000.0</v>
      </c>
    </row>
    <row r="672">
      <c r="A672" s="1">
        <v>266.0</v>
      </c>
      <c r="B672" s="1" t="s">
        <v>17</v>
      </c>
      <c r="C672" s="1" t="s">
        <v>826</v>
      </c>
      <c r="D672" s="1" t="s">
        <v>17</v>
      </c>
      <c r="E672" s="1" t="s">
        <v>17</v>
      </c>
      <c r="F672" s="1" t="s">
        <v>17</v>
      </c>
      <c r="G672" s="1">
        <v>1.0</v>
      </c>
      <c r="H672" s="1">
        <v>152000.0</v>
      </c>
    </row>
    <row r="673">
      <c r="A673" s="1">
        <v>267.0</v>
      </c>
      <c r="B673" s="1" t="s">
        <v>17</v>
      </c>
      <c r="C673" s="1" t="s">
        <v>668</v>
      </c>
      <c r="D673" s="1">
        <v>1.75</v>
      </c>
      <c r="E673" s="1">
        <v>0.25</v>
      </c>
      <c r="F673" s="1" t="s">
        <v>17</v>
      </c>
      <c r="G673" s="1">
        <v>1.0</v>
      </c>
      <c r="H673" s="1">
        <v>36000.0</v>
      </c>
    </row>
    <row r="674">
      <c r="A674" s="1">
        <v>267.0</v>
      </c>
      <c r="B674" s="1" t="s">
        <v>17</v>
      </c>
      <c r="C674" s="1" t="s">
        <v>668</v>
      </c>
      <c r="D674" s="1">
        <v>2.0</v>
      </c>
      <c r="E674" s="1">
        <v>0.5</v>
      </c>
      <c r="F674" s="1" t="s">
        <v>17</v>
      </c>
      <c r="G674" s="1">
        <v>1.0</v>
      </c>
      <c r="H674" s="1">
        <v>0.0</v>
      </c>
    </row>
    <row r="675">
      <c r="A675" s="1">
        <v>268.0</v>
      </c>
      <c r="B675" s="1" t="s">
        <v>604</v>
      </c>
      <c r="C675" s="1" t="s">
        <v>708</v>
      </c>
      <c r="D675" s="1">
        <v>0.0</v>
      </c>
      <c r="E675" s="1">
        <v>0.0</v>
      </c>
      <c r="F675" s="1" t="s">
        <v>17</v>
      </c>
      <c r="G675" s="1">
        <v>1.0</v>
      </c>
      <c r="H675" s="1">
        <v>42000.0</v>
      </c>
    </row>
    <row r="676">
      <c r="A676" s="1">
        <v>269.0</v>
      </c>
      <c r="B676" s="1" t="s">
        <v>17</v>
      </c>
      <c r="C676" s="1" t="s">
        <v>761</v>
      </c>
      <c r="D676" s="1" t="s">
        <v>17</v>
      </c>
      <c r="E676" s="1" t="s">
        <v>17</v>
      </c>
      <c r="F676" s="1" t="s">
        <v>17</v>
      </c>
      <c r="G676" s="1">
        <v>1.0</v>
      </c>
      <c r="H676" s="1">
        <v>72000.0</v>
      </c>
    </row>
    <row r="677">
      <c r="A677" s="1">
        <v>269.0</v>
      </c>
      <c r="B677" s="1" t="s">
        <v>601</v>
      </c>
      <c r="C677" s="1" t="s">
        <v>610</v>
      </c>
      <c r="D677" s="1">
        <v>-0.25</v>
      </c>
      <c r="E677" s="1">
        <v>-2.0</v>
      </c>
      <c r="F677" s="1">
        <v>0.0</v>
      </c>
      <c r="G677" s="1">
        <v>1.0</v>
      </c>
      <c r="H677" s="1">
        <v>105000.0</v>
      </c>
    </row>
    <row r="678">
      <c r="A678" s="1">
        <v>269.0</v>
      </c>
      <c r="B678" s="1" t="s">
        <v>601</v>
      </c>
      <c r="C678" s="1" t="s">
        <v>610</v>
      </c>
      <c r="D678" s="1">
        <v>-0.25</v>
      </c>
      <c r="E678" s="1">
        <v>-2.25</v>
      </c>
      <c r="F678" s="1">
        <v>175.0</v>
      </c>
      <c r="G678" s="1">
        <v>1.0</v>
      </c>
      <c r="H678" s="1">
        <v>0.0</v>
      </c>
    </row>
    <row r="679">
      <c r="A679" s="1">
        <v>270.0</v>
      </c>
      <c r="B679" s="1" t="s">
        <v>604</v>
      </c>
      <c r="C679" s="1" t="s">
        <v>827</v>
      </c>
      <c r="D679" s="1">
        <v>-4.0</v>
      </c>
      <c r="E679" s="1" t="s">
        <v>17</v>
      </c>
      <c r="F679" s="1" t="s">
        <v>17</v>
      </c>
      <c r="G679" s="1">
        <v>1.0</v>
      </c>
      <c r="H679" s="1">
        <v>98000.0</v>
      </c>
    </row>
    <row r="680">
      <c r="A680" s="1">
        <v>271.0</v>
      </c>
      <c r="B680" s="1" t="s">
        <v>604</v>
      </c>
      <c r="C680" s="1" t="s">
        <v>828</v>
      </c>
      <c r="D680" s="1" t="s">
        <v>17</v>
      </c>
      <c r="E680" s="1" t="s">
        <v>17</v>
      </c>
      <c r="F680" s="1" t="s">
        <v>17</v>
      </c>
      <c r="G680" s="1">
        <v>1.0</v>
      </c>
      <c r="H680" s="1">
        <v>145200.0</v>
      </c>
    </row>
    <row r="681">
      <c r="A681" s="1">
        <v>272.0</v>
      </c>
      <c r="B681" s="1" t="s">
        <v>601</v>
      </c>
      <c r="C681" s="1" t="s">
        <v>611</v>
      </c>
      <c r="D681" s="1">
        <v>-2.0</v>
      </c>
      <c r="E681" s="1">
        <v>0.0</v>
      </c>
      <c r="F681" s="1" t="s">
        <v>17</v>
      </c>
      <c r="G681" s="1">
        <v>1.0</v>
      </c>
      <c r="H681" s="1">
        <v>30000.0</v>
      </c>
    </row>
    <row r="682">
      <c r="A682" s="1">
        <v>272.0</v>
      </c>
      <c r="B682" s="1" t="s">
        <v>607</v>
      </c>
      <c r="C682" s="1" t="s">
        <v>611</v>
      </c>
      <c r="D682" s="1">
        <v>-2.0</v>
      </c>
      <c r="E682" s="1">
        <v>0.0</v>
      </c>
      <c r="F682" s="1" t="s">
        <v>17</v>
      </c>
      <c r="G682" s="1">
        <v>1.0</v>
      </c>
      <c r="H682" s="1">
        <v>0.0</v>
      </c>
    </row>
    <row r="683">
      <c r="A683" s="1">
        <v>273.0</v>
      </c>
      <c r="B683" s="1" t="s">
        <v>604</v>
      </c>
      <c r="C683" s="1" t="s">
        <v>736</v>
      </c>
      <c r="D683" s="1" t="s">
        <v>17</v>
      </c>
      <c r="E683" s="1" t="s">
        <v>17</v>
      </c>
      <c r="F683" s="1" t="s">
        <v>17</v>
      </c>
      <c r="G683" s="1">
        <v>1.0</v>
      </c>
      <c r="H683" s="1">
        <v>75000.0</v>
      </c>
    </row>
    <row r="684">
      <c r="A684" s="1">
        <v>273.0</v>
      </c>
      <c r="B684" s="1" t="s">
        <v>601</v>
      </c>
      <c r="C684" s="1" t="s">
        <v>616</v>
      </c>
      <c r="D684" s="1">
        <v>1.0</v>
      </c>
      <c r="E684" s="1">
        <v>0.0</v>
      </c>
      <c r="F684" s="1" t="s">
        <v>17</v>
      </c>
      <c r="G684" s="1">
        <v>1.0</v>
      </c>
      <c r="H684" s="1">
        <v>36000.0</v>
      </c>
    </row>
    <row r="685">
      <c r="A685" s="1">
        <v>273.0</v>
      </c>
      <c r="B685" s="1" t="s">
        <v>607</v>
      </c>
      <c r="C685" s="1" t="s">
        <v>616</v>
      </c>
      <c r="D685" s="1">
        <v>1.0</v>
      </c>
      <c r="E685" s="1">
        <v>0.0</v>
      </c>
      <c r="F685" s="1" t="s">
        <v>17</v>
      </c>
      <c r="G685" s="1">
        <v>1.0</v>
      </c>
      <c r="H685" s="1">
        <v>0.0</v>
      </c>
    </row>
    <row r="686">
      <c r="A686" s="1">
        <v>274.0</v>
      </c>
      <c r="B686" s="1" t="s">
        <v>17</v>
      </c>
      <c r="C686" s="1" t="s">
        <v>829</v>
      </c>
      <c r="D686" s="1">
        <v>0.0</v>
      </c>
      <c r="E686" s="1">
        <v>0.0</v>
      </c>
      <c r="F686" s="1" t="s">
        <v>17</v>
      </c>
      <c r="G686" s="1">
        <v>1.0</v>
      </c>
      <c r="H686" s="1">
        <v>0.0</v>
      </c>
    </row>
    <row r="687">
      <c r="A687" s="1">
        <v>275.0</v>
      </c>
      <c r="B687" s="1" t="s">
        <v>17</v>
      </c>
      <c r="C687" s="1" t="s">
        <v>830</v>
      </c>
      <c r="D687" s="1" t="s">
        <v>17</v>
      </c>
      <c r="E687" s="1" t="s">
        <v>17</v>
      </c>
      <c r="F687" s="1" t="s">
        <v>17</v>
      </c>
      <c r="G687" s="1">
        <v>1.0</v>
      </c>
      <c r="H687" s="1">
        <v>127000.0</v>
      </c>
    </row>
    <row r="688">
      <c r="A688" s="1">
        <v>275.0</v>
      </c>
      <c r="B688" s="1" t="s">
        <v>17</v>
      </c>
      <c r="C688" s="1" t="s">
        <v>770</v>
      </c>
      <c r="D688" s="1" t="s">
        <v>17</v>
      </c>
      <c r="E688" s="1" t="s">
        <v>17</v>
      </c>
      <c r="F688" s="1" t="s">
        <v>17</v>
      </c>
      <c r="G688" s="1">
        <v>1.0</v>
      </c>
      <c r="H688" s="1">
        <v>200000.0</v>
      </c>
    </row>
    <row r="689">
      <c r="A689" s="1">
        <v>275.0</v>
      </c>
      <c r="B689" s="1" t="s">
        <v>601</v>
      </c>
      <c r="C689" s="1" t="s">
        <v>606</v>
      </c>
      <c r="D689" s="1">
        <v>-1.0</v>
      </c>
      <c r="E689" s="1">
        <v>0.0</v>
      </c>
      <c r="F689" s="1" t="s">
        <v>17</v>
      </c>
      <c r="G689" s="1">
        <v>1.0</v>
      </c>
      <c r="H689" s="1">
        <v>59000.0</v>
      </c>
    </row>
    <row r="690">
      <c r="A690" s="1">
        <v>275.0</v>
      </c>
      <c r="B690" s="1" t="s">
        <v>607</v>
      </c>
      <c r="C690" s="1" t="s">
        <v>606</v>
      </c>
      <c r="D690" s="1">
        <v>-1.5</v>
      </c>
      <c r="E690" s="1">
        <v>0.0</v>
      </c>
      <c r="F690" s="1" t="s">
        <v>17</v>
      </c>
      <c r="G690" s="1">
        <v>1.0</v>
      </c>
      <c r="H690" s="1">
        <v>0.0</v>
      </c>
    </row>
    <row r="691">
      <c r="A691" s="1">
        <v>275.0</v>
      </c>
      <c r="B691" s="1" t="s">
        <v>17</v>
      </c>
      <c r="C691" s="1" t="s">
        <v>611</v>
      </c>
      <c r="D691" s="1">
        <v>0.0</v>
      </c>
      <c r="E691" s="1">
        <v>0.0</v>
      </c>
      <c r="F691" s="1" t="s">
        <v>17</v>
      </c>
      <c r="G691" s="1">
        <v>1.0</v>
      </c>
      <c r="H691" s="1">
        <v>72000.0</v>
      </c>
    </row>
    <row r="692">
      <c r="A692" s="1">
        <v>275.0</v>
      </c>
      <c r="B692" s="1" t="s">
        <v>17</v>
      </c>
      <c r="C692" s="1" t="s">
        <v>611</v>
      </c>
      <c r="D692" s="1">
        <v>0.0</v>
      </c>
      <c r="E692" s="1">
        <v>0.0</v>
      </c>
      <c r="F692" s="1" t="s">
        <v>17</v>
      </c>
      <c r="G692" s="1">
        <v>1.0</v>
      </c>
      <c r="H692" s="1">
        <v>0.0</v>
      </c>
    </row>
    <row r="693">
      <c r="A693" s="1">
        <v>275.0</v>
      </c>
      <c r="B693" s="1" t="s">
        <v>17</v>
      </c>
      <c r="C693" s="1" t="s">
        <v>620</v>
      </c>
      <c r="D693" s="1" t="s">
        <v>17</v>
      </c>
      <c r="E693" s="1" t="s">
        <v>17</v>
      </c>
      <c r="F693" s="1" t="s">
        <v>17</v>
      </c>
      <c r="G693" s="1">
        <v>1.0</v>
      </c>
      <c r="H693" s="1">
        <v>0.0</v>
      </c>
    </row>
    <row r="694">
      <c r="A694" s="1">
        <v>276.0</v>
      </c>
      <c r="B694" s="1" t="s">
        <v>17</v>
      </c>
      <c r="C694" s="1" t="s">
        <v>761</v>
      </c>
      <c r="D694" s="1" t="s">
        <v>17</v>
      </c>
      <c r="E694" s="1" t="s">
        <v>17</v>
      </c>
      <c r="F694" s="1" t="s">
        <v>17</v>
      </c>
      <c r="G694" s="1">
        <v>1.0</v>
      </c>
      <c r="H694" s="1">
        <v>90000.0</v>
      </c>
    </row>
    <row r="695">
      <c r="A695" s="1">
        <v>276.0</v>
      </c>
      <c r="B695" s="1" t="s">
        <v>17</v>
      </c>
      <c r="C695" s="1" t="s">
        <v>761</v>
      </c>
      <c r="D695" s="1" t="s">
        <v>17</v>
      </c>
      <c r="E695" s="1" t="s">
        <v>17</v>
      </c>
      <c r="F695" s="1" t="s">
        <v>17</v>
      </c>
      <c r="G695" s="1">
        <v>1.0</v>
      </c>
      <c r="H695" s="1">
        <v>90000.0</v>
      </c>
    </row>
    <row r="696">
      <c r="A696" s="1">
        <v>276.0</v>
      </c>
      <c r="B696" s="1" t="s">
        <v>17</v>
      </c>
      <c r="C696" s="1" t="s">
        <v>616</v>
      </c>
      <c r="D696" s="1">
        <v>0.75</v>
      </c>
      <c r="E696" s="1">
        <v>0.0</v>
      </c>
      <c r="F696" s="1" t="s">
        <v>17</v>
      </c>
      <c r="G696" s="1">
        <v>1.0</v>
      </c>
      <c r="H696" s="1">
        <v>60000.0</v>
      </c>
    </row>
    <row r="697">
      <c r="A697" s="1">
        <v>276.0</v>
      </c>
      <c r="B697" s="1" t="s">
        <v>17</v>
      </c>
      <c r="C697" s="1" t="s">
        <v>616</v>
      </c>
      <c r="D697" s="1">
        <v>1.25</v>
      </c>
      <c r="E697" s="1">
        <v>0.0</v>
      </c>
      <c r="F697" s="1" t="s">
        <v>17</v>
      </c>
      <c r="G697" s="1">
        <v>1.0</v>
      </c>
      <c r="H697" s="1">
        <v>0.0</v>
      </c>
    </row>
    <row r="698">
      <c r="A698" s="1">
        <v>276.0</v>
      </c>
      <c r="B698" s="1" t="s">
        <v>17</v>
      </c>
      <c r="C698" s="1" t="s">
        <v>664</v>
      </c>
      <c r="D698" s="1">
        <v>1.5</v>
      </c>
      <c r="E698" s="1">
        <v>2.75</v>
      </c>
      <c r="F698" s="1" t="s">
        <v>17</v>
      </c>
      <c r="G698" s="1">
        <v>1.0</v>
      </c>
      <c r="H698" s="1">
        <v>170000.0</v>
      </c>
    </row>
    <row r="699">
      <c r="A699" s="1">
        <v>276.0</v>
      </c>
      <c r="B699" s="1" t="s">
        <v>17</v>
      </c>
      <c r="C699" s="1" t="s">
        <v>664</v>
      </c>
      <c r="D699" s="1">
        <v>1.5</v>
      </c>
      <c r="E699" s="1">
        <v>3.25</v>
      </c>
      <c r="F699" s="1" t="s">
        <v>17</v>
      </c>
      <c r="G699" s="1">
        <v>1.0</v>
      </c>
      <c r="H699" s="1">
        <v>0.0</v>
      </c>
    </row>
    <row r="700">
      <c r="A700" s="1">
        <v>277.0</v>
      </c>
      <c r="B700" s="1" t="s">
        <v>17</v>
      </c>
      <c r="C700" s="1" t="s">
        <v>831</v>
      </c>
      <c r="D700" s="1" t="s">
        <v>17</v>
      </c>
      <c r="E700" s="1" t="s">
        <v>17</v>
      </c>
      <c r="F700" s="1" t="s">
        <v>17</v>
      </c>
      <c r="G700" s="1">
        <v>1.0</v>
      </c>
      <c r="H700" s="1">
        <v>200000.0</v>
      </c>
    </row>
    <row r="701">
      <c r="A701" s="1">
        <v>277.0</v>
      </c>
      <c r="B701" s="1" t="s">
        <v>601</v>
      </c>
      <c r="C701" s="1" t="s">
        <v>611</v>
      </c>
      <c r="D701" s="1">
        <v>-1.0</v>
      </c>
      <c r="E701" s="1">
        <v>0.0</v>
      </c>
      <c r="F701" s="1" t="s">
        <v>17</v>
      </c>
      <c r="G701" s="1">
        <v>1.0</v>
      </c>
      <c r="H701" s="1">
        <v>72000.0</v>
      </c>
    </row>
    <row r="702">
      <c r="A702" s="1">
        <v>277.0</v>
      </c>
      <c r="B702" s="1" t="s">
        <v>607</v>
      </c>
      <c r="C702" s="1" t="s">
        <v>611</v>
      </c>
      <c r="D702" s="1">
        <v>-1.5</v>
      </c>
      <c r="E702" s="1">
        <v>0.0</v>
      </c>
      <c r="F702" s="1" t="s">
        <v>17</v>
      </c>
      <c r="G702" s="1">
        <v>1.0</v>
      </c>
      <c r="H702" s="1">
        <v>0.0</v>
      </c>
    </row>
    <row r="703">
      <c r="A703" s="1">
        <v>277.0</v>
      </c>
      <c r="B703" s="1" t="s">
        <v>17</v>
      </c>
      <c r="C703" s="1" t="s">
        <v>830</v>
      </c>
      <c r="D703" s="1" t="s">
        <v>17</v>
      </c>
      <c r="E703" s="1" t="s">
        <v>17</v>
      </c>
      <c r="F703" s="1" t="s">
        <v>17</v>
      </c>
      <c r="G703" s="1">
        <v>1.0</v>
      </c>
      <c r="H703" s="1">
        <v>127000.0</v>
      </c>
    </row>
    <row r="704">
      <c r="A704" s="1">
        <v>277.0</v>
      </c>
      <c r="B704" s="1" t="s">
        <v>17</v>
      </c>
      <c r="C704" s="1" t="s">
        <v>606</v>
      </c>
      <c r="D704" s="1">
        <v>-1.0</v>
      </c>
      <c r="E704" s="1">
        <v>0.0</v>
      </c>
      <c r="F704" s="1" t="s">
        <v>17</v>
      </c>
      <c r="G704" s="1">
        <v>1.0</v>
      </c>
      <c r="H704" s="1">
        <v>59000.0</v>
      </c>
    </row>
    <row r="705">
      <c r="A705" s="1">
        <v>277.0</v>
      </c>
      <c r="B705" s="1" t="s">
        <v>17</v>
      </c>
      <c r="C705" s="1" t="s">
        <v>606</v>
      </c>
      <c r="D705" s="1">
        <v>-1.5</v>
      </c>
      <c r="E705" s="1">
        <v>0.0</v>
      </c>
      <c r="F705" s="1" t="s">
        <v>17</v>
      </c>
      <c r="G705" s="1">
        <v>1.0</v>
      </c>
      <c r="H705" s="1">
        <v>0.0</v>
      </c>
    </row>
    <row r="706">
      <c r="A706" s="1">
        <v>277.0</v>
      </c>
      <c r="B706" s="1" t="s">
        <v>17</v>
      </c>
      <c r="C706" s="1" t="s">
        <v>620</v>
      </c>
      <c r="D706" s="1" t="s">
        <v>17</v>
      </c>
      <c r="E706" s="1" t="s">
        <v>17</v>
      </c>
      <c r="F706" s="1" t="s">
        <v>17</v>
      </c>
      <c r="G706" s="1">
        <v>1.0</v>
      </c>
      <c r="H706" s="1">
        <v>0.0</v>
      </c>
    </row>
    <row r="707">
      <c r="A707" s="1">
        <v>277.0</v>
      </c>
      <c r="B707" s="1" t="s">
        <v>17</v>
      </c>
      <c r="C707" s="1" t="s">
        <v>832</v>
      </c>
      <c r="D707" s="1" t="s">
        <v>17</v>
      </c>
      <c r="E707" s="1" t="s">
        <v>17</v>
      </c>
      <c r="F707" s="1" t="s">
        <v>17</v>
      </c>
      <c r="G707" s="1">
        <v>1.0</v>
      </c>
      <c r="H707" s="1">
        <v>0.0</v>
      </c>
    </row>
    <row r="708">
      <c r="A708" s="1">
        <v>278.0</v>
      </c>
      <c r="B708" s="1" t="s">
        <v>17</v>
      </c>
      <c r="C708" s="1" t="s">
        <v>736</v>
      </c>
      <c r="D708" s="1" t="s">
        <v>17</v>
      </c>
      <c r="E708" s="1" t="s">
        <v>17</v>
      </c>
      <c r="F708" s="1" t="s">
        <v>17</v>
      </c>
      <c r="G708" s="1">
        <v>1.0</v>
      </c>
      <c r="H708" s="1">
        <v>96200.0</v>
      </c>
    </row>
    <row r="709">
      <c r="A709" s="1">
        <v>278.0</v>
      </c>
      <c r="B709" s="1" t="s">
        <v>601</v>
      </c>
      <c r="C709" s="1" t="s">
        <v>611</v>
      </c>
      <c r="D709" s="1">
        <v>0.5</v>
      </c>
      <c r="E709" s="1">
        <v>0.0</v>
      </c>
      <c r="F709" s="1" t="s">
        <v>17</v>
      </c>
      <c r="G709" s="1">
        <v>2.0</v>
      </c>
      <c r="H709" s="1">
        <v>93000.0</v>
      </c>
    </row>
    <row r="710">
      <c r="A710" s="1">
        <v>278.0</v>
      </c>
      <c r="B710" s="1" t="s">
        <v>607</v>
      </c>
      <c r="C710" s="1" t="s">
        <v>611</v>
      </c>
      <c r="D710" s="1">
        <v>0.5</v>
      </c>
      <c r="E710" s="1">
        <v>0.0</v>
      </c>
      <c r="F710" s="1" t="s">
        <v>17</v>
      </c>
      <c r="G710" s="1">
        <v>2.0</v>
      </c>
      <c r="H710" s="1">
        <v>0.0</v>
      </c>
    </row>
    <row r="711">
      <c r="A711" s="1">
        <v>278.0</v>
      </c>
      <c r="B711" s="1" t="s">
        <v>601</v>
      </c>
      <c r="C711" s="1" t="s">
        <v>616</v>
      </c>
      <c r="D711" s="1">
        <v>2.5</v>
      </c>
      <c r="E711" s="1">
        <v>0.0</v>
      </c>
      <c r="F711" s="1" t="s">
        <v>17</v>
      </c>
      <c r="G711" s="1">
        <v>1.0</v>
      </c>
      <c r="H711" s="1">
        <v>43000.0</v>
      </c>
    </row>
    <row r="712">
      <c r="A712" s="1">
        <v>278.0</v>
      </c>
      <c r="B712" s="1" t="s">
        <v>607</v>
      </c>
      <c r="C712" s="1" t="s">
        <v>616</v>
      </c>
      <c r="D712" s="1">
        <v>2.5</v>
      </c>
      <c r="E712" s="1">
        <v>0.0</v>
      </c>
      <c r="F712" s="1" t="s">
        <v>17</v>
      </c>
      <c r="G712" s="1">
        <v>1.0</v>
      </c>
      <c r="H712" s="1">
        <v>0.0</v>
      </c>
    </row>
    <row r="713">
      <c r="A713" s="1">
        <v>279.0</v>
      </c>
      <c r="B713" s="1" t="s">
        <v>601</v>
      </c>
      <c r="C713" s="1" t="s">
        <v>833</v>
      </c>
      <c r="D713" s="1">
        <v>1.75</v>
      </c>
      <c r="E713" s="1">
        <v>2.0</v>
      </c>
      <c r="F713" s="1">
        <v>130.0</v>
      </c>
      <c r="G713" s="1">
        <v>1.0</v>
      </c>
      <c r="H713" s="1">
        <v>160000.0</v>
      </c>
    </row>
    <row r="714">
      <c r="A714" s="1">
        <v>279.0</v>
      </c>
      <c r="B714" s="1" t="s">
        <v>607</v>
      </c>
      <c r="C714" s="1" t="s">
        <v>833</v>
      </c>
      <c r="D714" s="1">
        <v>1.75</v>
      </c>
      <c r="E714" s="1">
        <v>0.0</v>
      </c>
      <c r="F714" s="1" t="s">
        <v>17</v>
      </c>
      <c r="G714" s="1">
        <v>1.0</v>
      </c>
      <c r="H714" s="1">
        <v>0.0</v>
      </c>
    </row>
    <row r="715">
      <c r="A715" s="1">
        <v>279.0</v>
      </c>
      <c r="B715" s="1" t="s">
        <v>17</v>
      </c>
      <c r="C715" s="1" t="s">
        <v>736</v>
      </c>
      <c r="D715" s="1" t="s">
        <v>17</v>
      </c>
      <c r="E715" s="1" t="s">
        <v>17</v>
      </c>
      <c r="F715" s="1" t="s">
        <v>17</v>
      </c>
      <c r="G715" s="1">
        <v>1.0</v>
      </c>
      <c r="H715" s="1">
        <v>80000.0</v>
      </c>
    </row>
    <row r="716">
      <c r="A716" s="1">
        <v>280.0</v>
      </c>
      <c r="B716" s="1" t="s">
        <v>17</v>
      </c>
      <c r="C716" s="1" t="s">
        <v>834</v>
      </c>
      <c r="D716" s="1" t="s">
        <v>17</v>
      </c>
      <c r="E716" s="1" t="s">
        <v>17</v>
      </c>
      <c r="F716" s="1" t="s">
        <v>17</v>
      </c>
      <c r="G716" s="1">
        <v>1.0</v>
      </c>
      <c r="H716" s="1">
        <v>118000.0</v>
      </c>
    </row>
    <row r="717">
      <c r="A717" s="1">
        <v>280.0</v>
      </c>
      <c r="B717" s="1" t="s">
        <v>601</v>
      </c>
      <c r="C717" s="1" t="s">
        <v>668</v>
      </c>
      <c r="D717" s="1">
        <v>2.0</v>
      </c>
      <c r="E717" s="1">
        <v>0.0</v>
      </c>
      <c r="F717" s="1" t="s">
        <v>17</v>
      </c>
      <c r="G717" s="1">
        <v>1.0</v>
      </c>
      <c r="H717" s="1">
        <v>27300.0</v>
      </c>
    </row>
    <row r="718">
      <c r="A718" s="1">
        <v>280.0</v>
      </c>
      <c r="B718" s="1" t="s">
        <v>607</v>
      </c>
      <c r="C718" s="1" t="s">
        <v>668</v>
      </c>
      <c r="D718" s="1">
        <v>2.0</v>
      </c>
      <c r="E718" s="1">
        <v>0.0</v>
      </c>
      <c r="F718" s="1" t="s">
        <v>17</v>
      </c>
      <c r="G718" s="1">
        <v>1.0</v>
      </c>
      <c r="H718" s="1">
        <v>0.0</v>
      </c>
    </row>
    <row r="719">
      <c r="A719" s="1">
        <v>281.0</v>
      </c>
      <c r="B719" s="1" t="s">
        <v>17</v>
      </c>
      <c r="C719" s="1" t="s">
        <v>761</v>
      </c>
      <c r="D719" s="1" t="s">
        <v>17</v>
      </c>
      <c r="E719" s="1" t="s">
        <v>17</v>
      </c>
      <c r="F719" s="1" t="s">
        <v>17</v>
      </c>
      <c r="G719" s="1">
        <v>1.0</v>
      </c>
      <c r="H719" s="1">
        <v>75000.0</v>
      </c>
    </row>
    <row r="720">
      <c r="A720" s="1">
        <v>281.0</v>
      </c>
      <c r="B720" s="1" t="s">
        <v>17</v>
      </c>
      <c r="C720" s="1" t="s">
        <v>616</v>
      </c>
      <c r="D720" s="1">
        <v>0.0</v>
      </c>
      <c r="E720" s="1">
        <v>0.0</v>
      </c>
      <c r="F720" s="1" t="s">
        <v>17</v>
      </c>
      <c r="G720" s="1">
        <v>1.0</v>
      </c>
      <c r="H720" s="1">
        <v>36000.0</v>
      </c>
    </row>
    <row r="721">
      <c r="A721" s="1">
        <v>281.0</v>
      </c>
      <c r="B721" s="1" t="s">
        <v>17</v>
      </c>
      <c r="C721" s="1" t="s">
        <v>616</v>
      </c>
      <c r="D721" s="1">
        <v>0.0</v>
      </c>
      <c r="E721" s="1">
        <v>0.0</v>
      </c>
      <c r="F721" s="1" t="s">
        <v>17</v>
      </c>
      <c r="G721" s="1">
        <v>1.0</v>
      </c>
      <c r="H721" s="1">
        <v>0.0</v>
      </c>
    </row>
    <row r="722">
      <c r="A722" s="1">
        <v>282.0</v>
      </c>
      <c r="B722" s="1" t="s">
        <v>17</v>
      </c>
      <c r="C722" s="1" t="s">
        <v>835</v>
      </c>
      <c r="D722" s="1">
        <v>0.0</v>
      </c>
      <c r="E722" s="1">
        <v>0.0</v>
      </c>
      <c r="F722" s="1" t="s">
        <v>17</v>
      </c>
      <c r="G722" s="1">
        <v>1.0</v>
      </c>
      <c r="H722" s="1">
        <v>0.0</v>
      </c>
    </row>
    <row r="723">
      <c r="A723" s="1">
        <v>283.0</v>
      </c>
      <c r="B723" s="1" t="s">
        <v>17</v>
      </c>
      <c r="C723" s="1" t="s">
        <v>606</v>
      </c>
      <c r="D723" s="1">
        <v>0.0</v>
      </c>
      <c r="E723" s="1">
        <v>0.0</v>
      </c>
      <c r="F723" s="1" t="s">
        <v>17</v>
      </c>
      <c r="G723" s="1">
        <v>1.0</v>
      </c>
      <c r="H723" s="1">
        <v>15000.0</v>
      </c>
    </row>
    <row r="724">
      <c r="A724" s="1">
        <v>283.0</v>
      </c>
      <c r="B724" s="1" t="s">
        <v>17</v>
      </c>
      <c r="C724" s="1" t="s">
        <v>620</v>
      </c>
      <c r="D724" s="1" t="s">
        <v>17</v>
      </c>
      <c r="E724" s="1" t="s">
        <v>17</v>
      </c>
      <c r="F724" s="1" t="s">
        <v>17</v>
      </c>
      <c r="G724" s="1">
        <v>1.0</v>
      </c>
      <c r="H724" s="1">
        <v>15000.0</v>
      </c>
    </row>
    <row r="725">
      <c r="A725" s="1">
        <v>284.0</v>
      </c>
      <c r="B725" s="1" t="s">
        <v>17</v>
      </c>
      <c r="C725" s="1" t="s">
        <v>828</v>
      </c>
      <c r="D725" s="1" t="s">
        <v>17</v>
      </c>
      <c r="E725" s="1" t="s">
        <v>17</v>
      </c>
      <c r="F725" s="1" t="s">
        <v>17</v>
      </c>
      <c r="G725" s="1">
        <v>1.0</v>
      </c>
      <c r="H725" s="1">
        <v>145000.0</v>
      </c>
    </row>
    <row r="726">
      <c r="A726" s="1">
        <v>284.0</v>
      </c>
      <c r="B726" s="1" t="s">
        <v>601</v>
      </c>
      <c r="C726" s="1" t="s">
        <v>616</v>
      </c>
      <c r="D726" s="1">
        <v>0.0</v>
      </c>
      <c r="E726" s="1">
        <v>-0.5</v>
      </c>
      <c r="F726" s="1">
        <v>120.0</v>
      </c>
      <c r="G726" s="1">
        <v>1.0</v>
      </c>
      <c r="H726" s="1">
        <v>36000.0</v>
      </c>
    </row>
    <row r="727">
      <c r="A727" s="1">
        <v>284.0</v>
      </c>
      <c r="B727" s="1" t="s">
        <v>607</v>
      </c>
      <c r="C727" s="1" t="s">
        <v>616</v>
      </c>
      <c r="D727" s="1">
        <v>0.0</v>
      </c>
      <c r="E727" s="1">
        <v>-0.5</v>
      </c>
      <c r="F727" s="1">
        <v>65.0</v>
      </c>
      <c r="G727" s="1">
        <v>1.0</v>
      </c>
      <c r="H727" s="1">
        <v>0.0</v>
      </c>
    </row>
    <row r="728">
      <c r="A728" s="1">
        <v>285.0</v>
      </c>
      <c r="B728" s="1" t="s">
        <v>601</v>
      </c>
      <c r="C728" s="1" t="s">
        <v>616</v>
      </c>
      <c r="D728" s="1">
        <v>2.5</v>
      </c>
      <c r="E728" s="1">
        <v>0.0</v>
      </c>
      <c r="F728" s="1" t="s">
        <v>17</v>
      </c>
      <c r="G728" s="1">
        <v>1.0</v>
      </c>
      <c r="H728" s="1">
        <v>43200.0</v>
      </c>
    </row>
    <row r="729">
      <c r="A729" s="1">
        <v>285.0</v>
      </c>
      <c r="B729" s="1" t="s">
        <v>601</v>
      </c>
      <c r="C729" s="1" t="s">
        <v>616</v>
      </c>
      <c r="D729" s="1">
        <v>2.5</v>
      </c>
      <c r="E729" s="1">
        <v>0.0</v>
      </c>
      <c r="F729" s="1" t="s">
        <v>17</v>
      </c>
      <c r="G729" s="1">
        <v>1.0</v>
      </c>
      <c r="H729" s="1">
        <v>0.0</v>
      </c>
    </row>
    <row r="730">
      <c r="A730" s="1">
        <v>286.0</v>
      </c>
      <c r="B730" s="1" t="s">
        <v>17</v>
      </c>
      <c r="C730" s="1" t="s">
        <v>761</v>
      </c>
      <c r="D730" s="1" t="s">
        <v>17</v>
      </c>
      <c r="E730" s="1" t="s">
        <v>17</v>
      </c>
      <c r="F730" s="1" t="s">
        <v>17</v>
      </c>
      <c r="G730" s="1">
        <v>1.0</v>
      </c>
      <c r="H730" s="1">
        <v>75500.0</v>
      </c>
    </row>
    <row r="731">
      <c r="A731" s="1">
        <v>286.0</v>
      </c>
      <c r="B731" s="1" t="s">
        <v>601</v>
      </c>
      <c r="C731" s="1" t="s">
        <v>616</v>
      </c>
      <c r="D731" s="1">
        <v>4.0</v>
      </c>
      <c r="E731" s="1">
        <v>0.0</v>
      </c>
      <c r="F731" s="1" t="s">
        <v>17</v>
      </c>
      <c r="G731" s="1">
        <v>1.0</v>
      </c>
      <c r="H731" s="1">
        <v>36000.0</v>
      </c>
    </row>
    <row r="732">
      <c r="A732" s="1">
        <v>286.0</v>
      </c>
      <c r="B732" s="1" t="s">
        <v>607</v>
      </c>
      <c r="C732" s="1" t="s">
        <v>616</v>
      </c>
      <c r="D732" s="1">
        <v>3.25</v>
      </c>
      <c r="E732" s="1">
        <v>0.0</v>
      </c>
      <c r="F732" s="1" t="s">
        <v>17</v>
      </c>
      <c r="G732" s="1">
        <v>1.0</v>
      </c>
      <c r="H732" s="1">
        <v>0.0</v>
      </c>
    </row>
    <row r="733">
      <c r="A733" s="1">
        <v>287.0</v>
      </c>
      <c r="B733" s="1" t="s">
        <v>601</v>
      </c>
      <c r="C733" s="1" t="s">
        <v>668</v>
      </c>
      <c r="D733" s="1">
        <v>1.75</v>
      </c>
      <c r="E733" s="1">
        <v>0.0</v>
      </c>
      <c r="F733" s="1" t="s">
        <v>17</v>
      </c>
      <c r="G733" s="1">
        <v>1.0</v>
      </c>
      <c r="H733" s="1">
        <v>17000.0</v>
      </c>
    </row>
    <row r="734">
      <c r="A734" s="1">
        <v>287.0</v>
      </c>
      <c r="B734" s="1" t="s">
        <v>607</v>
      </c>
      <c r="C734" s="1" t="s">
        <v>668</v>
      </c>
      <c r="D734" s="1">
        <v>1.25</v>
      </c>
      <c r="E734" s="1">
        <v>0.0</v>
      </c>
      <c r="F734" s="1" t="s">
        <v>17</v>
      </c>
      <c r="G734" s="1">
        <v>1.0</v>
      </c>
      <c r="H734" s="1">
        <v>0.0</v>
      </c>
    </row>
    <row r="735">
      <c r="A735" s="1">
        <v>288.0</v>
      </c>
      <c r="B735" s="1" t="s">
        <v>601</v>
      </c>
      <c r="C735" s="1" t="s">
        <v>677</v>
      </c>
      <c r="D735" s="1">
        <v>0.0</v>
      </c>
      <c r="E735" s="1">
        <v>0.5</v>
      </c>
      <c r="F735" s="1">
        <v>80.0</v>
      </c>
      <c r="G735" s="1">
        <v>1.0</v>
      </c>
      <c r="H735" s="1">
        <v>147000.0</v>
      </c>
    </row>
    <row r="736">
      <c r="A736" s="1">
        <v>288.0</v>
      </c>
      <c r="B736" s="1" t="s">
        <v>607</v>
      </c>
      <c r="C736" s="1" t="s">
        <v>677</v>
      </c>
      <c r="D736" s="1">
        <v>-1.25</v>
      </c>
      <c r="E736" s="1">
        <v>1.75</v>
      </c>
      <c r="F736" s="1">
        <v>120.0</v>
      </c>
      <c r="G736" s="1">
        <v>1.0</v>
      </c>
      <c r="H736" s="1">
        <v>0.0</v>
      </c>
    </row>
    <row r="737">
      <c r="A737" s="1">
        <v>289.0</v>
      </c>
      <c r="B737" s="1" t="s">
        <v>601</v>
      </c>
      <c r="C737" s="1" t="s">
        <v>611</v>
      </c>
      <c r="D737" s="1">
        <v>0.0</v>
      </c>
      <c r="E737" s="1">
        <v>-2.5</v>
      </c>
      <c r="F737" s="1">
        <v>10.0</v>
      </c>
      <c r="G737" s="1">
        <v>1.0</v>
      </c>
      <c r="H737" s="1">
        <v>96000.0</v>
      </c>
    </row>
    <row r="738">
      <c r="A738" s="1">
        <v>289.0</v>
      </c>
      <c r="B738" s="1" t="s">
        <v>607</v>
      </c>
      <c r="C738" s="1" t="s">
        <v>611</v>
      </c>
      <c r="D738" s="1">
        <v>0.0</v>
      </c>
      <c r="E738" s="1">
        <v>-2.25</v>
      </c>
      <c r="F738" s="1">
        <v>175.0</v>
      </c>
      <c r="G738" s="1">
        <v>1.0</v>
      </c>
      <c r="H738" s="1">
        <v>0.0</v>
      </c>
    </row>
    <row r="739">
      <c r="A739" s="1">
        <v>289.0</v>
      </c>
      <c r="B739" s="1" t="s">
        <v>17</v>
      </c>
      <c r="C739" s="1" t="s">
        <v>793</v>
      </c>
      <c r="D739" s="1" t="s">
        <v>17</v>
      </c>
      <c r="E739" s="1" t="s">
        <v>17</v>
      </c>
      <c r="F739" s="1" t="s">
        <v>17</v>
      </c>
      <c r="G739" s="1">
        <v>1.0</v>
      </c>
      <c r="H739" s="1">
        <v>80000.0</v>
      </c>
    </row>
    <row r="740">
      <c r="A740" s="1">
        <v>290.0</v>
      </c>
      <c r="B740" s="1" t="s">
        <v>601</v>
      </c>
      <c r="C740" s="1" t="s">
        <v>611</v>
      </c>
      <c r="D740" s="1">
        <v>-4.0</v>
      </c>
      <c r="E740" s="1">
        <v>-0.25</v>
      </c>
      <c r="F740" s="1">
        <v>150.0</v>
      </c>
      <c r="G740" s="1">
        <v>1.0</v>
      </c>
      <c r="H740" s="1">
        <v>94000.0</v>
      </c>
    </row>
    <row r="741">
      <c r="A741" s="1">
        <v>290.0</v>
      </c>
      <c r="B741" s="1" t="s">
        <v>607</v>
      </c>
      <c r="C741" s="1" t="s">
        <v>611</v>
      </c>
      <c r="D741" s="1">
        <v>-3.5</v>
      </c>
      <c r="E741" s="1">
        <v>-0.25</v>
      </c>
      <c r="F741" s="1">
        <v>125.0</v>
      </c>
      <c r="G741" s="1">
        <v>1.0</v>
      </c>
      <c r="H741" s="1">
        <v>0.0</v>
      </c>
    </row>
    <row r="742">
      <c r="A742" s="1">
        <v>290.0</v>
      </c>
      <c r="B742" s="1" t="s">
        <v>17</v>
      </c>
      <c r="C742" s="1" t="s">
        <v>828</v>
      </c>
      <c r="D742" s="1" t="s">
        <v>17</v>
      </c>
      <c r="E742" s="1" t="s">
        <v>17</v>
      </c>
      <c r="F742" s="1" t="s">
        <v>17</v>
      </c>
      <c r="G742" s="1">
        <v>1.0</v>
      </c>
      <c r="H742" s="1">
        <v>156000.0</v>
      </c>
    </row>
    <row r="743">
      <c r="A743" s="1">
        <v>291.0</v>
      </c>
      <c r="B743" s="1" t="s">
        <v>601</v>
      </c>
      <c r="C743" s="1" t="s">
        <v>769</v>
      </c>
      <c r="D743" s="1">
        <v>5.0</v>
      </c>
      <c r="E743" s="1">
        <v>2.5</v>
      </c>
      <c r="F743" s="1">
        <v>115.0</v>
      </c>
      <c r="G743" s="1">
        <v>1.0</v>
      </c>
      <c r="H743" s="1">
        <v>435900.0</v>
      </c>
    </row>
    <row r="744">
      <c r="A744" s="1">
        <v>291.0</v>
      </c>
      <c r="B744" s="1" t="s">
        <v>607</v>
      </c>
      <c r="C744" s="1" t="s">
        <v>769</v>
      </c>
      <c r="D744" s="1">
        <v>3.25</v>
      </c>
      <c r="E744" s="1">
        <v>1.5</v>
      </c>
      <c r="F744" s="1">
        <v>80.0</v>
      </c>
      <c r="G744" s="1">
        <v>1.0</v>
      </c>
      <c r="H744" s="1">
        <v>0.0</v>
      </c>
    </row>
    <row r="745">
      <c r="A745" s="1">
        <v>291.0</v>
      </c>
      <c r="B745" s="1" t="s">
        <v>17</v>
      </c>
      <c r="C745" s="1" t="s">
        <v>769</v>
      </c>
      <c r="D745" s="1">
        <v>0.0</v>
      </c>
      <c r="E745" s="1">
        <v>0.0</v>
      </c>
      <c r="F745" s="1" t="s">
        <v>17</v>
      </c>
      <c r="G745" s="1">
        <v>1.0</v>
      </c>
      <c r="H745" s="1">
        <v>0.0</v>
      </c>
    </row>
    <row r="746">
      <c r="A746" s="1">
        <v>291.0</v>
      </c>
      <c r="B746" s="1" t="s">
        <v>17</v>
      </c>
      <c r="C746" s="1" t="s">
        <v>769</v>
      </c>
      <c r="D746" s="1">
        <v>0.0</v>
      </c>
      <c r="E746" s="1">
        <v>0.0</v>
      </c>
      <c r="F746" s="1" t="s">
        <v>17</v>
      </c>
      <c r="G746" s="1">
        <v>1.0</v>
      </c>
      <c r="H746" s="1">
        <v>0.0</v>
      </c>
    </row>
    <row r="747">
      <c r="A747" s="1">
        <v>291.0</v>
      </c>
      <c r="B747" s="1" t="s">
        <v>17</v>
      </c>
      <c r="C747" s="1" t="s">
        <v>736</v>
      </c>
      <c r="D747" s="1" t="s">
        <v>17</v>
      </c>
      <c r="E747" s="1" t="s">
        <v>17</v>
      </c>
      <c r="F747" s="1" t="s">
        <v>17</v>
      </c>
      <c r="G747" s="1">
        <v>1.0</v>
      </c>
      <c r="H747" s="1">
        <v>90000.0</v>
      </c>
    </row>
    <row r="748">
      <c r="A748" s="1">
        <v>291.0</v>
      </c>
      <c r="B748" s="1" t="s">
        <v>17</v>
      </c>
      <c r="C748" s="1" t="s">
        <v>736</v>
      </c>
      <c r="D748" s="1" t="s">
        <v>17</v>
      </c>
      <c r="E748" s="1" t="s">
        <v>17</v>
      </c>
      <c r="F748" s="1" t="s">
        <v>17</v>
      </c>
      <c r="G748" s="1">
        <v>1.0</v>
      </c>
      <c r="H748" s="1">
        <v>40000.0</v>
      </c>
    </row>
    <row r="749">
      <c r="A749" s="1">
        <v>292.0</v>
      </c>
      <c r="B749" s="1" t="s">
        <v>604</v>
      </c>
      <c r="C749" s="1" t="s">
        <v>736</v>
      </c>
      <c r="D749" s="1" t="s">
        <v>17</v>
      </c>
      <c r="E749" s="1" t="s">
        <v>17</v>
      </c>
      <c r="F749" s="1" t="s">
        <v>17</v>
      </c>
      <c r="G749" s="1">
        <v>1.0</v>
      </c>
      <c r="H749" s="1">
        <v>75000.0</v>
      </c>
    </row>
    <row r="750">
      <c r="A750" s="1">
        <v>292.0</v>
      </c>
      <c r="B750" s="1" t="s">
        <v>601</v>
      </c>
      <c r="C750" s="1" t="s">
        <v>668</v>
      </c>
      <c r="D750" s="1">
        <v>2.0</v>
      </c>
      <c r="E750" s="1">
        <v>0.0</v>
      </c>
      <c r="F750" s="1" t="s">
        <v>17</v>
      </c>
      <c r="G750" s="1">
        <v>1.0</v>
      </c>
      <c r="H750" s="1">
        <v>26000.0</v>
      </c>
    </row>
    <row r="751">
      <c r="A751" s="1">
        <v>292.0</v>
      </c>
      <c r="B751" s="1" t="s">
        <v>607</v>
      </c>
      <c r="C751" s="1" t="s">
        <v>668</v>
      </c>
      <c r="D751" s="1">
        <v>2.0</v>
      </c>
      <c r="E751" s="1">
        <v>0.0</v>
      </c>
      <c r="F751" s="1" t="s">
        <v>17</v>
      </c>
      <c r="G751" s="1">
        <v>1.0</v>
      </c>
      <c r="H751" s="1">
        <v>0.0</v>
      </c>
    </row>
    <row r="752">
      <c r="A752" s="1">
        <v>293.0</v>
      </c>
      <c r="B752" s="1" t="s">
        <v>17</v>
      </c>
      <c r="C752" s="1" t="s">
        <v>736</v>
      </c>
      <c r="D752" s="1" t="s">
        <v>17</v>
      </c>
      <c r="E752" s="1" t="s">
        <v>17</v>
      </c>
      <c r="F752" s="1" t="s">
        <v>17</v>
      </c>
      <c r="G752" s="1">
        <v>1.0</v>
      </c>
      <c r="H752" s="1">
        <v>75000.0</v>
      </c>
    </row>
    <row r="753">
      <c r="A753" s="1">
        <v>293.0</v>
      </c>
      <c r="B753" s="1" t="s">
        <v>601</v>
      </c>
      <c r="C753" s="1" t="s">
        <v>616</v>
      </c>
      <c r="D753" s="1">
        <v>-1.5</v>
      </c>
      <c r="E753" s="1">
        <v>-0.75</v>
      </c>
      <c r="F753" s="1">
        <v>130.0</v>
      </c>
      <c r="G753" s="1">
        <v>1.0</v>
      </c>
      <c r="H753" s="1">
        <v>43000.0</v>
      </c>
    </row>
    <row r="754">
      <c r="A754" s="1">
        <v>293.0</v>
      </c>
      <c r="B754" s="1" t="s">
        <v>607</v>
      </c>
      <c r="C754" s="1" t="s">
        <v>616</v>
      </c>
      <c r="D754" s="1">
        <v>-0.5</v>
      </c>
      <c r="E754" s="1">
        <v>-0.75</v>
      </c>
      <c r="F754" s="1">
        <v>40.0</v>
      </c>
      <c r="G754" s="1">
        <v>1.0</v>
      </c>
      <c r="H754" s="1">
        <v>0.0</v>
      </c>
    </row>
    <row r="755">
      <c r="A755" s="1">
        <v>293.0</v>
      </c>
      <c r="B755" s="1" t="s">
        <v>601</v>
      </c>
      <c r="C755" s="1" t="s">
        <v>668</v>
      </c>
      <c r="D755" s="1">
        <v>0.5</v>
      </c>
      <c r="E755" s="1">
        <v>-0.75</v>
      </c>
      <c r="F755" s="1">
        <v>130.0</v>
      </c>
      <c r="G755" s="1">
        <v>1.0</v>
      </c>
      <c r="H755" s="1">
        <v>27000.0</v>
      </c>
    </row>
    <row r="756">
      <c r="A756" s="1">
        <v>293.0</v>
      </c>
      <c r="B756" s="1" t="s">
        <v>607</v>
      </c>
      <c r="C756" s="1" t="s">
        <v>668</v>
      </c>
      <c r="D756" s="1">
        <v>1.5</v>
      </c>
      <c r="E756" s="1">
        <v>-0.75</v>
      </c>
      <c r="F756" s="1">
        <v>40.0</v>
      </c>
      <c r="G756" s="1">
        <v>1.0</v>
      </c>
      <c r="H756" s="1">
        <v>0.0</v>
      </c>
    </row>
    <row r="757">
      <c r="A757" s="1">
        <v>294.0</v>
      </c>
      <c r="B757" s="1" t="s">
        <v>17</v>
      </c>
      <c r="C757" s="1" t="s">
        <v>836</v>
      </c>
      <c r="D757" s="1">
        <v>1.5</v>
      </c>
      <c r="E757" s="1">
        <v>0.0</v>
      </c>
      <c r="F757" s="1" t="s">
        <v>17</v>
      </c>
      <c r="G757" s="1">
        <v>1.0</v>
      </c>
      <c r="H757" s="1">
        <v>100000.0</v>
      </c>
    </row>
    <row r="758">
      <c r="A758" s="1">
        <v>294.0</v>
      </c>
      <c r="B758" s="1" t="s">
        <v>17</v>
      </c>
      <c r="C758" s="1" t="s">
        <v>836</v>
      </c>
      <c r="D758" s="1">
        <v>1.5</v>
      </c>
      <c r="E758" s="1">
        <v>0.0</v>
      </c>
      <c r="F758" s="1" t="s">
        <v>17</v>
      </c>
      <c r="G758" s="1">
        <v>1.0</v>
      </c>
      <c r="H758" s="1">
        <v>0.0</v>
      </c>
    </row>
    <row r="759">
      <c r="A759" s="1">
        <v>294.0</v>
      </c>
      <c r="B759" s="1" t="s">
        <v>17</v>
      </c>
      <c r="C759" s="1" t="s">
        <v>761</v>
      </c>
      <c r="D759" s="1" t="s">
        <v>17</v>
      </c>
      <c r="E759" s="1" t="s">
        <v>17</v>
      </c>
      <c r="F759" s="1" t="s">
        <v>17</v>
      </c>
      <c r="G759" s="1">
        <v>1.0</v>
      </c>
      <c r="H759" s="1">
        <v>83600.0</v>
      </c>
    </row>
    <row r="760">
      <c r="A760" s="1">
        <v>295.0</v>
      </c>
      <c r="B760" s="1" t="s">
        <v>17</v>
      </c>
      <c r="C760" s="1" t="s">
        <v>668</v>
      </c>
      <c r="D760" s="1">
        <v>1.75</v>
      </c>
      <c r="E760" s="1">
        <v>0.0</v>
      </c>
      <c r="F760" s="1" t="s">
        <v>17</v>
      </c>
      <c r="G760" s="1">
        <v>1.0</v>
      </c>
      <c r="H760" s="1">
        <v>0.0</v>
      </c>
    </row>
    <row r="761">
      <c r="A761" s="1">
        <v>295.0</v>
      </c>
      <c r="B761" s="1" t="s">
        <v>17</v>
      </c>
      <c r="C761" s="1" t="s">
        <v>668</v>
      </c>
      <c r="D761" s="1">
        <v>1.75</v>
      </c>
      <c r="E761" s="1">
        <v>0.0</v>
      </c>
      <c r="F761" s="1" t="s">
        <v>17</v>
      </c>
      <c r="G761" s="1">
        <v>1.0</v>
      </c>
      <c r="H761" s="1">
        <v>0.0</v>
      </c>
    </row>
    <row r="762">
      <c r="A762" s="1">
        <v>296.0</v>
      </c>
      <c r="B762" s="1" t="s">
        <v>17</v>
      </c>
      <c r="C762" s="1" t="s">
        <v>837</v>
      </c>
      <c r="D762" s="1" t="s">
        <v>17</v>
      </c>
      <c r="E762" s="1" t="s">
        <v>17</v>
      </c>
      <c r="F762" s="1" t="s">
        <v>17</v>
      </c>
      <c r="G762" s="1">
        <v>1.0</v>
      </c>
      <c r="H762" s="1">
        <v>160647.0</v>
      </c>
    </row>
    <row r="763">
      <c r="A763" s="1">
        <v>296.0</v>
      </c>
      <c r="B763" s="1" t="s">
        <v>601</v>
      </c>
      <c r="C763" s="1" t="s">
        <v>616</v>
      </c>
      <c r="D763" s="1">
        <v>-1.25</v>
      </c>
      <c r="E763" s="1">
        <v>-0.5</v>
      </c>
      <c r="F763" s="1">
        <v>45.0</v>
      </c>
      <c r="G763" s="1">
        <v>1.0</v>
      </c>
      <c r="H763" s="1">
        <v>50000.0</v>
      </c>
    </row>
    <row r="764">
      <c r="A764" s="1">
        <v>296.0</v>
      </c>
      <c r="B764" s="1" t="s">
        <v>607</v>
      </c>
      <c r="C764" s="1" t="s">
        <v>616</v>
      </c>
      <c r="D764" s="1">
        <v>-0.75</v>
      </c>
      <c r="E764" s="1">
        <v>-0.25</v>
      </c>
      <c r="F764" s="1">
        <v>70.0</v>
      </c>
      <c r="G764" s="1">
        <v>1.0</v>
      </c>
      <c r="H764" s="1">
        <v>0.0</v>
      </c>
    </row>
    <row r="765">
      <c r="A765" s="1">
        <v>297.0</v>
      </c>
      <c r="B765" s="1" t="s">
        <v>17</v>
      </c>
      <c r="C765" s="1" t="s">
        <v>761</v>
      </c>
      <c r="D765" s="1" t="s">
        <v>17</v>
      </c>
      <c r="E765" s="1" t="s">
        <v>17</v>
      </c>
      <c r="F765" s="1" t="s">
        <v>17</v>
      </c>
      <c r="G765" s="1">
        <v>1.0</v>
      </c>
      <c r="H765" s="1">
        <v>109000.0</v>
      </c>
    </row>
    <row r="766">
      <c r="A766" s="1">
        <v>297.0</v>
      </c>
      <c r="B766" s="1" t="s">
        <v>17</v>
      </c>
      <c r="C766" s="1" t="s">
        <v>838</v>
      </c>
      <c r="D766" s="1" t="s">
        <v>17</v>
      </c>
      <c r="E766" s="1" t="s">
        <v>17</v>
      </c>
      <c r="F766" s="1" t="s">
        <v>17</v>
      </c>
      <c r="G766" s="1">
        <v>1.0</v>
      </c>
      <c r="H766" s="1">
        <v>75000.0</v>
      </c>
    </row>
    <row r="767">
      <c r="A767" s="1">
        <v>297.0</v>
      </c>
      <c r="B767" s="1" t="s">
        <v>601</v>
      </c>
      <c r="C767" s="1" t="s">
        <v>616</v>
      </c>
      <c r="D767" s="1">
        <v>2.0</v>
      </c>
      <c r="E767" s="1">
        <v>0.0</v>
      </c>
      <c r="F767" s="1" t="s">
        <v>17</v>
      </c>
      <c r="G767" s="1">
        <v>2.0</v>
      </c>
      <c r="H767" s="1">
        <v>43000.0</v>
      </c>
    </row>
    <row r="768">
      <c r="A768" s="1">
        <v>298.0</v>
      </c>
      <c r="B768" s="1" t="s">
        <v>17</v>
      </c>
      <c r="C768" s="1" t="s">
        <v>676</v>
      </c>
      <c r="D768" s="1" t="s">
        <v>17</v>
      </c>
      <c r="E768" s="1" t="s">
        <v>17</v>
      </c>
      <c r="F768" s="1" t="s">
        <v>17</v>
      </c>
      <c r="G768" s="1">
        <v>1.0</v>
      </c>
      <c r="H768" s="1">
        <v>162000.0</v>
      </c>
    </row>
    <row r="769">
      <c r="A769" s="1">
        <v>298.0</v>
      </c>
      <c r="B769" s="1" t="s">
        <v>17</v>
      </c>
      <c r="C769" s="1" t="s">
        <v>616</v>
      </c>
      <c r="D769" s="1">
        <v>2.25</v>
      </c>
      <c r="E769" s="1">
        <v>0.0</v>
      </c>
      <c r="F769" s="1" t="s">
        <v>17</v>
      </c>
      <c r="G769" s="1">
        <v>1.0</v>
      </c>
      <c r="H769" s="1">
        <v>51000.0</v>
      </c>
    </row>
    <row r="770">
      <c r="A770" s="1">
        <v>298.0</v>
      </c>
      <c r="B770" s="1" t="s">
        <v>17</v>
      </c>
      <c r="C770" s="1" t="s">
        <v>616</v>
      </c>
      <c r="D770" s="1">
        <v>3.5</v>
      </c>
      <c r="E770" s="1">
        <v>0.0</v>
      </c>
      <c r="F770" s="1" t="s">
        <v>17</v>
      </c>
      <c r="G770" s="1">
        <v>1.0</v>
      </c>
      <c r="H770" s="1">
        <v>0.0</v>
      </c>
    </row>
    <row r="771">
      <c r="A771" s="1">
        <v>299.0</v>
      </c>
      <c r="B771" s="1" t="s">
        <v>601</v>
      </c>
      <c r="C771" s="1" t="s">
        <v>664</v>
      </c>
      <c r="D771" s="1">
        <v>0.5</v>
      </c>
      <c r="E771" s="1">
        <v>0.25</v>
      </c>
      <c r="F771" s="1">
        <v>120.0</v>
      </c>
      <c r="G771" s="1">
        <v>1.0</v>
      </c>
      <c r="H771" s="1">
        <v>150000.0</v>
      </c>
    </row>
    <row r="772">
      <c r="A772" s="1">
        <v>299.0</v>
      </c>
      <c r="B772" s="1" t="s">
        <v>607</v>
      </c>
      <c r="C772" s="1" t="s">
        <v>664</v>
      </c>
      <c r="D772" s="1">
        <v>0.5</v>
      </c>
      <c r="E772" s="1">
        <v>0.5</v>
      </c>
      <c r="F772" s="1">
        <v>60.0</v>
      </c>
      <c r="G772" s="1">
        <v>1.0</v>
      </c>
      <c r="H772" s="1">
        <v>0.0</v>
      </c>
    </row>
    <row r="773">
      <c r="A773" s="1">
        <v>299.0</v>
      </c>
      <c r="B773" s="1" t="s">
        <v>17</v>
      </c>
      <c r="C773" s="1" t="s">
        <v>761</v>
      </c>
      <c r="D773" s="1" t="s">
        <v>17</v>
      </c>
      <c r="E773" s="1" t="s">
        <v>17</v>
      </c>
      <c r="F773" s="1" t="s">
        <v>17</v>
      </c>
      <c r="G773" s="1">
        <v>1.0</v>
      </c>
      <c r="H773" s="1">
        <v>90000.0</v>
      </c>
    </row>
    <row r="774">
      <c r="A774" s="1">
        <v>300.0</v>
      </c>
      <c r="B774" s="1" t="s">
        <v>604</v>
      </c>
      <c r="C774" s="1" t="s">
        <v>839</v>
      </c>
      <c r="D774" s="1" t="s">
        <v>17</v>
      </c>
      <c r="E774" s="1" t="s">
        <v>17</v>
      </c>
      <c r="F774" s="1" t="s">
        <v>17</v>
      </c>
      <c r="G774" s="1">
        <v>1.0</v>
      </c>
      <c r="H774" s="1">
        <v>108000.0</v>
      </c>
    </row>
    <row r="775">
      <c r="A775" s="1">
        <v>301.0</v>
      </c>
      <c r="B775" s="1" t="s">
        <v>601</v>
      </c>
      <c r="C775" s="1" t="s">
        <v>610</v>
      </c>
      <c r="D775" s="1">
        <v>0.0</v>
      </c>
      <c r="E775" s="1">
        <v>-2.5</v>
      </c>
      <c r="F775" s="1">
        <v>5.0</v>
      </c>
      <c r="G775" s="1">
        <v>1.0</v>
      </c>
      <c r="H775" s="1">
        <v>117600.0</v>
      </c>
    </row>
    <row r="776">
      <c r="A776" s="1">
        <v>301.0</v>
      </c>
      <c r="B776" s="1" t="s">
        <v>607</v>
      </c>
      <c r="C776" s="1" t="s">
        <v>610</v>
      </c>
      <c r="D776" s="1">
        <v>0.0</v>
      </c>
      <c r="E776" s="1">
        <v>-3.0</v>
      </c>
      <c r="F776" s="1">
        <v>180.0</v>
      </c>
      <c r="G776" s="1">
        <v>1.0</v>
      </c>
      <c r="H776" s="1">
        <v>0.0</v>
      </c>
    </row>
    <row r="777">
      <c r="A777" s="1">
        <v>302.0</v>
      </c>
      <c r="B777" s="1" t="s">
        <v>17</v>
      </c>
      <c r="C777" s="1" t="s">
        <v>736</v>
      </c>
      <c r="D777" s="1" t="s">
        <v>17</v>
      </c>
      <c r="E777" s="1" t="s">
        <v>17</v>
      </c>
      <c r="F777" s="1" t="s">
        <v>17</v>
      </c>
      <c r="G777" s="1">
        <v>1.0</v>
      </c>
      <c r="H777" s="1">
        <v>0.0</v>
      </c>
    </row>
    <row r="778">
      <c r="A778" s="1">
        <v>302.0</v>
      </c>
      <c r="B778" s="1" t="s">
        <v>601</v>
      </c>
      <c r="C778" s="1" t="s">
        <v>702</v>
      </c>
      <c r="D778" s="1">
        <v>0.0</v>
      </c>
      <c r="E778" s="1">
        <v>0.0</v>
      </c>
      <c r="F778" s="1" t="s">
        <v>17</v>
      </c>
      <c r="G778" s="1">
        <v>1.0</v>
      </c>
      <c r="H778" s="1">
        <v>335500.0</v>
      </c>
    </row>
    <row r="779">
      <c r="A779" s="1">
        <v>302.0</v>
      </c>
      <c r="B779" s="1" t="s">
        <v>607</v>
      </c>
      <c r="C779" s="1" t="s">
        <v>702</v>
      </c>
      <c r="D779" s="1">
        <v>0.0</v>
      </c>
      <c r="E779" s="1">
        <v>0.0</v>
      </c>
      <c r="F779" s="1" t="s">
        <v>17</v>
      </c>
      <c r="G779" s="1">
        <v>1.0</v>
      </c>
      <c r="H779" s="1">
        <v>0.0</v>
      </c>
    </row>
    <row r="780">
      <c r="A780" s="1">
        <v>302.0</v>
      </c>
      <c r="B780" s="1" t="s">
        <v>601</v>
      </c>
      <c r="C780" s="1" t="s">
        <v>702</v>
      </c>
      <c r="D780" s="1">
        <v>0.0</v>
      </c>
      <c r="E780" s="1">
        <v>0.0</v>
      </c>
      <c r="F780" s="1" t="s">
        <v>17</v>
      </c>
      <c r="G780" s="1">
        <v>1.0</v>
      </c>
      <c r="H780" s="1">
        <v>0.0</v>
      </c>
    </row>
    <row r="781">
      <c r="A781" s="1">
        <v>302.0</v>
      </c>
      <c r="B781" s="1" t="s">
        <v>607</v>
      </c>
      <c r="C781" s="1" t="s">
        <v>702</v>
      </c>
      <c r="D781" s="1">
        <v>0.0</v>
      </c>
      <c r="E781" s="1">
        <v>0.0</v>
      </c>
      <c r="F781" s="1" t="s">
        <v>17</v>
      </c>
      <c r="G781" s="1">
        <v>1.0</v>
      </c>
      <c r="H781" s="1">
        <v>0.0</v>
      </c>
    </row>
    <row r="782">
      <c r="A782" s="1">
        <v>302.0</v>
      </c>
      <c r="B782" s="1" t="s">
        <v>17</v>
      </c>
      <c r="C782" s="1" t="s">
        <v>761</v>
      </c>
      <c r="D782" s="1" t="s">
        <v>17</v>
      </c>
      <c r="E782" s="1" t="s">
        <v>17</v>
      </c>
      <c r="F782" s="1" t="s">
        <v>17</v>
      </c>
      <c r="G782" s="1">
        <v>1.0</v>
      </c>
      <c r="H782" s="1">
        <v>110000.0</v>
      </c>
    </row>
    <row r="783">
      <c r="A783" s="1">
        <v>303.0</v>
      </c>
      <c r="B783" s="1" t="s">
        <v>17</v>
      </c>
      <c r="C783" s="1" t="s">
        <v>736</v>
      </c>
      <c r="D783" s="1" t="s">
        <v>17</v>
      </c>
      <c r="E783" s="1" t="s">
        <v>17</v>
      </c>
      <c r="F783" s="1" t="s">
        <v>17</v>
      </c>
      <c r="G783" s="1">
        <v>1.0</v>
      </c>
      <c r="H783" s="1">
        <v>80000.0</v>
      </c>
    </row>
    <row r="784">
      <c r="A784" s="1">
        <v>303.0</v>
      </c>
      <c r="B784" s="1" t="s">
        <v>601</v>
      </c>
      <c r="C784" s="1" t="s">
        <v>840</v>
      </c>
      <c r="D784" s="1">
        <v>1.5</v>
      </c>
      <c r="E784" s="1">
        <v>0.5</v>
      </c>
      <c r="F784" s="1">
        <v>30.0</v>
      </c>
      <c r="G784" s="1">
        <v>1.0</v>
      </c>
      <c r="H784" s="1">
        <v>130000.0</v>
      </c>
    </row>
    <row r="785">
      <c r="A785" s="1">
        <v>303.0</v>
      </c>
      <c r="B785" s="1" t="s">
        <v>607</v>
      </c>
      <c r="C785" s="1" t="s">
        <v>840</v>
      </c>
      <c r="D785" s="1">
        <v>2.5</v>
      </c>
      <c r="E785" s="1">
        <v>0.0</v>
      </c>
      <c r="F785" s="1" t="s">
        <v>17</v>
      </c>
      <c r="G785" s="1">
        <v>1.0</v>
      </c>
      <c r="H785" s="1">
        <v>0.0</v>
      </c>
    </row>
    <row r="786">
      <c r="A786" s="1">
        <v>304.0</v>
      </c>
      <c r="B786" s="1" t="s">
        <v>17</v>
      </c>
      <c r="C786" s="1" t="s">
        <v>736</v>
      </c>
      <c r="D786" s="1" t="s">
        <v>17</v>
      </c>
      <c r="E786" s="1" t="s">
        <v>17</v>
      </c>
      <c r="F786" s="1" t="s">
        <v>17</v>
      </c>
      <c r="G786" s="1">
        <v>1.0</v>
      </c>
      <c r="H786" s="1">
        <v>90000.0</v>
      </c>
    </row>
    <row r="787">
      <c r="A787" s="1">
        <v>304.0</v>
      </c>
      <c r="B787" s="1" t="s">
        <v>17</v>
      </c>
      <c r="C787" s="1" t="s">
        <v>736</v>
      </c>
      <c r="D787" s="1" t="s">
        <v>17</v>
      </c>
      <c r="E787" s="1" t="s">
        <v>17</v>
      </c>
      <c r="F787" s="1" t="s">
        <v>17</v>
      </c>
      <c r="G787" s="1">
        <v>1.0</v>
      </c>
      <c r="H787" s="1">
        <v>0.0</v>
      </c>
    </row>
    <row r="788">
      <c r="A788" s="1">
        <v>304.0</v>
      </c>
      <c r="B788" s="1" t="s">
        <v>601</v>
      </c>
      <c r="C788" s="1" t="s">
        <v>724</v>
      </c>
      <c r="D788" s="1">
        <v>0.0</v>
      </c>
      <c r="E788" s="1">
        <v>-1.0</v>
      </c>
      <c r="F788" s="1">
        <v>130.0</v>
      </c>
      <c r="G788" s="1">
        <v>1.0</v>
      </c>
      <c r="H788" s="1">
        <v>444000.0</v>
      </c>
    </row>
    <row r="789">
      <c r="A789" s="1">
        <v>304.0</v>
      </c>
      <c r="B789" s="1" t="s">
        <v>607</v>
      </c>
      <c r="C789" s="1" t="s">
        <v>724</v>
      </c>
      <c r="D789" s="1">
        <v>-0.25</v>
      </c>
      <c r="E789" s="1">
        <v>-0.25</v>
      </c>
      <c r="F789" s="1">
        <v>45.0</v>
      </c>
      <c r="G789" s="1">
        <v>1.0</v>
      </c>
      <c r="H789" s="1">
        <v>0.0</v>
      </c>
    </row>
    <row r="790">
      <c r="A790" s="1">
        <v>304.0</v>
      </c>
      <c r="B790" s="1" t="s">
        <v>601</v>
      </c>
      <c r="C790" s="1" t="s">
        <v>702</v>
      </c>
      <c r="D790" s="1">
        <v>0.0</v>
      </c>
      <c r="E790" s="1">
        <v>-1.0</v>
      </c>
      <c r="F790" s="1">
        <v>130.0</v>
      </c>
      <c r="G790" s="1">
        <v>1.0</v>
      </c>
      <c r="H790" s="1">
        <v>0.0</v>
      </c>
    </row>
    <row r="791">
      <c r="A791" s="1">
        <v>304.0</v>
      </c>
      <c r="B791" s="1" t="s">
        <v>607</v>
      </c>
      <c r="C791" s="1" t="s">
        <v>702</v>
      </c>
      <c r="D791" s="1">
        <v>-0.25</v>
      </c>
      <c r="E791" s="1">
        <v>-0.25</v>
      </c>
      <c r="F791" s="1">
        <v>45.0</v>
      </c>
      <c r="G791" s="1">
        <v>1.0</v>
      </c>
      <c r="H791" s="1">
        <v>0.0</v>
      </c>
    </row>
    <row r="792">
      <c r="A792" s="1">
        <v>305.0</v>
      </c>
      <c r="B792" s="1" t="s">
        <v>604</v>
      </c>
      <c r="C792" s="1" t="s">
        <v>841</v>
      </c>
      <c r="D792" s="1" t="s">
        <v>17</v>
      </c>
      <c r="E792" s="1" t="s">
        <v>17</v>
      </c>
      <c r="F792" s="1" t="s">
        <v>17</v>
      </c>
      <c r="G792" s="1">
        <v>1.0</v>
      </c>
      <c r="H792" s="1">
        <v>84000.0</v>
      </c>
    </row>
    <row r="793">
      <c r="A793" s="1">
        <v>306.0</v>
      </c>
      <c r="B793" s="1" t="s">
        <v>17</v>
      </c>
      <c r="C793" s="1" t="s">
        <v>842</v>
      </c>
      <c r="D793" s="1" t="s">
        <v>17</v>
      </c>
      <c r="E793" s="1" t="s">
        <v>17</v>
      </c>
      <c r="F793" s="1" t="s">
        <v>17</v>
      </c>
      <c r="G793" s="1">
        <v>1.0</v>
      </c>
      <c r="H793" s="1">
        <v>167200.0</v>
      </c>
    </row>
    <row r="794">
      <c r="A794" s="1">
        <v>307.0</v>
      </c>
      <c r="B794" s="1" t="s">
        <v>17</v>
      </c>
      <c r="C794" s="1" t="s">
        <v>614</v>
      </c>
      <c r="D794" s="1" t="s">
        <v>17</v>
      </c>
      <c r="E794" s="1" t="s">
        <v>17</v>
      </c>
      <c r="F794" s="1" t="s">
        <v>17</v>
      </c>
      <c r="G794" s="1">
        <v>1.0</v>
      </c>
      <c r="H794" s="1">
        <v>143000.0</v>
      </c>
    </row>
    <row r="795">
      <c r="A795" s="1">
        <v>308.0</v>
      </c>
      <c r="B795" s="1" t="s">
        <v>17</v>
      </c>
      <c r="C795" s="1" t="s">
        <v>770</v>
      </c>
      <c r="D795" s="1" t="s">
        <v>17</v>
      </c>
      <c r="E795" s="1" t="s">
        <v>17</v>
      </c>
      <c r="F795" s="1" t="s">
        <v>17</v>
      </c>
      <c r="G795" s="1">
        <v>1.0</v>
      </c>
      <c r="H795" s="1">
        <v>80000.0</v>
      </c>
    </row>
    <row r="796">
      <c r="A796" s="1">
        <v>309.0</v>
      </c>
      <c r="B796" s="1" t="s">
        <v>17</v>
      </c>
      <c r="C796" s="1" t="s">
        <v>843</v>
      </c>
      <c r="D796" s="1" t="s">
        <v>17</v>
      </c>
      <c r="E796" s="1" t="s">
        <v>17</v>
      </c>
      <c r="F796" s="1" t="s">
        <v>17</v>
      </c>
      <c r="G796" s="1">
        <v>1.0</v>
      </c>
      <c r="H796" s="1">
        <v>182460.0</v>
      </c>
    </row>
    <row r="797">
      <c r="A797" s="1">
        <v>310.0</v>
      </c>
      <c r="B797" s="1" t="s">
        <v>17</v>
      </c>
      <c r="C797" s="1" t="s">
        <v>761</v>
      </c>
      <c r="D797" s="1" t="s">
        <v>17</v>
      </c>
      <c r="E797" s="1" t="s">
        <v>17</v>
      </c>
      <c r="F797" s="1" t="s">
        <v>17</v>
      </c>
      <c r="G797" s="1">
        <v>1.0</v>
      </c>
      <c r="H797" s="1">
        <v>117000.0</v>
      </c>
    </row>
    <row r="798">
      <c r="A798" s="1">
        <v>311.0</v>
      </c>
      <c r="B798" s="1" t="s">
        <v>17</v>
      </c>
      <c r="C798" s="1" t="s">
        <v>736</v>
      </c>
      <c r="D798" s="1" t="s">
        <v>17</v>
      </c>
      <c r="E798" s="1" t="s">
        <v>17</v>
      </c>
      <c r="F798" s="1" t="s">
        <v>17</v>
      </c>
      <c r="G798" s="1">
        <v>1.0</v>
      </c>
      <c r="H798" s="1">
        <v>0.0</v>
      </c>
    </row>
    <row r="799">
      <c r="A799" s="1">
        <v>311.0</v>
      </c>
      <c r="B799" s="1" t="s">
        <v>17</v>
      </c>
      <c r="C799" s="1" t="s">
        <v>736</v>
      </c>
      <c r="D799" s="1" t="s">
        <v>17</v>
      </c>
      <c r="E799" s="1" t="s">
        <v>17</v>
      </c>
      <c r="F799" s="1" t="s">
        <v>17</v>
      </c>
      <c r="G799" s="1">
        <v>1.0</v>
      </c>
      <c r="H799" s="1">
        <v>0.0</v>
      </c>
    </row>
    <row r="800">
      <c r="A800" s="1">
        <v>311.0</v>
      </c>
      <c r="B800" s="1" t="s">
        <v>17</v>
      </c>
      <c r="C800" s="1" t="s">
        <v>702</v>
      </c>
      <c r="D800" s="1">
        <v>0.25</v>
      </c>
      <c r="E800" s="1">
        <v>0.25</v>
      </c>
      <c r="F800" s="1">
        <v>103.0</v>
      </c>
      <c r="G800" s="1">
        <v>1.0</v>
      </c>
      <c r="H800" s="1">
        <v>558000.0</v>
      </c>
    </row>
    <row r="801">
      <c r="A801" s="1">
        <v>311.0</v>
      </c>
      <c r="B801" s="1" t="s">
        <v>17</v>
      </c>
      <c r="C801" s="1" t="s">
        <v>702</v>
      </c>
      <c r="D801" s="1">
        <v>0.75</v>
      </c>
      <c r="E801" s="1">
        <v>0.0</v>
      </c>
      <c r="F801" s="1" t="s">
        <v>17</v>
      </c>
      <c r="G801" s="1">
        <v>1.0</v>
      </c>
      <c r="H801" s="1">
        <v>0.0</v>
      </c>
    </row>
    <row r="802">
      <c r="A802" s="1">
        <v>311.0</v>
      </c>
      <c r="B802" s="1" t="s">
        <v>17</v>
      </c>
      <c r="C802" s="1" t="s">
        <v>844</v>
      </c>
      <c r="D802" s="1">
        <v>0.0</v>
      </c>
      <c r="E802" s="1">
        <v>0.0</v>
      </c>
      <c r="F802" s="1" t="s">
        <v>17</v>
      </c>
      <c r="G802" s="1">
        <v>1.0</v>
      </c>
      <c r="H802" s="1">
        <v>0.0</v>
      </c>
    </row>
    <row r="803">
      <c r="A803" s="1">
        <v>311.0</v>
      </c>
      <c r="B803" s="1" t="s">
        <v>17</v>
      </c>
      <c r="C803" s="1" t="s">
        <v>844</v>
      </c>
      <c r="D803" s="1">
        <v>0.0</v>
      </c>
      <c r="E803" s="1">
        <v>0.0</v>
      </c>
      <c r="F803" s="1" t="s">
        <v>17</v>
      </c>
      <c r="G803" s="1">
        <v>1.0</v>
      </c>
      <c r="H803" s="1">
        <v>0.0</v>
      </c>
    </row>
    <row r="804">
      <c r="A804" s="1">
        <v>311.0</v>
      </c>
      <c r="B804" s="1" t="s">
        <v>17</v>
      </c>
      <c r="C804" s="1" t="s">
        <v>845</v>
      </c>
      <c r="D804" s="1" t="s">
        <v>17</v>
      </c>
      <c r="E804" s="1" t="s">
        <v>17</v>
      </c>
      <c r="F804" s="1" t="s">
        <v>17</v>
      </c>
      <c r="G804" s="1">
        <v>1.0</v>
      </c>
      <c r="H804" s="1">
        <v>0.0</v>
      </c>
    </row>
    <row r="805">
      <c r="A805" s="1">
        <v>311.0</v>
      </c>
      <c r="B805" s="1" t="s">
        <v>17</v>
      </c>
      <c r="C805" s="1" t="s">
        <v>846</v>
      </c>
      <c r="D805" s="1">
        <v>0.5</v>
      </c>
      <c r="E805" s="1" t="s">
        <v>17</v>
      </c>
      <c r="F805" s="1" t="s">
        <v>17</v>
      </c>
      <c r="G805" s="1">
        <v>1.0</v>
      </c>
      <c r="H805" s="1">
        <v>136200.0</v>
      </c>
    </row>
    <row r="806">
      <c r="A806" s="1">
        <v>311.0</v>
      </c>
      <c r="B806" s="1" t="s">
        <v>17</v>
      </c>
      <c r="C806" s="1" t="s">
        <v>846</v>
      </c>
      <c r="D806" s="1">
        <v>1.0</v>
      </c>
      <c r="E806" s="1" t="s">
        <v>17</v>
      </c>
      <c r="F806" s="1" t="s">
        <v>17</v>
      </c>
      <c r="G806" s="1">
        <v>1.0</v>
      </c>
      <c r="H806" s="1">
        <v>0.0</v>
      </c>
    </row>
    <row r="807">
      <c r="A807" s="1">
        <v>312.0</v>
      </c>
      <c r="B807" s="1" t="s">
        <v>17</v>
      </c>
      <c r="C807" s="1" t="s">
        <v>847</v>
      </c>
      <c r="D807" s="1" t="s">
        <v>17</v>
      </c>
      <c r="E807" s="1" t="s">
        <v>17</v>
      </c>
      <c r="F807" s="1" t="s">
        <v>17</v>
      </c>
      <c r="G807" s="1">
        <v>1.0</v>
      </c>
      <c r="H807" s="1">
        <v>107500.0</v>
      </c>
    </row>
    <row r="808">
      <c r="A808" s="1">
        <v>312.0</v>
      </c>
      <c r="B808" s="1" t="s">
        <v>17</v>
      </c>
      <c r="C808" s="1" t="s">
        <v>848</v>
      </c>
      <c r="D808" s="1" t="s">
        <v>17</v>
      </c>
      <c r="E808" s="1" t="s">
        <v>17</v>
      </c>
      <c r="F808" s="1" t="s">
        <v>17</v>
      </c>
      <c r="G808" s="1">
        <v>1.0</v>
      </c>
      <c r="H808" s="1">
        <v>89500.0</v>
      </c>
    </row>
    <row r="809">
      <c r="A809" s="1">
        <v>313.0</v>
      </c>
      <c r="B809" s="1" t="s">
        <v>17</v>
      </c>
      <c r="C809" s="1" t="s">
        <v>849</v>
      </c>
      <c r="D809" s="1" t="s">
        <v>17</v>
      </c>
      <c r="E809" s="1" t="s">
        <v>17</v>
      </c>
      <c r="F809" s="1" t="s">
        <v>17</v>
      </c>
      <c r="G809" s="1">
        <v>1.0</v>
      </c>
      <c r="H809" s="1">
        <v>97000.0</v>
      </c>
    </row>
    <row r="810">
      <c r="A810" s="1">
        <v>313.0</v>
      </c>
      <c r="B810" s="1" t="s">
        <v>601</v>
      </c>
      <c r="C810" s="1" t="s">
        <v>616</v>
      </c>
      <c r="D810" s="1">
        <v>-0.5</v>
      </c>
      <c r="E810" s="1">
        <v>-0.25</v>
      </c>
      <c r="F810" s="1">
        <v>20.0</v>
      </c>
      <c r="G810" s="1">
        <v>1.0</v>
      </c>
      <c r="H810" s="1">
        <v>52000.0</v>
      </c>
    </row>
    <row r="811">
      <c r="A811" s="1">
        <v>313.0</v>
      </c>
      <c r="B811" s="1" t="s">
        <v>607</v>
      </c>
      <c r="C811" s="1" t="s">
        <v>616</v>
      </c>
      <c r="D811" s="1">
        <v>-0.75</v>
      </c>
      <c r="E811" s="1">
        <v>0.0</v>
      </c>
      <c r="F811" s="1" t="s">
        <v>17</v>
      </c>
      <c r="G811" s="1">
        <v>1.0</v>
      </c>
      <c r="H811" s="1">
        <v>0.0</v>
      </c>
    </row>
    <row r="812">
      <c r="A812" s="1">
        <v>313.0</v>
      </c>
      <c r="B812" s="1" t="s">
        <v>601</v>
      </c>
      <c r="C812" s="1" t="s">
        <v>606</v>
      </c>
      <c r="D812" s="1">
        <v>0.0</v>
      </c>
      <c r="E812" s="1">
        <v>0.0</v>
      </c>
      <c r="F812" s="1" t="s">
        <v>17</v>
      </c>
      <c r="G812" s="1">
        <v>1.0</v>
      </c>
      <c r="H812" s="1">
        <v>12900.0</v>
      </c>
    </row>
    <row r="813">
      <c r="A813" s="1">
        <v>313.0</v>
      </c>
      <c r="B813" s="1" t="s">
        <v>607</v>
      </c>
      <c r="C813" s="1" t="s">
        <v>606</v>
      </c>
      <c r="D813" s="1">
        <v>0.0</v>
      </c>
      <c r="E813" s="1">
        <v>0.0</v>
      </c>
      <c r="F813" s="1" t="s">
        <v>17</v>
      </c>
      <c r="G813" s="1">
        <v>1.0</v>
      </c>
      <c r="H813" s="1">
        <v>0.0</v>
      </c>
    </row>
    <row r="814">
      <c r="A814" s="1">
        <v>314.0</v>
      </c>
      <c r="B814" s="1" t="s">
        <v>17</v>
      </c>
      <c r="C814" s="1" t="s">
        <v>828</v>
      </c>
      <c r="D814" s="1" t="s">
        <v>17</v>
      </c>
      <c r="E814" s="1" t="s">
        <v>17</v>
      </c>
      <c r="F814" s="1" t="s">
        <v>17</v>
      </c>
      <c r="G814" s="1">
        <v>1.0</v>
      </c>
      <c r="H814" s="1">
        <v>171000.0</v>
      </c>
    </row>
    <row r="815">
      <c r="A815" s="1">
        <v>314.0</v>
      </c>
      <c r="B815" s="1" t="s">
        <v>601</v>
      </c>
      <c r="C815" s="1" t="s">
        <v>611</v>
      </c>
      <c r="D815" s="1">
        <v>0.0</v>
      </c>
      <c r="E815" s="1">
        <v>-0.25</v>
      </c>
      <c r="F815" s="1">
        <v>170.0</v>
      </c>
      <c r="G815" s="1">
        <v>1.0</v>
      </c>
      <c r="H815" s="1">
        <v>98000.0</v>
      </c>
    </row>
    <row r="816">
      <c r="A816" s="1">
        <v>314.0</v>
      </c>
      <c r="B816" s="1" t="s">
        <v>607</v>
      </c>
      <c r="C816" s="1" t="s">
        <v>611</v>
      </c>
      <c r="D816" s="1">
        <v>0.0</v>
      </c>
      <c r="E816" s="1">
        <v>-0.25</v>
      </c>
      <c r="F816" s="1">
        <v>0.0</v>
      </c>
      <c r="G816" s="1">
        <v>1.0</v>
      </c>
      <c r="H816" s="1">
        <v>0.0</v>
      </c>
    </row>
    <row r="817">
      <c r="A817" s="1">
        <v>315.0</v>
      </c>
      <c r="B817" s="1" t="s">
        <v>17</v>
      </c>
      <c r="C817" s="1" t="s">
        <v>736</v>
      </c>
      <c r="D817" s="1" t="s">
        <v>17</v>
      </c>
      <c r="E817" s="1" t="s">
        <v>17</v>
      </c>
      <c r="F817" s="1" t="s">
        <v>17</v>
      </c>
      <c r="G817" s="1">
        <v>1.0</v>
      </c>
      <c r="H817" s="1">
        <v>402498.0</v>
      </c>
    </row>
    <row r="818">
      <c r="A818" s="1">
        <v>315.0</v>
      </c>
      <c r="B818" s="1" t="s">
        <v>17</v>
      </c>
      <c r="C818" s="1" t="s">
        <v>736</v>
      </c>
      <c r="D818" s="1" t="s">
        <v>17</v>
      </c>
      <c r="E818" s="1" t="s">
        <v>17</v>
      </c>
      <c r="F818" s="1" t="s">
        <v>17</v>
      </c>
      <c r="G818" s="1">
        <v>1.0</v>
      </c>
      <c r="H818" s="1">
        <v>0.0</v>
      </c>
    </row>
    <row r="819">
      <c r="A819" s="1">
        <v>315.0</v>
      </c>
      <c r="B819" s="1" t="s">
        <v>17</v>
      </c>
      <c r="C819" s="1" t="s">
        <v>702</v>
      </c>
      <c r="D819" s="1">
        <v>2.0</v>
      </c>
      <c r="E819" s="1">
        <v>0.0</v>
      </c>
      <c r="F819" s="1" t="s">
        <v>17</v>
      </c>
      <c r="G819" s="1">
        <v>1.0</v>
      </c>
      <c r="H819" s="1">
        <v>0.0</v>
      </c>
    </row>
    <row r="820">
      <c r="A820" s="1">
        <v>315.0</v>
      </c>
      <c r="B820" s="1" t="s">
        <v>17</v>
      </c>
      <c r="C820" s="1" t="s">
        <v>702</v>
      </c>
      <c r="D820" s="1">
        <v>2.0</v>
      </c>
      <c r="E820" s="1">
        <v>0.0</v>
      </c>
      <c r="F820" s="1" t="s">
        <v>17</v>
      </c>
      <c r="G820" s="1">
        <v>1.0</v>
      </c>
      <c r="H820" s="1">
        <v>0.0</v>
      </c>
    </row>
    <row r="821">
      <c r="A821" s="1">
        <v>316.0</v>
      </c>
      <c r="B821" s="1" t="s">
        <v>17</v>
      </c>
      <c r="C821" s="1" t="s">
        <v>850</v>
      </c>
      <c r="D821" s="1" t="s">
        <v>17</v>
      </c>
      <c r="E821" s="1" t="s">
        <v>17</v>
      </c>
      <c r="F821" s="1" t="s">
        <v>17</v>
      </c>
      <c r="G821" s="1">
        <v>1.0</v>
      </c>
      <c r="H821" s="1">
        <v>182500.0</v>
      </c>
    </row>
    <row r="822">
      <c r="A822" s="1">
        <v>316.0</v>
      </c>
      <c r="B822" s="1" t="s">
        <v>17</v>
      </c>
      <c r="C822" s="1" t="s">
        <v>616</v>
      </c>
      <c r="D822" s="1">
        <v>0.25</v>
      </c>
      <c r="E822" s="1">
        <v>-0.5</v>
      </c>
      <c r="F822" s="1">
        <v>86.0</v>
      </c>
      <c r="G822" s="1">
        <v>1.0</v>
      </c>
      <c r="H822" s="1">
        <v>50000.0</v>
      </c>
    </row>
    <row r="823">
      <c r="A823" s="1">
        <v>316.0</v>
      </c>
      <c r="B823" s="1" t="s">
        <v>17</v>
      </c>
      <c r="C823" s="1" t="s">
        <v>616</v>
      </c>
      <c r="D823" s="1">
        <v>0.25</v>
      </c>
      <c r="E823" s="1">
        <v>-0.5</v>
      </c>
      <c r="F823" s="1">
        <v>90.0</v>
      </c>
      <c r="G823" s="1">
        <v>1.0</v>
      </c>
      <c r="H823" s="1">
        <v>0.0</v>
      </c>
    </row>
    <row r="824">
      <c r="A824" s="1">
        <v>317.0</v>
      </c>
      <c r="B824" s="1" t="s">
        <v>17</v>
      </c>
      <c r="C824" s="1" t="s">
        <v>736</v>
      </c>
      <c r="D824" s="1" t="s">
        <v>17</v>
      </c>
      <c r="E824" s="1" t="s">
        <v>17</v>
      </c>
      <c r="F824" s="1" t="s">
        <v>17</v>
      </c>
      <c r="G824" s="1">
        <v>1.0</v>
      </c>
      <c r="H824" s="1">
        <v>60000.0</v>
      </c>
    </row>
    <row r="825">
      <c r="A825" s="1">
        <v>317.0</v>
      </c>
      <c r="B825" s="1" t="s">
        <v>17</v>
      </c>
      <c r="C825" s="1" t="s">
        <v>668</v>
      </c>
      <c r="D825" s="1">
        <v>0.0</v>
      </c>
      <c r="E825" s="1">
        <v>3.5</v>
      </c>
      <c r="F825" s="1">
        <v>20.0</v>
      </c>
      <c r="G825" s="1">
        <v>1.0</v>
      </c>
      <c r="H825" s="1">
        <v>17000.0</v>
      </c>
    </row>
    <row r="826">
      <c r="A826" s="1">
        <v>317.0</v>
      </c>
      <c r="B826" s="1" t="s">
        <v>17</v>
      </c>
      <c r="C826" s="1" t="s">
        <v>668</v>
      </c>
      <c r="D826" s="1">
        <v>2.0</v>
      </c>
      <c r="E826" s="1">
        <v>0.0</v>
      </c>
      <c r="F826" s="1" t="s">
        <v>17</v>
      </c>
      <c r="G826" s="1">
        <v>1.0</v>
      </c>
      <c r="H826" s="1">
        <v>0.0</v>
      </c>
    </row>
    <row r="827">
      <c r="A827" s="1">
        <v>318.0</v>
      </c>
      <c r="B827" s="1" t="s">
        <v>601</v>
      </c>
      <c r="C827" s="1" t="s">
        <v>702</v>
      </c>
      <c r="D827" s="1">
        <v>3.0</v>
      </c>
      <c r="E827" s="1">
        <v>0.5</v>
      </c>
      <c r="F827" s="1">
        <v>125.0</v>
      </c>
      <c r="G827" s="1">
        <v>1.0</v>
      </c>
      <c r="H827" s="1">
        <v>402000.0</v>
      </c>
    </row>
    <row r="828">
      <c r="A828" s="1">
        <v>318.0</v>
      </c>
      <c r="B828" s="1" t="s">
        <v>607</v>
      </c>
      <c r="C828" s="1" t="s">
        <v>702</v>
      </c>
      <c r="D828" s="1">
        <v>3.5</v>
      </c>
      <c r="E828" s="1">
        <v>0.25</v>
      </c>
      <c r="F828" s="1">
        <v>170.0</v>
      </c>
      <c r="G828" s="1">
        <v>1.0</v>
      </c>
      <c r="H828" s="1">
        <v>0.0</v>
      </c>
    </row>
    <row r="829">
      <c r="A829" s="1">
        <v>319.0</v>
      </c>
      <c r="B829" s="1" t="s">
        <v>601</v>
      </c>
      <c r="C829" s="1" t="s">
        <v>611</v>
      </c>
      <c r="D829" s="1">
        <v>-0.25</v>
      </c>
      <c r="E829" s="1">
        <v>-0.75</v>
      </c>
      <c r="F829" s="1">
        <v>165.0</v>
      </c>
      <c r="G829" s="1">
        <v>1.0</v>
      </c>
      <c r="H829" s="1">
        <v>67000.0</v>
      </c>
    </row>
    <row r="830">
      <c r="A830" s="1">
        <v>319.0</v>
      </c>
      <c r="B830" s="1" t="s">
        <v>607</v>
      </c>
      <c r="C830" s="1" t="s">
        <v>611</v>
      </c>
      <c r="D830" s="1">
        <v>-0.5</v>
      </c>
      <c r="E830" s="1">
        <v>-1.0</v>
      </c>
      <c r="F830" s="1">
        <v>180.0</v>
      </c>
      <c r="G830" s="1">
        <v>1.0</v>
      </c>
      <c r="H830" s="1">
        <v>0.0</v>
      </c>
    </row>
    <row r="831">
      <c r="A831" s="1">
        <v>320.0</v>
      </c>
      <c r="B831" s="1" t="s">
        <v>17</v>
      </c>
      <c r="C831" s="1" t="s">
        <v>736</v>
      </c>
      <c r="D831" s="1" t="s">
        <v>17</v>
      </c>
      <c r="E831" s="1" t="s">
        <v>17</v>
      </c>
      <c r="F831" s="1" t="s">
        <v>17</v>
      </c>
      <c r="G831" s="1">
        <v>1.0</v>
      </c>
      <c r="H831" s="1">
        <v>75000.0</v>
      </c>
    </row>
    <row r="832">
      <c r="A832" s="1">
        <v>320.0</v>
      </c>
      <c r="B832" s="1" t="s">
        <v>17</v>
      </c>
      <c r="C832" s="1" t="s">
        <v>616</v>
      </c>
      <c r="D832" s="1">
        <v>-0.75</v>
      </c>
      <c r="E832" s="1">
        <v>-0.75</v>
      </c>
      <c r="F832" s="1">
        <v>160.0</v>
      </c>
      <c r="G832" s="1">
        <v>1.0</v>
      </c>
      <c r="H832" s="1">
        <v>53000.0</v>
      </c>
    </row>
    <row r="833">
      <c r="A833" s="1">
        <v>320.0</v>
      </c>
      <c r="B833" s="1" t="s">
        <v>17</v>
      </c>
      <c r="C833" s="1" t="s">
        <v>616</v>
      </c>
      <c r="D833" s="1">
        <v>-0.75</v>
      </c>
      <c r="E833" s="1">
        <v>-0.25</v>
      </c>
      <c r="F833" s="1">
        <v>170.0</v>
      </c>
      <c r="G833" s="1">
        <v>1.0</v>
      </c>
      <c r="H833" s="1">
        <v>0.0</v>
      </c>
    </row>
    <row r="834">
      <c r="A834" s="1">
        <v>321.0</v>
      </c>
      <c r="B834" s="1" t="s">
        <v>17</v>
      </c>
      <c r="C834" s="1" t="s">
        <v>616</v>
      </c>
      <c r="D834" s="1">
        <v>0.25</v>
      </c>
      <c r="E834" s="1">
        <v>-0.5</v>
      </c>
      <c r="F834" s="1">
        <v>105.0</v>
      </c>
      <c r="G834" s="1">
        <v>1.0</v>
      </c>
      <c r="H834" s="1">
        <v>72000.0</v>
      </c>
    </row>
    <row r="835">
      <c r="A835" s="1">
        <v>321.0</v>
      </c>
      <c r="B835" s="1" t="s">
        <v>17</v>
      </c>
      <c r="C835" s="1" t="s">
        <v>616</v>
      </c>
      <c r="D835" s="1">
        <v>0.5</v>
      </c>
      <c r="E835" s="1">
        <v>-0.5</v>
      </c>
      <c r="F835" s="1">
        <v>75.0</v>
      </c>
      <c r="G835" s="1">
        <v>1.0</v>
      </c>
      <c r="H835" s="1">
        <v>0.0</v>
      </c>
    </row>
    <row r="836">
      <c r="A836" s="1">
        <v>322.0</v>
      </c>
      <c r="B836" s="1" t="s">
        <v>17</v>
      </c>
      <c r="C836" s="1" t="s">
        <v>677</v>
      </c>
      <c r="D836" s="1">
        <v>1.25</v>
      </c>
      <c r="E836" s="1">
        <v>0.5</v>
      </c>
      <c r="F836" s="1">
        <v>60.0</v>
      </c>
      <c r="G836" s="1">
        <v>1.0</v>
      </c>
      <c r="H836" s="1">
        <v>207000.0</v>
      </c>
    </row>
    <row r="837">
      <c r="A837" s="1">
        <v>322.0</v>
      </c>
      <c r="B837" s="1" t="s">
        <v>17</v>
      </c>
      <c r="C837" s="1" t="s">
        <v>677</v>
      </c>
      <c r="D837" s="1">
        <v>0.0</v>
      </c>
      <c r="E837" s="1">
        <v>0.5</v>
      </c>
      <c r="F837" s="1">
        <v>105.0</v>
      </c>
      <c r="G837" s="1">
        <v>1.0</v>
      </c>
      <c r="H837" s="1">
        <v>0.0</v>
      </c>
    </row>
    <row r="838">
      <c r="A838" s="1">
        <v>322.0</v>
      </c>
      <c r="B838" s="1" t="s">
        <v>17</v>
      </c>
      <c r="C838" s="1" t="s">
        <v>606</v>
      </c>
      <c r="D838" s="1">
        <v>3.0</v>
      </c>
      <c r="E838" s="1">
        <v>0.5</v>
      </c>
      <c r="F838" s="1">
        <v>60.0</v>
      </c>
      <c r="G838" s="1">
        <v>1.0</v>
      </c>
      <c r="H838" s="1">
        <v>21000.0</v>
      </c>
    </row>
    <row r="839">
      <c r="A839" s="1">
        <v>322.0</v>
      </c>
      <c r="B839" s="1" t="s">
        <v>17</v>
      </c>
      <c r="C839" s="1" t="s">
        <v>606</v>
      </c>
      <c r="D839" s="1">
        <v>1.75</v>
      </c>
      <c r="E839" s="1">
        <v>0.5</v>
      </c>
      <c r="F839" s="1">
        <v>105.0</v>
      </c>
      <c r="G839" s="1">
        <v>1.0</v>
      </c>
      <c r="H839" s="1">
        <v>0.0</v>
      </c>
    </row>
    <row r="840">
      <c r="A840" s="1">
        <v>322.0</v>
      </c>
      <c r="B840" s="1" t="s">
        <v>17</v>
      </c>
      <c r="C840" s="1" t="s">
        <v>736</v>
      </c>
      <c r="D840" s="1" t="s">
        <v>17</v>
      </c>
      <c r="E840" s="1" t="s">
        <v>17</v>
      </c>
      <c r="F840" s="1" t="s">
        <v>17</v>
      </c>
      <c r="G840" s="1">
        <v>1.0</v>
      </c>
      <c r="H840" s="1">
        <v>70000.0</v>
      </c>
    </row>
    <row r="841">
      <c r="A841" s="1">
        <v>323.0</v>
      </c>
      <c r="B841" s="1" t="s">
        <v>17</v>
      </c>
      <c r="C841" s="1" t="s">
        <v>851</v>
      </c>
      <c r="D841" s="1">
        <v>0.0</v>
      </c>
      <c r="E841" s="1">
        <v>0.0</v>
      </c>
      <c r="F841" s="1" t="s">
        <v>17</v>
      </c>
      <c r="G841" s="1">
        <v>1.0</v>
      </c>
      <c r="H841" s="1">
        <v>695000.0</v>
      </c>
    </row>
    <row r="842">
      <c r="A842" s="1">
        <v>323.0</v>
      </c>
      <c r="B842" s="1" t="s">
        <v>17</v>
      </c>
      <c r="C842" s="1" t="s">
        <v>851</v>
      </c>
      <c r="D842" s="1">
        <v>0.0</v>
      </c>
      <c r="E842" s="1">
        <v>0.0</v>
      </c>
      <c r="F842" s="1" t="s">
        <v>17</v>
      </c>
      <c r="G842" s="1">
        <v>1.0</v>
      </c>
      <c r="H842" s="1">
        <v>0.0</v>
      </c>
    </row>
    <row r="843">
      <c r="A843" s="1">
        <v>324.0</v>
      </c>
      <c r="B843" s="1" t="s">
        <v>17</v>
      </c>
      <c r="C843" s="1" t="s">
        <v>668</v>
      </c>
      <c r="D843" s="1">
        <v>0.0</v>
      </c>
      <c r="E843" s="1">
        <v>0.0</v>
      </c>
      <c r="F843" s="1" t="s">
        <v>17</v>
      </c>
      <c r="G843" s="1">
        <v>1.0</v>
      </c>
      <c r="H843" s="1">
        <v>190000.0</v>
      </c>
    </row>
    <row r="844">
      <c r="A844" s="1">
        <v>325.0</v>
      </c>
      <c r="B844" s="1" t="s">
        <v>17</v>
      </c>
      <c r="C844" s="1" t="s">
        <v>606</v>
      </c>
      <c r="D844" s="1">
        <v>0.0</v>
      </c>
      <c r="E844" s="1">
        <v>0.0</v>
      </c>
      <c r="F844" s="1" t="s">
        <v>17</v>
      </c>
      <c r="G844" s="1">
        <v>1.0</v>
      </c>
      <c r="H844" s="1">
        <v>41400.0</v>
      </c>
    </row>
    <row r="845">
      <c r="A845" s="1">
        <v>326.0</v>
      </c>
      <c r="B845" s="1" t="s">
        <v>17</v>
      </c>
      <c r="C845" s="1" t="s">
        <v>841</v>
      </c>
      <c r="D845" s="1" t="s">
        <v>17</v>
      </c>
      <c r="E845" s="1" t="s">
        <v>17</v>
      </c>
      <c r="F845" s="1" t="s">
        <v>17</v>
      </c>
      <c r="G845" s="1">
        <v>1.0</v>
      </c>
      <c r="H845" s="1">
        <v>135000.0</v>
      </c>
    </row>
    <row r="846">
      <c r="A846" s="1">
        <v>327.0</v>
      </c>
      <c r="B846" s="1" t="s">
        <v>17</v>
      </c>
      <c r="C846" s="1" t="s">
        <v>686</v>
      </c>
      <c r="D846" s="1" t="s">
        <v>17</v>
      </c>
      <c r="E846" s="1" t="s">
        <v>17</v>
      </c>
      <c r="F846" s="1" t="s">
        <v>17</v>
      </c>
      <c r="G846" s="1">
        <v>1.0</v>
      </c>
      <c r="H846" s="1">
        <v>306000.0</v>
      </c>
    </row>
    <row r="847">
      <c r="A847" s="1">
        <v>327.0</v>
      </c>
      <c r="B847" s="1" t="s">
        <v>17</v>
      </c>
      <c r="C847" s="1" t="s">
        <v>761</v>
      </c>
      <c r="D847" s="1" t="s">
        <v>17</v>
      </c>
      <c r="E847" s="1" t="s">
        <v>17</v>
      </c>
      <c r="F847" s="1" t="s">
        <v>17</v>
      </c>
      <c r="G847" s="1">
        <v>1.0</v>
      </c>
      <c r="H847" s="1">
        <v>0.0</v>
      </c>
    </row>
    <row r="848">
      <c r="A848" s="1">
        <v>327.0</v>
      </c>
      <c r="B848" s="1" t="s">
        <v>17</v>
      </c>
      <c r="C848" s="1" t="s">
        <v>616</v>
      </c>
      <c r="D848" s="1">
        <v>0.0</v>
      </c>
      <c r="E848" s="1">
        <v>0.0</v>
      </c>
      <c r="F848" s="1" t="s">
        <v>17</v>
      </c>
      <c r="G848" s="1">
        <v>1.0</v>
      </c>
      <c r="H848" s="1">
        <v>0.0</v>
      </c>
    </row>
    <row r="849">
      <c r="A849" s="1">
        <v>327.0</v>
      </c>
      <c r="B849" s="1" t="s">
        <v>17</v>
      </c>
      <c r="C849" s="1" t="s">
        <v>616</v>
      </c>
      <c r="D849" s="1">
        <v>0.0</v>
      </c>
      <c r="E849" s="1">
        <v>0.0</v>
      </c>
      <c r="F849" s="1" t="s">
        <v>17</v>
      </c>
      <c r="G849" s="1">
        <v>1.0</v>
      </c>
      <c r="H849" s="1">
        <v>0.0</v>
      </c>
    </row>
    <row r="850">
      <c r="A850" s="1">
        <v>328.0</v>
      </c>
      <c r="B850" s="1" t="s">
        <v>17</v>
      </c>
      <c r="C850" s="1" t="s">
        <v>616</v>
      </c>
      <c r="D850" s="1">
        <v>0.0</v>
      </c>
      <c r="E850" s="1">
        <v>0.0</v>
      </c>
      <c r="F850" s="1" t="s">
        <v>17</v>
      </c>
      <c r="G850" s="1">
        <v>1.0</v>
      </c>
      <c r="H850" s="1">
        <v>96500.0</v>
      </c>
    </row>
    <row r="851">
      <c r="A851" s="1">
        <v>328.0</v>
      </c>
      <c r="B851" s="1" t="s">
        <v>17</v>
      </c>
      <c r="C851" s="1" t="s">
        <v>616</v>
      </c>
      <c r="D851" s="1">
        <v>0.0</v>
      </c>
      <c r="E851" s="1">
        <v>0.0</v>
      </c>
      <c r="F851" s="1" t="s">
        <v>17</v>
      </c>
      <c r="G851" s="1">
        <v>1.0</v>
      </c>
      <c r="H851" s="1">
        <v>176200.0</v>
      </c>
    </row>
    <row r="852">
      <c r="A852" s="1">
        <v>329.0</v>
      </c>
      <c r="B852" s="1" t="s">
        <v>17</v>
      </c>
      <c r="C852" s="1" t="s">
        <v>668</v>
      </c>
      <c r="D852" s="1">
        <v>0.0</v>
      </c>
      <c r="E852" s="1">
        <v>0.0</v>
      </c>
      <c r="F852" s="1" t="s">
        <v>17</v>
      </c>
      <c r="G852" s="1">
        <v>1.0</v>
      </c>
      <c r="H852" s="1">
        <v>87000.0</v>
      </c>
    </row>
    <row r="853">
      <c r="A853" s="1">
        <v>329.0</v>
      </c>
      <c r="B853" s="1" t="s">
        <v>17</v>
      </c>
      <c r="C853" s="1" t="s">
        <v>668</v>
      </c>
      <c r="D853" s="1">
        <v>0.0</v>
      </c>
      <c r="E853" s="1">
        <v>0.0</v>
      </c>
      <c r="F853" s="1" t="s">
        <v>17</v>
      </c>
      <c r="G853" s="1">
        <v>1.0</v>
      </c>
      <c r="H853" s="1">
        <v>0.0</v>
      </c>
    </row>
    <row r="854">
      <c r="A854" s="1">
        <v>330.0</v>
      </c>
      <c r="B854" s="1" t="s">
        <v>17</v>
      </c>
      <c r="C854" s="1" t="s">
        <v>702</v>
      </c>
      <c r="D854" s="1">
        <v>0.0</v>
      </c>
      <c r="E854" s="1">
        <v>0.0</v>
      </c>
      <c r="F854" s="1" t="s">
        <v>17</v>
      </c>
      <c r="G854" s="1">
        <v>1.0</v>
      </c>
      <c r="H854" s="1">
        <v>522500.0</v>
      </c>
    </row>
    <row r="855">
      <c r="A855" s="1">
        <v>330.0</v>
      </c>
      <c r="B855" s="1" t="s">
        <v>17</v>
      </c>
      <c r="C855" s="1" t="s">
        <v>702</v>
      </c>
      <c r="D855" s="1">
        <v>0.0</v>
      </c>
      <c r="E855" s="1">
        <v>0.0</v>
      </c>
      <c r="F855" s="1" t="s">
        <v>17</v>
      </c>
      <c r="G855" s="1">
        <v>1.0</v>
      </c>
      <c r="H855" s="1">
        <v>0.0</v>
      </c>
    </row>
    <row r="856">
      <c r="A856" s="1">
        <v>331.0</v>
      </c>
      <c r="B856" s="1" t="s">
        <v>17</v>
      </c>
      <c r="C856" s="1" t="s">
        <v>616</v>
      </c>
      <c r="D856" s="1">
        <v>0.0</v>
      </c>
      <c r="E856" s="1">
        <v>0.0</v>
      </c>
      <c r="F856" s="1" t="s">
        <v>17</v>
      </c>
      <c r="G856" s="1">
        <v>1.0</v>
      </c>
      <c r="H856" s="1">
        <v>224700.0</v>
      </c>
    </row>
    <row r="857">
      <c r="A857" s="1">
        <v>332.0</v>
      </c>
      <c r="B857" s="1" t="s">
        <v>17</v>
      </c>
      <c r="C857" s="1" t="s">
        <v>742</v>
      </c>
      <c r="D857" s="1">
        <v>0.0</v>
      </c>
      <c r="E857" s="1">
        <v>0.0</v>
      </c>
      <c r="F857" s="1" t="s">
        <v>17</v>
      </c>
      <c r="G857" s="1">
        <v>1.0</v>
      </c>
      <c r="H857" s="1">
        <v>405000.0</v>
      </c>
    </row>
    <row r="858">
      <c r="A858" s="1">
        <v>332.0</v>
      </c>
      <c r="B858" s="1" t="s">
        <v>17</v>
      </c>
      <c r="C858" s="1" t="s">
        <v>742</v>
      </c>
      <c r="D858" s="1">
        <v>0.0</v>
      </c>
      <c r="E858" s="1">
        <v>0.0</v>
      </c>
      <c r="F858" s="1" t="s">
        <v>17</v>
      </c>
      <c r="G858" s="1">
        <v>1.0</v>
      </c>
      <c r="H858" s="1">
        <v>0.0</v>
      </c>
    </row>
    <row r="859">
      <c r="A859" s="1">
        <v>333.0</v>
      </c>
      <c r="B859" s="1" t="s">
        <v>17</v>
      </c>
      <c r="C859" s="1" t="s">
        <v>668</v>
      </c>
      <c r="D859" s="1">
        <v>0.0</v>
      </c>
      <c r="E859" s="1">
        <v>0.0</v>
      </c>
      <c r="F859" s="1" t="s">
        <v>17</v>
      </c>
      <c r="G859" s="1">
        <v>1.0</v>
      </c>
      <c r="H859" s="1">
        <v>384000.0</v>
      </c>
    </row>
    <row r="860">
      <c r="A860" s="1">
        <v>334.0</v>
      </c>
      <c r="B860" s="1" t="s">
        <v>17</v>
      </c>
      <c r="C860" s="1" t="s">
        <v>724</v>
      </c>
      <c r="D860" s="1">
        <v>0.0</v>
      </c>
      <c r="E860" s="1">
        <v>0.0</v>
      </c>
      <c r="F860" s="1" t="s">
        <v>17</v>
      </c>
      <c r="G860" s="1">
        <v>1.0</v>
      </c>
      <c r="H860" s="1">
        <v>460000.0</v>
      </c>
    </row>
    <row r="861">
      <c r="A861" s="1">
        <v>334.0</v>
      </c>
      <c r="B861" s="1" t="s">
        <v>17</v>
      </c>
      <c r="C861" s="1" t="s">
        <v>724</v>
      </c>
      <c r="D861" s="1">
        <v>0.0</v>
      </c>
      <c r="E861" s="1">
        <v>0.0</v>
      </c>
      <c r="F861" s="1" t="s">
        <v>17</v>
      </c>
      <c r="G861" s="1">
        <v>1.0</v>
      </c>
      <c r="H861" s="1">
        <v>0.0</v>
      </c>
    </row>
    <row r="862">
      <c r="A862" s="1">
        <v>335.0</v>
      </c>
      <c r="B862" s="1" t="s">
        <v>17</v>
      </c>
      <c r="C862" s="1" t="s">
        <v>606</v>
      </c>
      <c r="D862" s="1">
        <v>0.0</v>
      </c>
      <c r="E862" s="1">
        <v>0.0</v>
      </c>
      <c r="F862" s="1" t="s">
        <v>17</v>
      </c>
      <c r="G862" s="1">
        <v>1.0</v>
      </c>
      <c r="H862" s="1">
        <v>60000.0</v>
      </c>
    </row>
    <row r="863">
      <c r="A863" s="1">
        <v>336.0</v>
      </c>
      <c r="B863" s="1" t="s">
        <v>17</v>
      </c>
      <c r="C863" s="1" t="s">
        <v>781</v>
      </c>
      <c r="D863" s="1">
        <v>0.0</v>
      </c>
      <c r="E863" s="1" t="s">
        <v>17</v>
      </c>
      <c r="F863" s="1" t="s">
        <v>17</v>
      </c>
      <c r="G863" s="1">
        <v>1.0</v>
      </c>
      <c r="H863" s="1">
        <v>100000.0</v>
      </c>
    </row>
    <row r="864">
      <c r="A864" s="1">
        <v>337.0</v>
      </c>
      <c r="B864" s="1" t="s">
        <v>17</v>
      </c>
      <c r="C864" s="1" t="s">
        <v>616</v>
      </c>
      <c r="D864" s="1">
        <v>0.0</v>
      </c>
      <c r="E864" s="1">
        <v>0.0</v>
      </c>
      <c r="F864" s="1" t="s">
        <v>17</v>
      </c>
      <c r="G864" s="1">
        <v>1.0</v>
      </c>
      <c r="H864" s="1">
        <v>119000.0</v>
      </c>
    </row>
    <row r="865">
      <c r="A865" s="1">
        <v>337.0</v>
      </c>
      <c r="B865" s="1" t="s">
        <v>17</v>
      </c>
      <c r="C865" s="1" t="s">
        <v>736</v>
      </c>
      <c r="D865" s="1" t="s">
        <v>17</v>
      </c>
      <c r="E865" s="1" t="s">
        <v>17</v>
      </c>
      <c r="F865" s="1" t="s">
        <v>17</v>
      </c>
      <c r="G865" s="1">
        <v>1.0</v>
      </c>
      <c r="H865" s="1">
        <v>0.0</v>
      </c>
    </row>
    <row r="866">
      <c r="A866" s="1">
        <v>338.0</v>
      </c>
      <c r="B866" s="1" t="s">
        <v>17</v>
      </c>
      <c r="C866" s="1" t="s">
        <v>616</v>
      </c>
      <c r="D866" s="1">
        <v>0.0</v>
      </c>
      <c r="E866" s="1">
        <v>0.0</v>
      </c>
      <c r="F866" s="1" t="s">
        <v>17</v>
      </c>
      <c r="G866" s="1">
        <v>1.0</v>
      </c>
      <c r="H866" s="1">
        <v>55717.0</v>
      </c>
    </row>
    <row r="867">
      <c r="A867" s="1">
        <v>339.0</v>
      </c>
      <c r="B867" s="1" t="s">
        <v>17</v>
      </c>
      <c r="C867" s="1" t="s">
        <v>616</v>
      </c>
      <c r="D867" s="1">
        <v>0.0</v>
      </c>
      <c r="E867" s="1">
        <v>0.0</v>
      </c>
      <c r="F867" s="1" t="s">
        <v>17</v>
      </c>
      <c r="G867" s="1">
        <v>1.0</v>
      </c>
      <c r="H867" s="1">
        <v>524000.0</v>
      </c>
    </row>
    <row r="868">
      <c r="A868" s="1">
        <v>340.0</v>
      </c>
      <c r="B868" s="1" t="s">
        <v>17</v>
      </c>
      <c r="C868" s="1" t="s">
        <v>616</v>
      </c>
      <c r="D868" s="1">
        <v>0.0</v>
      </c>
      <c r="E868" s="1">
        <v>0.0</v>
      </c>
      <c r="F868" s="1" t="s">
        <v>17</v>
      </c>
      <c r="G868" s="1">
        <v>1.0</v>
      </c>
      <c r="H868" s="1">
        <v>100000.0</v>
      </c>
    </row>
    <row r="869">
      <c r="A869" s="1">
        <v>341.0</v>
      </c>
      <c r="B869" s="1" t="s">
        <v>17</v>
      </c>
      <c r="C869" s="1" t="s">
        <v>616</v>
      </c>
      <c r="D869" s="1">
        <v>0.0</v>
      </c>
      <c r="E869" s="1">
        <v>0.0</v>
      </c>
      <c r="F869" s="1" t="s">
        <v>17</v>
      </c>
      <c r="G869" s="1">
        <v>1.0</v>
      </c>
      <c r="H869" s="1">
        <v>177623.0</v>
      </c>
    </row>
    <row r="870">
      <c r="A870" s="1">
        <v>342.0</v>
      </c>
      <c r="B870" s="1" t="s">
        <v>17</v>
      </c>
      <c r="C870" s="1" t="s">
        <v>702</v>
      </c>
      <c r="D870" s="1">
        <v>0.0</v>
      </c>
      <c r="E870" s="1">
        <v>0.0</v>
      </c>
      <c r="F870" s="1" t="s">
        <v>17</v>
      </c>
      <c r="G870" s="1">
        <v>1.0</v>
      </c>
      <c r="H870" s="1">
        <v>443000.0</v>
      </c>
    </row>
    <row r="871">
      <c r="A871" s="1">
        <v>343.0</v>
      </c>
      <c r="B871" s="1" t="s">
        <v>17</v>
      </c>
      <c r="C871" s="1" t="s">
        <v>852</v>
      </c>
      <c r="D871" s="1">
        <v>0.0</v>
      </c>
      <c r="E871" s="1">
        <v>0.0</v>
      </c>
      <c r="F871" s="1" t="s">
        <v>17</v>
      </c>
      <c r="G871" s="1">
        <v>1.0</v>
      </c>
      <c r="H871" s="1">
        <v>446000.0</v>
      </c>
    </row>
    <row r="872">
      <c r="A872" s="1">
        <v>344.0</v>
      </c>
      <c r="B872" s="1" t="s">
        <v>17</v>
      </c>
      <c r="C872" s="1" t="s">
        <v>702</v>
      </c>
      <c r="D872" s="1">
        <v>0.0</v>
      </c>
      <c r="E872" s="1">
        <v>0.0</v>
      </c>
      <c r="F872" s="1" t="s">
        <v>17</v>
      </c>
      <c r="G872" s="1">
        <v>1.0</v>
      </c>
      <c r="H872" s="1">
        <v>420500.0</v>
      </c>
    </row>
    <row r="873">
      <c r="A873" s="1">
        <v>345.0</v>
      </c>
      <c r="B873" s="1" t="s">
        <v>17</v>
      </c>
      <c r="C873" s="1" t="s">
        <v>616</v>
      </c>
      <c r="D873" s="1">
        <v>0.0</v>
      </c>
      <c r="E873" s="1">
        <v>0.0</v>
      </c>
      <c r="F873" s="1" t="s">
        <v>17</v>
      </c>
      <c r="G873" s="1">
        <v>1.0</v>
      </c>
      <c r="H873" s="1">
        <v>88000.0</v>
      </c>
    </row>
    <row r="874">
      <c r="A874" s="1">
        <v>346.0</v>
      </c>
      <c r="B874" s="1" t="s">
        <v>17</v>
      </c>
      <c r="C874" s="1" t="s">
        <v>616</v>
      </c>
      <c r="D874" s="1">
        <v>0.0</v>
      </c>
      <c r="E874" s="1">
        <v>0.0</v>
      </c>
      <c r="F874" s="1" t="s">
        <v>17</v>
      </c>
      <c r="G874" s="1">
        <v>1.0</v>
      </c>
      <c r="H874" s="1">
        <v>348000.0</v>
      </c>
    </row>
    <row r="875">
      <c r="A875" s="1">
        <v>347.0</v>
      </c>
      <c r="B875" s="1" t="s">
        <v>17</v>
      </c>
      <c r="C875" s="1" t="s">
        <v>841</v>
      </c>
      <c r="D875" s="1" t="s">
        <v>17</v>
      </c>
      <c r="E875" s="1" t="s">
        <v>17</v>
      </c>
      <c r="F875" s="1" t="s">
        <v>17</v>
      </c>
      <c r="G875" s="1">
        <v>1.0</v>
      </c>
      <c r="H875" s="1">
        <v>264000.0</v>
      </c>
    </row>
    <row r="876">
      <c r="A876" s="1">
        <v>348.0</v>
      </c>
      <c r="B876" s="1" t="s">
        <v>17</v>
      </c>
      <c r="C876" s="1" t="s">
        <v>841</v>
      </c>
      <c r="D876" s="1" t="s">
        <v>17</v>
      </c>
      <c r="E876" s="1" t="s">
        <v>17</v>
      </c>
      <c r="F876" s="1" t="s">
        <v>17</v>
      </c>
      <c r="G876" s="1">
        <v>1.0</v>
      </c>
      <c r="H876" s="1">
        <v>360000.0</v>
      </c>
    </row>
    <row r="877">
      <c r="A877" s="1">
        <v>348.0</v>
      </c>
      <c r="B877" s="1" t="s">
        <v>17</v>
      </c>
      <c r="C877" s="1" t="s">
        <v>841</v>
      </c>
      <c r="D877" s="1" t="s">
        <v>17</v>
      </c>
      <c r="E877" s="1" t="s">
        <v>17</v>
      </c>
      <c r="F877" s="1" t="s">
        <v>17</v>
      </c>
      <c r="G877" s="1">
        <v>1.0</v>
      </c>
      <c r="H877" s="1">
        <v>0.0</v>
      </c>
    </row>
    <row r="878">
      <c r="A878" s="1">
        <v>349.0</v>
      </c>
      <c r="B878" s="1" t="s">
        <v>17</v>
      </c>
      <c r="C878" s="1" t="s">
        <v>841</v>
      </c>
      <c r="D878" s="1" t="s">
        <v>17</v>
      </c>
      <c r="E878" s="1" t="s">
        <v>17</v>
      </c>
      <c r="F878" s="1" t="s">
        <v>17</v>
      </c>
      <c r="G878" s="1">
        <v>1.0</v>
      </c>
      <c r="H878" s="1">
        <v>120000.0</v>
      </c>
    </row>
    <row r="879">
      <c r="A879" s="1">
        <v>350.0</v>
      </c>
      <c r="B879" s="1" t="s">
        <v>17</v>
      </c>
      <c r="C879" s="1" t="s">
        <v>770</v>
      </c>
      <c r="D879" s="1" t="s">
        <v>17</v>
      </c>
      <c r="E879" s="1" t="s">
        <v>17</v>
      </c>
      <c r="F879" s="1" t="s">
        <v>17</v>
      </c>
      <c r="G879" s="1">
        <v>1.0</v>
      </c>
      <c r="H879" s="1">
        <v>145000.0</v>
      </c>
    </row>
    <row r="880">
      <c r="A880" s="1">
        <v>351.0</v>
      </c>
      <c r="B880" s="1" t="s">
        <v>17</v>
      </c>
      <c r="C880" s="1" t="s">
        <v>702</v>
      </c>
      <c r="D880" s="1">
        <v>0.0</v>
      </c>
      <c r="E880" s="1">
        <v>0.0</v>
      </c>
      <c r="F880" s="1" t="s">
        <v>17</v>
      </c>
      <c r="G880" s="1">
        <v>1.0</v>
      </c>
      <c r="H880" s="1">
        <v>480500.0</v>
      </c>
    </row>
    <row r="881">
      <c r="A881" s="1">
        <v>352.0</v>
      </c>
      <c r="B881" s="1" t="s">
        <v>17</v>
      </c>
      <c r="C881" s="1" t="s">
        <v>684</v>
      </c>
      <c r="D881" s="1" t="s">
        <v>17</v>
      </c>
      <c r="E881" s="1" t="s">
        <v>17</v>
      </c>
      <c r="F881" s="1" t="s">
        <v>17</v>
      </c>
      <c r="G881" s="1">
        <v>1.0</v>
      </c>
      <c r="H881" s="1">
        <v>50000.0</v>
      </c>
    </row>
    <row r="882">
      <c r="A882" s="1">
        <v>353.0</v>
      </c>
      <c r="B882" s="1" t="s">
        <v>17</v>
      </c>
      <c r="C882" s="1" t="s">
        <v>702</v>
      </c>
      <c r="D882" s="1">
        <v>0.0</v>
      </c>
      <c r="E882" s="1">
        <v>0.0</v>
      </c>
      <c r="F882" s="1" t="s">
        <v>17</v>
      </c>
      <c r="G882" s="1">
        <v>1.0</v>
      </c>
      <c r="H882" s="1">
        <v>455500.0</v>
      </c>
    </row>
    <row r="883">
      <c r="A883" s="1">
        <v>354.0</v>
      </c>
      <c r="B883" s="1" t="s">
        <v>17</v>
      </c>
      <c r="C883" s="1" t="s">
        <v>736</v>
      </c>
      <c r="D883" s="1" t="s">
        <v>17</v>
      </c>
      <c r="E883" s="1" t="s">
        <v>17</v>
      </c>
      <c r="F883" s="1" t="s">
        <v>17</v>
      </c>
      <c r="G883" s="1">
        <v>1.0</v>
      </c>
      <c r="H883" s="1">
        <v>229000.0</v>
      </c>
    </row>
    <row r="884">
      <c r="A884" s="1">
        <v>354.0</v>
      </c>
      <c r="B884" s="1" t="s">
        <v>17</v>
      </c>
      <c r="C884" s="1" t="s">
        <v>736</v>
      </c>
      <c r="D884" s="1" t="s">
        <v>17</v>
      </c>
      <c r="E884" s="1" t="s">
        <v>17</v>
      </c>
      <c r="F884" s="1" t="s">
        <v>17</v>
      </c>
      <c r="G884" s="1">
        <v>1.0</v>
      </c>
      <c r="H884" s="1">
        <v>0.0</v>
      </c>
    </row>
    <row r="885">
      <c r="A885" s="1">
        <v>355.0</v>
      </c>
      <c r="B885" s="1" t="s">
        <v>17</v>
      </c>
      <c r="C885" s="1" t="s">
        <v>841</v>
      </c>
      <c r="D885" s="1" t="s">
        <v>17</v>
      </c>
      <c r="E885" s="1" t="s">
        <v>17</v>
      </c>
      <c r="F885" s="1" t="s">
        <v>17</v>
      </c>
      <c r="G885" s="1">
        <v>1.0</v>
      </c>
      <c r="H885" s="1">
        <v>120000.0</v>
      </c>
    </row>
    <row r="886">
      <c r="A886" s="1">
        <v>356.0</v>
      </c>
      <c r="B886" s="1" t="s">
        <v>17</v>
      </c>
      <c r="C886" s="1" t="s">
        <v>761</v>
      </c>
      <c r="D886" s="1" t="s">
        <v>17</v>
      </c>
      <c r="E886" s="1" t="s">
        <v>17</v>
      </c>
      <c r="F886" s="1" t="s">
        <v>17</v>
      </c>
      <c r="G886" s="1">
        <v>1.0</v>
      </c>
      <c r="H886" s="1">
        <v>100000.0</v>
      </c>
    </row>
    <row r="887">
      <c r="A887" s="1">
        <v>356.0</v>
      </c>
      <c r="B887" s="1" t="s">
        <v>601</v>
      </c>
      <c r="C887" s="1" t="s">
        <v>718</v>
      </c>
      <c r="D887" s="1">
        <v>0.0</v>
      </c>
      <c r="E887" s="1">
        <v>-1.25</v>
      </c>
      <c r="F887" s="1">
        <v>170.0</v>
      </c>
      <c r="G887" s="1">
        <v>1.0</v>
      </c>
      <c r="H887" s="1">
        <v>44000.0</v>
      </c>
    </row>
    <row r="888">
      <c r="A888" s="1">
        <v>356.0</v>
      </c>
      <c r="B888" s="1" t="s">
        <v>607</v>
      </c>
      <c r="C888" s="1" t="s">
        <v>853</v>
      </c>
      <c r="D888" s="1">
        <v>0.5</v>
      </c>
      <c r="E888" s="1">
        <v>-1.5</v>
      </c>
      <c r="F888" s="1" t="s">
        <v>17</v>
      </c>
      <c r="G888" s="1">
        <v>1.0</v>
      </c>
      <c r="H888" s="1">
        <v>0.0</v>
      </c>
    </row>
    <row r="889">
      <c r="A889" s="1">
        <v>357.0</v>
      </c>
      <c r="B889" s="1" t="s">
        <v>601</v>
      </c>
      <c r="C889" s="1" t="s">
        <v>616</v>
      </c>
      <c r="D889" s="1">
        <v>0.0</v>
      </c>
      <c r="E889" s="1">
        <v>-0.25</v>
      </c>
      <c r="F889" s="1">
        <v>154.0</v>
      </c>
      <c r="G889" s="1">
        <v>1.0</v>
      </c>
      <c r="H889" s="1">
        <v>53000.0</v>
      </c>
    </row>
    <row r="890">
      <c r="A890" s="1">
        <v>357.0</v>
      </c>
      <c r="B890" s="1" t="s">
        <v>607</v>
      </c>
      <c r="C890" s="1" t="s">
        <v>616</v>
      </c>
      <c r="D890" s="1">
        <v>0.0</v>
      </c>
      <c r="E890" s="1">
        <v>-0.25</v>
      </c>
      <c r="F890" s="1">
        <v>134.0</v>
      </c>
      <c r="G890" s="1">
        <v>1.0</v>
      </c>
      <c r="H890" s="1">
        <v>0.0</v>
      </c>
    </row>
    <row r="891">
      <c r="A891" s="1">
        <v>357.0</v>
      </c>
      <c r="B891" s="1" t="s">
        <v>17</v>
      </c>
      <c r="C891" s="1" t="s">
        <v>854</v>
      </c>
      <c r="D891" s="1" t="s">
        <v>17</v>
      </c>
      <c r="E891" s="1" t="s">
        <v>17</v>
      </c>
      <c r="F891" s="1" t="s">
        <v>17</v>
      </c>
      <c r="G891" s="1">
        <v>1.0</v>
      </c>
      <c r="H891" s="1">
        <v>136000.0</v>
      </c>
    </row>
    <row r="892">
      <c r="A892" s="1">
        <v>358.0</v>
      </c>
      <c r="B892" s="1" t="s">
        <v>601</v>
      </c>
      <c r="C892" s="1" t="s">
        <v>611</v>
      </c>
      <c r="D892" s="1">
        <v>0.0</v>
      </c>
      <c r="E892" s="1">
        <v>0.0</v>
      </c>
      <c r="F892" s="1" t="s">
        <v>17</v>
      </c>
      <c r="G892" s="1">
        <v>1.0</v>
      </c>
      <c r="H892" s="1">
        <v>230000.0</v>
      </c>
    </row>
    <row r="893">
      <c r="A893" s="1">
        <v>358.0</v>
      </c>
      <c r="B893" s="1" t="s">
        <v>607</v>
      </c>
      <c r="C893" s="1" t="s">
        <v>611</v>
      </c>
      <c r="D893" s="1">
        <v>0.0</v>
      </c>
      <c r="E893" s="1">
        <v>0.0</v>
      </c>
      <c r="F893" s="1" t="s">
        <v>17</v>
      </c>
      <c r="G893" s="1">
        <v>1.0</v>
      </c>
      <c r="H893" s="1">
        <v>0.0</v>
      </c>
    </row>
    <row r="894">
      <c r="A894" s="1">
        <v>359.0</v>
      </c>
      <c r="B894" s="1" t="s">
        <v>601</v>
      </c>
      <c r="C894" s="1" t="s">
        <v>611</v>
      </c>
      <c r="D894" s="1">
        <v>0.0</v>
      </c>
      <c r="E894" s="1">
        <v>0.0</v>
      </c>
      <c r="F894" s="1" t="s">
        <v>17</v>
      </c>
      <c r="G894" s="1">
        <v>1.0</v>
      </c>
      <c r="H894" s="1">
        <v>230000.0</v>
      </c>
    </row>
    <row r="895">
      <c r="A895" s="1">
        <v>359.0</v>
      </c>
      <c r="B895" s="1" t="s">
        <v>607</v>
      </c>
      <c r="C895" s="1" t="s">
        <v>611</v>
      </c>
      <c r="D895" s="1">
        <v>0.0</v>
      </c>
      <c r="E895" s="1">
        <v>0.0</v>
      </c>
      <c r="F895" s="1" t="s">
        <v>17</v>
      </c>
      <c r="G895" s="1">
        <v>1.0</v>
      </c>
      <c r="H895" s="1">
        <v>0.0</v>
      </c>
    </row>
    <row r="896">
      <c r="A896" s="1">
        <v>360.0</v>
      </c>
      <c r="B896" s="1" t="s">
        <v>601</v>
      </c>
      <c r="C896" s="1" t="s">
        <v>611</v>
      </c>
      <c r="D896" s="1">
        <v>-1.25</v>
      </c>
      <c r="E896" s="1">
        <v>0.0</v>
      </c>
      <c r="F896" s="1" t="s">
        <v>17</v>
      </c>
      <c r="G896" s="1">
        <v>1.0</v>
      </c>
      <c r="H896" s="1">
        <v>45000.0</v>
      </c>
    </row>
    <row r="897">
      <c r="A897" s="1">
        <v>360.0</v>
      </c>
      <c r="B897" s="1" t="s">
        <v>607</v>
      </c>
      <c r="C897" s="1" t="s">
        <v>611</v>
      </c>
      <c r="D897" s="1">
        <v>-1.75</v>
      </c>
      <c r="E897" s="1">
        <v>0.0</v>
      </c>
      <c r="F897" s="1" t="s">
        <v>17</v>
      </c>
      <c r="G897" s="1">
        <v>1.0</v>
      </c>
      <c r="H897" s="1">
        <v>0.0</v>
      </c>
    </row>
    <row r="898">
      <c r="A898" s="1">
        <v>361.0</v>
      </c>
      <c r="B898" s="1" t="s">
        <v>17</v>
      </c>
      <c r="C898" s="1" t="s">
        <v>610</v>
      </c>
      <c r="D898" s="1">
        <v>-1.0</v>
      </c>
      <c r="E898" s="1">
        <v>0.0</v>
      </c>
      <c r="F898" s="1" t="s">
        <v>17</v>
      </c>
      <c r="G898" s="1">
        <v>1.0</v>
      </c>
      <c r="H898" s="1">
        <v>75000.0</v>
      </c>
    </row>
    <row r="899">
      <c r="A899" s="1">
        <v>361.0</v>
      </c>
      <c r="B899" s="1" t="s">
        <v>17</v>
      </c>
      <c r="C899" s="1" t="s">
        <v>610</v>
      </c>
      <c r="D899" s="1">
        <v>-0.25</v>
      </c>
      <c r="E899" s="1">
        <v>0.0</v>
      </c>
      <c r="F899" s="1" t="s">
        <v>17</v>
      </c>
      <c r="G899" s="1">
        <v>1.0</v>
      </c>
      <c r="H899" s="1">
        <v>0.0</v>
      </c>
    </row>
    <row r="900">
      <c r="A900" s="1">
        <v>362.0</v>
      </c>
      <c r="B900" s="1" t="s">
        <v>601</v>
      </c>
      <c r="C900" s="1" t="s">
        <v>606</v>
      </c>
      <c r="D900" s="1">
        <v>1.25</v>
      </c>
      <c r="E900" s="1">
        <v>0.0</v>
      </c>
      <c r="F900" s="1">
        <v>0.0</v>
      </c>
      <c r="G900" s="1">
        <v>1.0</v>
      </c>
      <c r="H900" s="1">
        <v>30000.0</v>
      </c>
    </row>
    <row r="901">
      <c r="A901" s="1">
        <v>362.0</v>
      </c>
      <c r="B901" s="1" t="s">
        <v>607</v>
      </c>
      <c r="C901" s="1" t="s">
        <v>606</v>
      </c>
      <c r="D901" s="1">
        <v>1.25</v>
      </c>
      <c r="E901" s="1">
        <v>0.0</v>
      </c>
      <c r="F901" s="1">
        <v>0.0</v>
      </c>
      <c r="G901" s="1">
        <v>1.0</v>
      </c>
      <c r="H901" s="1">
        <v>0.0</v>
      </c>
    </row>
    <row r="902">
      <c r="A902" s="1">
        <v>363.0</v>
      </c>
      <c r="B902" s="1" t="s">
        <v>601</v>
      </c>
      <c r="C902" s="1" t="s">
        <v>702</v>
      </c>
      <c r="D902" s="1">
        <v>2.25</v>
      </c>
      <c r="E902" s="1">
        <v>0.0</v>
      </c>
      <c r="F902" s="1" t="s">
        <v>17</v>
      </c>
      <c r="G902" s="1">
        <v>1.0</v>
      </c>
      <c r="H902" s="1">
        <v>414000.0</v>
      </c>
    </row>
    <row r="903">
      <c r="A903" s="1">
        <v>363.0</v>
      </c>
      <c r="B903" s="1" t="s">
        <v>607</v>
      </c>
      <c r="C903" s="1" t="s">
        <v>702</v>
      </c>
      <c r="D903" s="1">
        <v>1.75</v>
      </c>
      <c r="E903" s="1">
        <v>0.0</v>
      </c>
      <c r="F903" s="1" t="s">
        <v>17</v>
      </c>
      <c r="G903" s="1">
        <v>1.0</v>
      </c>
      <c r="H903" s="1">
        <v>0.0</v>
      </c>
    </row>
    <row r="904">
      <c r="A904" s="1">
        <v>363.0</v>
      </c>
      <c r="B904" s="1" t="s">
        <v>17</v>
      </c>
      <c r="C904" s="1" t="s">
        <v>855</v>
      </c>
      <c r="D904" s="1" t="s">
        <v>17</v>
      </c>
      <c r="E904" s="1" t="s">
        <v>17</v>
      </c>
      <c r="F904" s="1" t="s">
        <v>17</v>
      </c>
      <c r="G904" s="1">
        <v>1.0</v>
      </c>
      <c r="H904" s="1">
        <v>100000.0</v>
      </c>
    </row>
    <row r="905">
      <c r="A905" s="1">
        <v>363.0</v>
      </c>
      <c r="B905" s="1" t="s">
        <v>17</v>
      </c>
      <c r="C905" s="1" t="s">
        <v>856</v>
      </c>
      <c r="D905" s="1" t="s">
        <v>17</v>
      </c>
      <c r="E905" s="1" t="s">
        <v>17</v>
      </c>
      <c r="F905" s="1" t="s">
        <v>17</v>
      </c>
      <c r="G905" s="1">
        <v>1.0</v>
      </c>
      <c r="H905" s="1">
        <v>95000.0</v>
      </c>
    </row>
    <row r="906">
      <c r="A906" s="1">
        <v>364.0</v>
      </c>
      <c r="B906" s="1" t="s">
        <v>17</v>
      </c>
      <c r="C906" s="1" t="s">
        <v>616</v>
      </c>
      <c r="D906" s="1">
        <v>0.0</v>
      </c>
      <c r="E906" s="1">
        <v>-0.25</v>
      </c>
      <c r="F906" s="1">
        <v>160.0</v>
      </c>
      <c r="G906" s="1">
        <v>1.0</v>
      </c>
      <c r="H906" s="1">
        <v>60000.0</v>
      </c>
    </row>
    <row r="907">
      <c r="A907" s="1">
        <v>364.0</v>
      </c>
      <c r="B907" s="1" t="s">
        <v>17</v>
      </c>
      <c r="C907" s="1" t="s">
        <v>616</v>
      </c>
      <c r="D907" s="1">
        <v>0.0</v>
      </c>
      <c r="E907" s="1">
        <v>-0.25</v>
      </c>
      <c r="F907" s="1">
        <v>10.0</v>
      </c>
      <c r="G907" s="1">
        <v>1.0</v>
      </c>
      <c r="H907" s="1">
        <v>0.0</v>
      </c>
    </row>
    <row r="908">
      <c r="A908" s="1">
        <v>364.0</v>
      </c>
      <c r="B908" s="1" t="s">
        <v>17</v>
      </c>
      <c r="C908" s="1" t="s">
        <v>857</v>
      </c>
      <c r="D908" s="1" t="s">
        <v>17</v>
      </c>
      <c r="E908" s="1" t="s">
        <v>17</v>
      </c>
      <c r="F908" s="1" t="s">
        <v>17</v>
      </c>
      <c r="G908" s="1">
        <v>1.0</v>
      </c>
      <c r="H908" s="1">
        <v>150000.0</v>
      </c>
    </row>
    <row r="909">
      <c r="A909" s="1">
        <v>365.0</v>
      </c>
      <c r="B909" s="1" t="s">
        <v>601</v>
      </c>
      <c r="C909" s="1" t="s">
        <v>616</v>
      </c>
      <c r="D909" s="1">
        <v>0.0</v>
      </c>
      <c r="E909" s="1">
        <v>-0.5</v>
      </c>
      <c r="F909" s="1">
        <v>160.0</v>
      </c>
      <c r="G909" s="1">
        <v>1.0</v>
      </c>
      <c r="H909" s="1">
        <v>45000.0</v>
      </c>
    </row>
    <row r="910">
      <c r="A910" s="1">
        <v>365.0</v>
      </c>
      <c r="B910" s="1" t="s">
        <v>607</v>
      </c>
      <c r="C910" s="1" t="s">
        <v>616</v>
      </c>
      <c r="D910" s="1">
        <v>0.0</v>
      </c>
      <c r="E910" s="1">
        <v>1.25</v>
      </c>
      <c r="F910" s="1">
        <v>180.0</v>
      </c>
      <c r="G910" s="1">
        <v>1.0</v>
      </c>
      <c r="H910" s="1">
        <v>0.0</v>
      </c>
    </row>
    <row r="911">
      <c r="A911" s="1">
        <v>365.0</v>
      </c>
      <c r="B911" s="1" t="s">
        <v>17</v>
      </c>
      <c r="C911" s="1" t="s">
        <v>858</v>
      </c>
      <c r="D911" s="1" t="s">
        <v>17</v>
      </c>
      <c r="E911" s="1" t="s">
        <v>17</v>
      </c>
      <c r="F911" s="1" t="s">
        <v>17</v>
      </c>
      <c r="G911" s="1">
        <v>1.0</v>
      </c>
      <c r="H911" s="1">
        <v>121000.0</v>
      </c>
    </row>
    <row r="912">
      <c r="A912" s="1">
        <v>366.0</v>
      </c>
      <c r="B912" s="1" t="s">
        <v>601</v>
      </c>
      <c r="C912" s="1" t="s">
        <v>606</v>
      </c>
      <c r="D912" s="1">
        <v>1.75</v>
      </c>
      <c r="E912" s="1">
        <v>0.0</v>
      </c>
      <c r="F912" s="1">
        <v>0.0</v>
      </c>
      <c r="G912" s="1">
        <v>1.0</v>
      </c>
      <c r="H912" s="1">
        <v>38000.0</v>
      </c>
    </row>
    <row r="913">
      <c r="A913" s="1">
        <v>366.0</v>
      </c>
      <c r="B913" s="1" t="s">
        <v>607</v>
      </c>
      <c r="C913" s="1" t="s">
        <v>606</v>
      </c>
      <c r="D913" s="1">
        <v>1.75</v>
      </c>
      <c r="E913" s="1">
        <v>0.0</v>
      </c>
      <c r="F913" s="1">
        <v>0.0</v>
      </c>
      <c r="G913" s="1">
        <v>1.0</v>
      </c>
      <c r="H913" s="1">
        <v>0.0</v>
      </c>
    </row>
    <row r="914">
      <c r="A914" s="1">
        <v>366.0</v>
      </c>
      <c r="B914" s="1" t="s">
        <v>17</v>
      </c>
      <c r="C914" s="1" t="s">
        <v>857</v>
      </c>
      <c r="D914" s="1" t="s">
        <v>17</v>
      </c>
      <c r="E914" s="1" t="s">
        <v>17</v>
      </c>
      <c r="F914" s="1" t="s">
        <v>17</v>
      </c>
      <c r="G914" s="1">
        <v>1.0</v>
      </c>
      <c r="H914" s="1">
        <v>100000.0</v>
      </c>
    </row>
    <row r="915">
      <c r="A915" s="1">
        <v>366.0</v>
      </c>
      <c r="B915" s="1" t="s">
        <v>601</v>
      </c>
      <c r="C915" s="1" t="s">
        <v>616</v>
      </c>
      <c r="D915" s="1">
        <v>1.75</v>
      </c>
      <c r="E915" s="1">
        <v>0.0</v>
      </c>
      <c r="F915" s="1">
        <v>0.0</v>
      </c>
      <c r="G915" s="1">
        <v>1.0</v>
      </c>
      <c r="H915" s="1">
        <v>0.0</v>
      </c>
    </row>
    <row r="916">
      <c r="A916" s="1">
        <v>366.0</v>
      </c>
      <c r="B916" s="1" t="s">
        <v>607</v>
      </c>
      <c r="C916" s="1" t="s">
        <v>616</v>
      </c>
      <c r="D916" s="1">
        <v>1.75</v>
      </c>
      <c r="E916" s="1">
        <v>0.0</v>
      </c>
      <c r="F916" s="1">
        <v>0.0</v>
      </c>
      <c r="G916" s="1">
        <v>1.0</v>
      </c>
      <c r="H916" s="1">
        <v>19000.0</v>
      </c>
    </row>
    <row r="917">
      <c r="A917" s="1">
        <v>367.0</v>
      </c>
      <c r="B917" s="1" t="s">
        <v>601</v>
      </c>
      <c r="C917" s="1" t="s">
        <v>616</v>
      </c>
      <c r="D917" s="1">
        <v>0.75</v>
      </c>
      <c r="E917" s="1">
        <v>-1.0</v>
      </c>
      <c r="F917" s="1">
        <v>165.0</v>
      </c>
      <c r="G917" s="1">
        <v>1.0</v>
      </c>
      <c r="H917" s="1">
        <v>0.0</v>
      </c>
    </row>
    <row r="918">
      <c r="A918" s="1">
        <v>367.0</v>
      </c>
      <c r="B918" s="1" t="s">
        <v>607</v>
      </c>
      <c r="C918" s="1" t="s">
        <v>616</v>
      </c>
      <c r="D918" s="1">
        <v>0.75</v>
      </c>
      <c r="E918" s="1">
        <v>-0.75</v>
      </c>
      <c r="F918" s="1">
        <v>10.0</v>
      </c>
      <c r="G918" s="1">
        <v>1.0</v>
      </c>
      <c r="H918" s="1">
        <v>38000.0</v>
      </c>
    </row>
    <row r="919">
      <c r="A919" s="1">
        <v>367.0</v>
      </c>
      <c r="B919" s="1" t="s">
        <v>17</v>
      </c>
      <c r="C919" s="1" t="s">
        <v>859</v>
      </c>
      <c r="D919" s="1" t="s">
        <v>17</v>
      </c>
      <c r="E919" s="1" t="s">
        <v>17</v>
      </c>
      <c r="F919" s="1" t="s">
        <v>17</v>
      </c>
      <c r="G919" s="1">
        <v>1.0</v>
      </c>
      <c r="H919" s="1">
        <v>75000.0</v>
      </c>
    </row>
    <row r="920">
      <c r="A920" s="1">
        <v>368.0</v>
      </c>
      <c r="B920" s="1" t="s">
        <v>601</v>
      </c>
      <c r="C920" s="1" t="s">
        <v>616</v>
      </c>
      <c r="D920" s="1">
        <v>0.0</v>
      </c>
      <c r="E920" s="1">
        <v>-1.5</v>
      </c>
      <c r="F920" s="1">
        <v>100.0</v>
      </c>
      <c r="G920" s="1">
        <v>1.0</v>
      </c>
      <c r="H920" s="1">
        <v>35000.0</v>
      </c>
    </row>
    <row r="921">
      <c r="A921" s="1">
        <v>368.0</v>
      </c>
      <c r="B921" s="1" t="s">
        <v>607</v>
      </c>
      <c r="C921" s="1" t="s">
        <v>616</v>
      </c>
      <c r="D921" s="1">
        <v>0.0</v>
      </c>
      <c r="E921" s="1">
        <v>-1.5</v>
      </c>
      <c r="F921" s="1">
        <v>90.0</v>
      </c>
      <c r="G921" s="1">
        <v>1.0</v>
      </c>
      <c r="H921" s="1">
        <v>0.0</v>
      </c>
    </row>
    <row r="922">
      <c r="A922" s="1">
        <v>368.0</v>
      </c>
      <c r="B922" s="1" t="s">
        <v>17</v>
      </c>
      <c r="C922" s="1" t="s">
        <v>736</v>
      </c>
      <c r="D922" s="1" t="s">
        <v>17</v>
      </c>
      <c r="E922" s="1" t="s">
        <v>17</v>
      </c>
      <c r="F922" s="1" t="s">
        <v>17</v>
      </c>
      <c r="G922" s="1">
        <v>1.0</v>
      </c>
      <c r="H922" s="1">
        <v>77000.0</v>
      </c>
    </row>
    <row r="923">
      <c r="A923" s="1">
        <v>369.0</v>
      </c>
      <c r="B923" s="1" t="s">
        <v>17</v>
      </c>
      <c r="C923" s="1" t="s">
        <v>736</v>
      </c>
      <c r="D923" s="1" t="s">
        <v>17</v>
      </c>
      <c r="E923" s="1" t="s">
        <v>17</v>
      </c>
      <c r="F923" s="1" t="s">
        <v>17</v>
      </c>
      <c r="G923" s="1">
        <v>1.0</v>
      </c>
      <c r="H923" s="1">
        <v>77000.0</v>
      </c>
    </row>
    <row r="924">
      <c r="A924" s="1">
        <v>369.0</v>
      </c>
      <c r="B924" s="1" t="s">
        <v>17</v>
      </c>
      <c r="C924" s="1" t="s">
        <v>616</v>
      </c>
      <c r="D924" s="1" t="s">
        <v>17</v>
      </c>
      <c r="E924" s="1" t="s">
        <v>17</v>
      </c>
      <c r="F924" s="1">
        <v>0.0</v>
      </c>
      <c r="G924" s="1">
        <v>1.0</v>
      </c>
      <c r="H924" s="1">
        <v>0.0</v>
      </c>
    </row>
    <row r="925">
      <c r="A925" s="1">
        <v>369.0</v>
      </c>
      <c r="B925" s="1" t="s">
        <v>17</v>
      </c>
      <c r="C925" s="1" t="s">
        <v>616</v>
      </c>
      <c r="D925" s="1">
        <v>0.0</v>
      </c>
      <c r="E925" s="1">
        <v>0.0</v>
      </c>
      <c r="F925" s="1">
        <v>0.0</v>
      </c>
      <c r="G925" s="1">
        <v>1.0</v>
      </c>
      <c r="H925" s="1">
        <v>35000.0</v>
      </c>
    </row>
    <row r="926">
      <c r="A926" s="1">
        <v>370.0</v>
      </c>
      <c r="B926" s="1" t="s">
        <v>17</v>
      </c>
      <c r="C926" s="1" t="s">
        <v>736</v>
      </c>
      <c r="D926" s="1" t="s">
        <v>17</v>
      </c>
      <c r="E926" s="1" t="s">
        <v>17</v>
      </c>
      <c r="F926" s="1" t="s">
        <v>17</v>
      </c>
      <c r="G926" s="1">
        <v>1.0</v>
      </c>
      <c r="H926" s="1">
        <v>105000.0</v>
      </c>
    </row>
    <row r="927">
      <c r="A927" s="1">
        <v>370.0</v>
      </c>
      <c r="B927" s="1" t="s">
        <v>601</v>
      </c>
      <c r="C927" s="1" t="s">
        <v>702</v>
      </c>
      <c r="D927" s="1" t="s">
        <v>17</v>
      </c>
      <c r="E927" s="1">
        <v>0.0</v>
      </c>
      <c r="F927" s="1">
        <v>1.0</v>
      </c>
      <c r="G927" s="1">
        <v>1.0</v>
      </c>
      <c r="H927" s="1">
        <v>402000.0</v>
      </c>
    </row>
    <row r="928">
      <c r="A928" s="1">
        <v>370.0</v>
      </c>
      <c r="B928" s="1" t="s">
        <v>607</v>
      </c>
      <c r="C928" s="1" t="s">
        <v>702</v>
      </c>
      <c r="D928" s="1">
        <v>0.0</v>
      </c>
      <c r="E928" s="1">
        <v>0.0</v>
      </c>
      <c r="F928" s="1">
        <v>1.0</v>
      </c>
      <c r="G928" s="1">
        <v>1.0</v>
      </c>
      <c r="H928" s="1">
        <v>0.0</v>
      </c>
    </row>
    <row r="929">
      <c r="A929" s="1">
        <v>370.0</v>
      </c>
      <c r="B929" s="1" t="s">
        <v>17</v>
      </c>
      <c r="C929" s="1" t="s">
        <v>736</v>
      </c>
      <c r="D929" s="1" t="s">
        <v>17</v>
      </c>
      <c r="E929" s="1" t="s">
        <v>17</v>
      </c>
      <c r="F929" s="1" t="s">
        <v>17</v>
      </c>
      <c r="G929" s="1">
        <v>1.0</v>
      </c>
      <c r="H929" s="1">
        <v>117000.0</v>
      </c>
    </row>
    <row r="930">
      <c r="A930" s="1">
        <v>371.0</v>
      </c>
      <c r="B930" s="1" t="s">
        <v>17</v>
      </c>
      <c r="C930" s="1" t="s">
        <v>736</v>
      </c>
      <c r="D930" s="1" t="s">
        <v>17</v>
      </c>
      <c r="E930" s="1" t="s">
        <v>17</v>
      </c>
      <c r="F930" s="1" t="s">
        <v>17</v>
      </c>
      <c r="G930" s="1">
        <v>1.0</v>
      </c>
      <c r="H930" s="1">
        <v>120000.0</v>
      </c>
    </row>
    <row r="931">
      <c r="A931" s="1">
        <v>371.0</v>
      </c>
      <c r="B931" s="1" t="s">
        <v>601</v>
      </c>
      <c r="C931" s="1" t="s">
        <v>702</v>
      </c>
      <c r="D931" s="1">
        <v>0.0</v>
      </c>
      <c r="E931" s="1" t="s">
        <v>17</v>
      </c>
      <c r="F931" s="1">
        <v>0.0</v>
      </c>
      <c r="G931" s="1">
        <v>1.0</v>
      </c>
      <c r="H931" s="1">
        <v>335000.0</v>
      </c>
    </row>
    <row r="932">
      <c r="A932" s="1">
        <v>371.0</v>
      </c>
      <c r="B932" s="1" t="s">
        <v>607</v>
      </c>
      <c r="C932" s="1" t="s">
        <v>702</v>
      </c>
      <c r="D932" s="1">
        <v>0.0</v>
      </c>
      <c r="E932" s="1">
        <v>0.0</v>
      </c>
      <c r="F932" s="1">
        <v>0.0</v>
      </c>
      <c r="G932" s="1">
        <v>1.0</v>
      </c>
      <c r="H932" s="1">
        <v>0.0</v>
      </c>
    </row>
    <row r="933">
      <c r="A933" s="1">
        <v>372.0</v>
      </c>
      <c r="B933" s="1" t="s">
        <v>601</v>
      </c>
      <c r="C933" s="1" t="s">
        <v>742</v>
      </c>
      <c r="D933" s="1">
        <v>0.0</v>
      </c>
      <c r="E933" s="1">
        <v>0.0</v>
      </c>
      <c r="F933" s="1" t="s">
        <v>17</v>
      </c>
      <c r="G933" s="1">
        <v>1.0</v>
      </c>
      <c r="H933" s="1">
        <v>0.0</v>
      </c>
    </row>
    <row r="934">
      <c r="A934" s="1">
        <v>372.0</v>
      </c>
      <c r="B934" s="1" t="s">
        <v>607</v>
      </c>
      <c r="C934" s="1" t="s">
        <v>742</v>
      </c>
      <c r="D934" s="1">
        <v>0.0</v>
      </c>
      <c r="E934" s="1">
        <v>0.0</v>
      </c>
      <c r="F934" s="1" t="s">
        <v>17</v>
      </c>
      <c r="G934" s="1">
        <v>1.0</v>
      </c>
      <c r="H934" s="1">
        <v>753000.0</v>
      </c>
    </row>
    <row r="935">
      <c r="A935" s="1">
        <v>372.0</v>
      </c>
      <c r="B935" s="1" t="s">
        <v>17</v>
      </c>
      <c r="C935" s="1" t="s">
        <v>736</v>
      </c>
      <c r="D935" s="1" t="s">
        <v>17</v>
      </c>
      <c r="E935" s="1" t="s">
        <v>17</v>
      </c>
      <c r="F935" s="1" t="s">
        <v>17</v>
      </c>
      <c r="G935" s="1">
        <v>1.0</v>
      </c>
      <c r="H935" s="1">
        <v>167000.0</v>
      </c>
    </row>
    <row r="936">
      <c r="A936" s="1">
        <v>373.0</v>
      </c>
      <c r="B936" s="1" t="s">
        <v>17</v>
      </c>
      <c r="C936" s="1" t="s">
        <v>860</v>
      </c>
      <c r="D936" s="1">
        <v>0.0</v>
      </c>
      <c r="E936" s="1">
        <v>0.0</v>
      </c>
      <c r="F936" s="1">
        <v>0.0</v>
      </c>
      <c r="G936" s="1">
        <v>1.0</v>
      </c>
      <c r="H936" s="1">
        <v>47000.0</v>
      </c>
    </row>
    <row r="937">
      <c r="A937" s="1">
        <v>373.0</v>
      </c>
      <c r="B937" s="1" t="s">
        <v>17</v>
      </c>
      <c r="C937" s="1" t="s">
        <v>860</v>
      </c>
      <c r="D937" s="1">
        <v>0.0</v>
      </c>
      <c r="E937" s="1">
        <v>0.0</v>
      </c>
      <c r="F937" s="1">
        <v>0.0</v>
      </c>
      <c r="G937" s="1">
        <v>1.0</v>
      </c>
      <c r="H937" s="1">
        <v>0.0</v>
      </c>
    </row>
    <row r="938">
      <c r="A938" s="1">
        <v>373.0</v>
      </c>
      <c r="B938" s="1" t="s">
        <v>17</v>
      </c>
      <c r="C938" s="1" t="s">
        <v>736</v>
      </c>
      <c r="D938" s="1" t="s">
        <v>17</v>
      </c>
      <c r="E938" s="1" t="s">
        <v>17</v>
      </c>
      <c r="F938" s="1" t="s">
        <v>17</v>
      </c>
      <c r="G938" s="1">
        <v>1.0</v>
      </c>
      <c r="H938" s="1">
        <v>100000.0</v>
      </c>
    </row>
    <row r="939">
      <c r="A939" s="1">
        <v>374.0</v>
      </c>
      <c r="B939" s="1" t="s">
        <v>601</v>
      </c>
      <c r="C939" s="1" t="s">
        <v>616</v>
      </c>
      <c r="D939" s="1">
        <v>0.0</v>
      </c>
      <c r="E939" s="1">
        <v>0.0</v>
      </c>
      <c r="F939" s="1">
        <v>0.0</v>
      </c>
      <c r="G939" s="1">
        <v>1.0</v>
      </c>
      <c r="H939" s="1">
        <v>60000.0</v>
      </c>
    </row>
    <row r="940">
      <c r="A940" s="1">
        <v>374.0</v>
      </c>
      <c r="B940" s="1" t="s">
        <v>607</v>
      </c>
      <c r="C940" s="1" t="s">
        <v>616</v>
      </c>
      <c r="D940" s="1">
        <v>0.0</v>
      </c>
      <c r="E940" s="1">
        <v>0.0</v>
      </c>
      <c r="F940" s="1">
        <v>0.0</v>
      </c>
      <c r="G940" s="1">
        <v>1.0</v>
      </c>
      <c r="H940" s="1">
        <v>0.0</v>
      </c>
    </row>
    <row r="941">
      <c r="A941" s="1">
        <v>374.0</v>
      </c>
      <c r="B941" s="1" t="s">
        <v>17</v>
      </c>
      <c r="C941" s="1" t="s">
        <v>736</v>
      </c>
      <c r="D941" s="1" t="s">
        <v>17</v>
      </c>
      <c r="E941" s="1" t="s">
        <v>17</v>
      </c>
      <c r="F941" s="1" t="s">
        <v>17</v>
      </c>
      <c r="G941" s="1">
        <v>1.0</v>
      </c>
      <c r="H941" s="1">
        <v>249000.0</v>
      </c>
    </row>
    <row r="942">
      <c r="A942" s="1">
        <v>375.0</v>
      </c>
      <c r="B942" s="1" t="s">
        <v>17</v>
      </c>
      <c r="C942" s="1" t="s">
        <v>677</v>
      </c>
      <c r="D942" s="1">
        <v>0.0</v>
      </c>
      <c r="E942" s="1">
        <v>0.0</v>
      </c>
      <c r="F942" s="1">
        <v>0.0</v>
      </c>
      <c r="G942" s="1">
        <v>1.0</v>
      </c>
      <c r="H942" s="1">
        <v>0.0</v>
      </c>
    </row>
    <row r="943">
      <c r="A943" s="1">
        <v>375.0</v>
      </c>
      <c r="B943" s="1" t="s">
        <v>17</v>
      </c>
      <c r="C943" s="1" t="s">
        <v>677</v>
      </c>
      <c r="D943" s="1">
        <v>0.0</v>
      </c>
      <c r="E943" s="1">
        <v>0.0</v>
      </c>
      <c r="F943" s="1">
        <v>0.0</v>
      </c>
      <c r="G943" s="1">
        <v>1.0</v>
      </c>
      <c r="H943" s="1">
        <v>402000.0</v>
      </c>
    </row>
    <row r="944">
      <c r="A944" s="1">
        <v>375.0</v>
      </c>
      <c r="B944" s="1" t="s">
        <v>17</v>
      </c>
      <c r="C944" s="1" t="s">
        <v>736</v>
      </c>
      <c r="D944" s="1" t="s">
        <v>17</v>
      </c>
      <c r="E944" s="1" t="s">
        <v>17</v>
      </c>
      <c r="F944" s="1" t="s">
        <v>17</v>
      </c>
      <c r="G944" s="1">
        <v>1.0</v>
      </c>
      <c r="H944" s="1">
        <v>144000.0</v>
      </c>
    </row>
    <row r="945">
      <c r="A945" s="1">
        <v>376.0</v>
      </c>
      <c r="B945" s="1" t="s">
        <v>17</v>
      </c>
      <c r="C945" s="1" t="s">
        <v>736</v>
      </c>
      <c r="D945" s="1" t="s">
        <v>17</v>
      </c>
      <c r="E945" s="1" t="s">
        <v>17</v>
      </c>
      <c r="F945" s="1" t="s">
        <v>17</v>
      </c>
      <c r="G945" s="1">
        <v>1.0</v>
      </c>
      <c r="H945" s="1">
        <v>80000.0</v>
      </c>
    </row>
    <row r="946">
      <c r="A946" s="1">
        <v>376.0</v>
      </c>
      <c r="B946" s="1" t="s">
        <v>601</v>
      </c>
      <c r="C946" s="1" t="s">
        <v>616</v>
      </c>
      <c r="D946" s="1">
        <v>0.0</v>
      </c>
      <c r="E946" s="1">
        <v>0.0</v>
      </c>
      <c r="F946" s="1">
        <v>0.0</v>
      </c>
      <c r="G946" s="1">
        <v>1.0</v>
      </c>
      <c r="H946" s="1">
        <v>38000.0</v>
      </c>
    </row>
    <row r="947">
      <c r="A947" s="1">
        <v>376.0</v>
      </c>
      <c r="B947" s="1" t="s">
        <v>607</v>
      </c>
      <c r="C947" s="1" t="s">
        <v>616</v>
      </c>
      <c r="D947" s="1">
        <v>0.0</v>
      </c>
      <c r="E947" s="1" t="s">
        <v>17</v>
      </c>
      <c r="F947" s="1">
        <v>0.0</v>
      </c>
      <c r="G947" s="1">
        <v>1.0</v>
      </c>
      <c r="H947" s="1">
        <v>0.0</v>
      </c>
    </row>
    <row r="948">
      <c r="A948" s="1">
        <v>377.0</v>
      </c>
      <c r="B948" s="1" t="s">
        <v>601</v>
      </c>
      <c r="C948" s="1" t="s">
        <v>861</v>
      </c>
      <c r="D948" s="1">
        <v>0.0</v>
      </c>
      <c r="E948" s="1">
        <v>0.0</v>
      </c>
      <c r="F948" s="1">
        <v>0.0</v>
      </c>
      <c r="G948" s="1">
        <v>1.0</v>
      </c>
      <c r="H948" s="1">
        <v>240000.0</v>
      </c>
    </row>
    <row r="949">
      <c r="A949" s="1">
        <v>377.0</v>
      </c>
      <c r="B949" s="1" t="s">
        <v>607</v>
      </c>
      <c r="C949" s="1" t="s">
        <v>861</v>
      </c>
      <c r="D949" s="1">
        <v>0.0</v>
      </c>
      <c r="E949" s="1">
        <v>0.0</v>
      </c>
      <c r="F949" s="1">
        <v>0.0</v>
      </c>
      <c r="G949" s="1">
        <v>1.0</v>
      </c>
      <c r="H949" s="1">
        <v>0.0</v>
      </c>
    </row>
    <row r="950">
      <c r="A950" s="1">
        <v>377.0</v>
      </c>
      <c r="B950" s="1" t="s">
        <v>17</v>
      </c>
      <c r="C950" s="1" t="s">
        <v>736</v>
      </c>
      <c r="D950" s="1" t="s">
        <v>17</v>
      </c>
      <c r="E950" s="1" t="s">
        <v>17</v>
      </c>
      <c r="F950" s="1" t="s">
        <v>17</v>
      </c>
      <c r="G950" s="1">
        <v>1.0</v>
      </c>
      <c r="H950" s="1">
        <v>236500.0</v>
      </c>
    </row>
    <row r="951">
      <c r="A951" s="1">
        <v>378.0</v>
      </c>
      <c r="B951" s="1" t="s">
        <v>601</v>
      </c>
      <c r="C951" s="1" t="s">
        <v>616</v>
      </c>
      <c r="D951" s="1">
        <v>0.0</v>
      </c>
      <c r="E951" s="1">
        <v>0.0</v>
      </c>
      <c r="F951" s="1">
        <v>0.0</v>
      </c>
      <c r="G951" s="1">
        <v>1.0</v>
      </c>
      <c r="H951" s="1">
        <v>0.0</v>
      </c>
    </row>
    <row r="952">
      <c r="A952" s="1">
        <v>378.0</v>
      </c>
      <c r="B952" s="1" t="s">
        <v>607</v>
      </c>
      <c r="C952" s="1" t="s">
        <v>616</v>
      </c>
      <c r="D952" s="1">
        <v>0.0</v>
      </c>
      <c r="E952" s="1">
        <v>0.0</v>
      </c>
      <c r="F952" s="1">
        <v>0.0</v>
      </c>
      <c r="G952" s="1">
        <v>1.0</v>
      </c>
      <c r="H952" s="1">
        <v>38000.0</v>
      </c>
    </row>
    <row r="953">
      <c r="A953" s="1">
        <v>378.0</v>
      </c>
      <c r="B953" s="1" t="s">
        <v>17</v>
      </c>
      <c r="C953" s="1" t="s">
        <v>736</v>
      </c>
      <c r="D953" s="1" t="s">
        <v>17</v>
      </c>
      <c r="E953" s="1" t="s">
        <v>17</v>
      </c>
      <c r="F953" s="1" t="s">
        <v>17</v>
      </c>
      <c r="G953" s="1">
        <v>1.0</v>
      </c>
      <c r="H953" s="1">
        <v>147000.0</v>
      </c>
    </row>
    <row r="954">
      <c r="A954" s="1">
        <v>379.0</v>
      </c>
      <c r="B954" s="1" t="s">
        <v>17</v>
      </c>
      <c r="C954" s="1" t="s">
        <v>736</v>
      </c>
      <c r="D954" s="1" t="s">
        <v>17</v>
      </c>
      <c r="E954" s="1" t="s">
        <v>17</v>
      </c>
      <c r="F954" s="1" t="s">
        <v>17</v>
      </c>
      <c r="G954" s="1">
        <v>1.0</v>
      </c>
      <c r="H954" s="1">
        <v>124000.0</v>
      </c>
    </row>
    <row r="955">
      <c r="A955" s="1">
        <v>379.0</v>
      </c>
      <c r="B955" s="1" t="s">
        <v>601</v>
      </c>
      <c r="C955" s="1" t="s">
        <v>616</v>
      </c>
      <c r="D955" s="1">
        <v>0.0</v>
      </c>
      <c r="E955" s="1">
        <v>0.0</v>
      </c>
      <c r="F955" s="1">
        <v>0.0</v>
      </c>
      <c r="G955" s="1">
        <v>1.0</v>
      </c>
      <c r="H955" s="1">
        <v>54000.0</v>
      </c>
    </row>
    <row r="956">
      <c r="A956" s="1">
        <v>379.0</v>
      </c>
      <c r="B956" s="1" t="s">
        <v>607</v>
      </c>
      <c r="C956" s="1" t="s">
        <v>616</v>
      </c>
      <c r="D956" s="1">
        <v>0.0</v>
      </c>
      <c r="E956" s="1">
        <v>0.0</v>
      </c>
      <c r="F956" s="1">
        <v>0.0</v>
      </c>
      <c r="G956" s="1">
        <v>1.0</v>
      </c>
      <c r="H956" s="1">
        <v>0.0</v>
      </c>
    </row>
    <row r="957">
      <c r="A957" s="1">
        <v>380.0</v>
      </c>
      <c r="B957" s="1" t="s">
        <v>601</v>
      </c>
      <c r="C957" s="1" t="s">
        <v>616</v>
      </c>
      <c r="D957" s="1">
        <v>0.0</v>
      </c>
      <c r="E957" s="1">
        <v>0.0</v>
      </c>
      <c r="F957" s="1">
        <v>0.0</v>
      </c>
      <c r="G957" s="1">
        <v>1.0</v>
      </c>
      <c r="H957" s="1">
        <v>75000.0</v>
      </c>
    </row>
    <row r="958">
      <c r="A958" s="1">
        <v>380.0</v>
      </c>
      <c r="B958" s="1" t="s">
        <v>607</v>
      </c>
      <c r="C958" s="1" t="s">
        <v>616</v>
      </c>
      <c r="D958" s="1">
        <v>0.0</v>
      </c>
      <c r="E958" s="1">
        <v>0.0</v>
      </c>
      <c r="F958" s="1">
        <v>0.0</v>
      </c>
      <c r="G958" s="1">
        <v>1.0</v>
      </c>
      <c r="H958" s="1">
        <v>0.0</v>
      </c>
    </row>
    <row r="959">
      <c r="A959" s="1">
        <v>381.0</v>
      </c>
      <c r="B959" s="1" t="s">
        <v>601</v>
      </c>
      <c r="C959" s="1" t="s">
        <v>668</v>
      </c>
      <c r="D959" s="1">
        <v>0.0</v>
      </c>
      <c r="E959" s="1">
        <v>0.0</v>
      </c>
      <c r="F959" s="1">
        <v>0.0</v>
      </c>
      <c r="G959" s="1">
        <v>1.0</v>
      </c>
      <c r="H959" s="1">
        <v>18000.0</v>
      </c>
    </row>
    <row r="960">
      <c r="A960" s="1">
        <v>381.0</v>
      </c>
      <c r="B960" s="1" t="s">
        <v>607</v>
      </c>
      <c r="C960" s="1" t="s">
        <v>668</v>
      </c>
      <c r="D960" s="1">
        <v>0.0</v>
      </c>
      <c r="E960" s="1">
        <v>0.0</v>
      </c>
      <c r="F960" s="1">
        <v>0.0</v>
      </c>
      <c r="G960" s="1">
        <v>1.0</v>
      </c>
      <c r="H960" s="1">
        <v>0.0</v>
      </c>
    </row>
    <row r="961">
      <c r="A961" s="1">
        <v>382.0</v>
      </c>
      <c r="B961" s="1" t="s">
        <v>601</v>
      </c>
      <c r="C961" s="1" t="s">
        <v>702</v>
      </c>
      <c r="D961" s="1">
        <v>0.0</v>
      </c>
      <c r="E961" s="1">
        <v>0.0</v>
      </c>
      <c r="F961" s="1">
        <v>0.0</v>
      </c>
      <c r="G961" s="1">
        <v>1.0</v>
      </c>
      <c r="H961" s="1">
        <v>355000.0</v>
      </c>
    </row>
    <row r="962">
      <c r="A962" s="1">
        <v>382.0</v>
      </c>
      <c r="B962" s="1" t="s">
        <v>607</v>
      </c>
      <c r="C962" s="1" t="s">
        <v>702</v>
      </c>
      <c r="D962" s="1">
        <v>0.0</v>
      </c>
      <c r="E962" s="1">
        <v>0.0</v>
      </c>
      <c r="F962" s="1">
        <v>0.0</v>
      </c>
      <c r="G962" s="1">
        <v>1.0</v>
      </c>
      <c r="H962" s="1">
        <v>0.0</v>
      </c>
    </row>
    <row r="963">
      <c r="A963" s="1">
        <v>382.0</v>
      </c>
      <c r="B963" s="1" t="s">
        <v>17</v>
      </c>
      <c r="C963" s="1" t="s">
        <v>736</v>
      </c>
      <c r="D963" s="1" t="s">
        <v>17</v>
      </c>
      <c r="E963" s="1" t="s">
        <v>17</v>
      </c>
      <c r="F963" s="1" t="s">
        <v>17</v>
      </c>
      <c r="G963" s="1">
        <v>1.0</v>
      </c>
      <c r="H963" s="1">
        <v>103500.0</v>
      </c>
    </row>
    <row r="964">
      <c r="A964" s="1">
        <v>383.0</v>
      </c>
      <c r="B964" s="1" t="s">
        <v>601</v>
      </c>
      <c r="C964" s="1" t="s">
        <v>616</v>
      </c>
      <c r="D964" s="1">
        <v>0.0</v>
      </c>
      <c r="E964" s="1">
        <v>0.0</v>
      </c>
      <c r="F964" s="1">
        <v>0.0</v>
      </c>
      <c r="G964" s="1">
        <v>1.0</v>
      </c>
      <c r="H964" s="1">
        <v>42000.0</v>
      </c>
    </row>
    <row r="965">
      <c r="A965" s="1">
        <v>383.0</v>
      </c>
      <c r="B965" s="1" t="s">
        <v>607</v>
      </c>
      <c r="C965" s="1" t="s">
        <v>616</v>
      </c>
      <c r="D965" s="1">
        <v>0.0</v>
      </c>
      <c r="E965" s="1">
        <v>0.0</v>
      </c>
      <c r="F965" s="1">
        <v>0.0</v>
      </c>
      <c r="G965" s="1">
        <v>1.0</v>
      </c>
      <c r="H965" s="1">
        <v>0.0</v>
      </c>
    </row>
    <row r="966">
      <c r="A966" s="1">
        <v>384.0</v>
      </c>
      <c r="B966" s="1" t="s">
        <v>17</v>
      </c>
      <c r="C966" s="1" t="s">
        <v>606</v>
      </c>
      <c r="D966" s="1">
        <v>0.0</v>
      </c>
      <c r="E966" s="1">
        <v>0.0</v>
      </c>
      <c r="F966" s="1">
        <v>10.0</v>
      </c>
      <c r="G966" s="1">
        <v>1.0</v>
      </c>
      <c r="H966" s="1">
        <v>0.0</v>
      </c>
    </row>
    <row r="967">
      <c r="A967" s="1">
        <v>384.0</v>
      </c>
      <c r="B967" s="1" t="s">
        <v>17</v>
      </c>
      <c r="C967" s="1" t="s">
        <v>606</v>
      </c>
      <c r="D967" s="1">
        <v>0.0</v>
      </c>
      <c r="E967" s="1">
        <v>0.0</v>
      </c>
      <c r="F967" s="1">
        <v>10.0</v>
      </c>
      <c r="G967" s="1">
        <v>1.0</v>
      </c>
      <c r="H967" s="1">
        <v>20000.0</v>
      </c>
    </row>
    <row r="968">
      <c r="A968" s="1">
        <v>385.0</v>
      </c>
      <c r="B968" s="1" t="s">
        <v>17</v>
      </c>
      <c r="C968" s="1" t="s">
        <v>616</v>
      </c>
      <c r="D968" s="1">
        <v>0.0</v>
      </c>
      <c r="E968" s="1">
        <v>0.0</v>
      </c>
      <c r="F968" s="1">
        <v>0.0</v>
      </c>
      <c r="G968" s="1">
        <v>1.0</v>
      </c>
      <c r="H968" s="1">
        <v>0.0</v>
      </c>
    </row>
    <row r="969">
      <c r="A969" s="1">
        <v>385.0</v>
      </c>
      <c r="B969" s="1" t="s">
        <v>17</v>
      </c>
      <c r="C969" s="1" t="s">
        <v>616</v>
      </c>
      <c r="D969" s="1">
        <v>0.0</v>
      </c>
      <c r="E969" s="1">
        <v>0.0</v>
      </c>
      <c r="F969" s="1">
        <v>0.0</v>
      </c>
      <c r="G969" s="1">
        <v>1.0</v>
      </c>
      <c r="H969" s="1">
        <v>38000.0</v>
      </c>
    </row>
    <row r="970">
      <c r="A970" s="1">
        <v>385.0</v>
      </c>
      <c r="B970" s="1" t="s">
        <v>17</v>
      </c>
      <c r="C970" s="1" t="s">
        <v>736</v>
      </c>
      <c r="D970" s="1" t="s">
        <v>17</v>
      </c>
      <c r="E970" s="1" t="s">
        <v>17</v>
      </c>
      <c r="F970" s="1" t="s">
        <v>17</v>
      </c>
      <c r="G970" s="1">
        <v>1.0</v>
      </c>
      <c r="H970" s="1">
        <v>115900.0</v>
      </c>
    </row>
    <row r="971">
      <c r="A971" s="1">
        <v>386.0</v>
      </c>
      <c r="B971" s="1" t="s">
        <v>17</v>
      </c>
      <c r="C971" s="1" t="s">
        <v>857</v>
      </c>
      <c r="D971" s="1" t="s">
        <v>17</v>
      </c>
      <c r="E971" s="1" t="s">
        <v>17</v>
      </c>
      <c r="F971" s="1" t="s">
        <v>17</v>
      </c>
      <c r="G971" s="1">
        <v>1.0</v>
      </c>
      <c r="H971" s="1">
        <v>120000.0</v>
      </c>
    </row>
    <row r="972">
      <c r="A972" s="1">
        <v>386.0</v>
      </c>
      <c r="B972" s="1" t="s">
        <v>17</v>
      </c>
      <c r="C972" s="1" t="s">
        <v>736</v>
      </c>
      <c r="D972" s="1" t="s">
        <v>17</v>
      </c>
      <c r="E972" s="1" t="s">
        <v>17</v>
      </c>
      <c r="F972" s="1" t="s">
        <v>17</v>
      </c>
      <c r="G972" s="1">
        <v>1.0</v>
      </c>
      <c r="H972" s="1">
        <v>75000.0</v>
      </c>
    </row>
    <row r="973">
      <c r="A973" s="1">
        <v>386.0</v>
      </c>
      <c r="B973" s="1" t="s">
        <v>601</v>
      </c>
      <c r="C973" s="1" t="s">
        <v>616</v>
      </c>
      <c r="D973" s="1">
        <v>0.0</v>
      </c>
      <c r="E973" s="1">
        <v>0.0</v>
      </c>
      <c r="F973" s="1">
        <v>90.0</v>
      </c>
      <c r="G973" s="1">
        <v>1.0</v>
      </c>
      <c r="H973" s="1">
        <v>0.0</v>
      </c>
    </row>
    <row r="974">
      <c r="A974" s="1">
        <v>386.0</v>
      </c>
      <c r="B974" s="1" t="s">
        <v>607</v>
      </c>
      <c r="C974" s="1" t="s">
        <v>616</v>
      </c>
      <c r="D974" s="1">
        <v>0.0</v>
      </c>
      <c r="E974" s="1">
        <v>0.0</v>
      </c>
      <c r="F974" s="1">
        <v>90.0</v>
      </c>
      <c r="G974" s="1">
        <v>1.0</v>
      </c>
      <c r="H974" s="1">
        <v>63000.0</v>
      </c>
    </row>
    <row r="975">
      <c r="A975" s="1">
        <v>387.0</v>
      </c>
      <c r="B975" s="1" t="s">
        <v>17</v>
      </c>
      <c r="C975" s="1" t="s">
        <v>736</v>
      </c>
      <c r="D975" s="1" t="s">
        <v>17</v>
      </c>
      <c r="E975" s="1" t="s">
        <v>17</v>
      </c>
      <c r="F975" s="1" t="s">
        <v>17</v>
      </c>
      <c r="G975" s="1">
        <v>1.0</v>
      </c>
      <c r="H975" s="1">
        <v>131000.0</v>
      </c>
    </row>
    <row r="976">
      <c r="A976" s="1">
        <v>387.0</v>
      </c>
      <c r="B976" s="1" t="s">
        <v>17</v>
      </c>
      <c r="C976" s="1" t="s">
        <v>736</v>
      </c>
      <c r="D976" s="1" t="s">
        <v>17</v>
      </c>
      <c r="E976" s="1" t="s">
        <v>17</v>
      </c>
      <c r="F976" s="1" t="s">
        <v>17</v>
      </c>
      <c r="G976" s="1">
        <v>1.0</v>
      </c>
      <c r="H976" s="1">
        <v>75000.0</v>
      </c>
    </row>
    <row r="977">
      <c r="A977" s="1">
        <v>387.0</v>
      </c>
      <c r="B977" s="1" t="s">
        <v>17</v>
      </c>
      <c r="C977" s="1" t="s">
        <v>606</v>
      </c>
      <c r="D977" s="1">
        <v>0.0</v>
      </c>
      <c r="E977" s="1">
        <v>0.0</v>
      </c>
      <c r="F977" s="1">
        <v>0.0</v>
      </c>
      <c r="G977" s="1">
        <v>1.0</v>
      </c>
      <c r="H977" s="1">
        <v>18000.0</v>
      </c>
    </row>
    <row r="978">
      <c r="A978" s="1">
        <v>387.0</v>
      </c>
      <c r="B978" s="1" t="s">
        <v>17</v>
      </c>
      <c r="C978" s="1" t="s">
        <v>606</v>
      </c>
      <c r="D978" s="1">
        <v>0.0</v>
      </c>
      <c r="E978" s="1">
        <v>0.0</v>
      </c>
      <c r="F978" s="1">
        <v>0.0</v>
      </c>
      <c r="G978" s="1">
        <v>1.0</v>
      </c>
      <c r="H978" s="1">
        <v>0.0</v>
      </c>
    </row>
    <row r="979">
      <c r="A979" s="1">
        <v>387.0</v>
      </c>
      <c r="B979" s="1" t="s">
        <v>17</v>
      </c>
      <c r="C979" s="1" t="s">
        <v>611</v>
      </c>
      <c r="D979" s="1">
        <v>0.0</v>
      </c>
      <c r="E979" s="1">
        <v>0.0</v>
      </c>
      <c r="F979" s="1">
        <v>0.0</v>
      </c>
      <c r="G979" s="1">
        <v>1.0</v>
      </c>
      <c r="H979" s="1">
        <v>60000.0</v>
      </c>
    </row>
    <row r="980">
      <c r="A980" s="1">
        <v>387.0</v>
      </c>
      <c r="B980" s="1" t="s">
        <v>17</v>
      </c>
      <c r="C980" s="1" t="s">
        <v>611</v>
      </c>
      <c r="D980" s="1">
        <v>0.0</v>
      </c>
      <c r="E980" s="1">
        <v>0.0</v>
      </c>
      <c r="F980" s="1">
        <v>0.0</v>
      </c>
      <c r="G980" s="1">
        <v>1.0</v>
      </c>
      <c r="H980" s="1">
        <v>0.0</v>
      </c>
    </row>
    <row r="981">
      <c r="A981" s="1">
        <v>388.0</v>
      </c>
      <c r="B981" s="1" t="s">
        <v>601</v>
      </c>
      <c r="C981" s="1" t="s">
        <v>680</v>
      </c>
      <c r="D981" s="1">
        <v>0.0</v>
      </c>
      <c r="E981" s="1">
        <v>0.0</v>
      </c>
      <c r="F981" s="1">
        <v>5.0</v>
      </c>
      <c r="G981" s="1">
        <v>1.0</v>
      </c>
      <c r="H981" s="1">
        <v>62359.0</v>
      </c>
    </row>
    <row r="982">
      <c r="A982" s="1">
        <v>388.0</v>
      </c>
      <c r="B982" s="1" t="s">
        <v>607</v>
      </c>
      <c r="C982" s="1" t="s">
        <v>680</v>
      </c>
      <c r="D982" s="1">
        <v>0.0</v>
      </c>
      <c r="E982" s="1">
        <v>0.0</v>
      </c>
      <c r="F982" s="1">
        <v>175.0</v>
      </c>
      <c r="G982" s="1">
        <v>1.0</v>
      </c>
      <c r="H982" s="1">
        <v>0.0</v>
      </c>
    </row>
    <row r="983">
      <c r="A983" s="1">
        <v>389.0</v>
      </c>
      <c r="B983" s="1" t="s">
        <v>17</v>
      </c>
      <c r="C983" s="1" t="s">
        <v>853</v>
      </c>
      <c r="D983" s="1">
        <v>0.0</v>
      </c>
      <c r="E983" s="1">
        <v>0.0</v>
      </c>
      <c r="F983" s="1">
        <v>0.0</v>
      </c>
      <c r="G983" s="1">
        <v>1.0</v>
      </c>
      <c r="H983" s="1">
        <v>1241000.0</v>
      </c>
    </row>
    <row r="984">
      <c r="A984" s="1">
        <v>389.0</v>
      </c>
      <c r="B984" s="1" t="s">
        <v>17</v>
      </c>
      <c r="C984" s="1" t="s">
        <v>853</v>
      </c>
      <c r="D984" s="1">
        <v>0.0</v>
      </c>
      <c r="E984" s="1">
        <v>0.0</v>
      </c>
      <c r="F984" s="1">
        <v>0.0</v>
      </c>
      <c r="G984" s="1">
        <v>1.0</v>
      </c>
      <c r="H984" s="1">
        <v>0.0</v>
      </c>
    </row>
    <row r="985">
      <c r="A985" s="1">
        <v>390.0</v>
      </c>
      <c r="B985" s="1" t="s">
        <v>601</v>
      </c>
      <c r="C985" s="1" t="s">
        <v>862</v>
      </c>
      <c r="D985" s="1">
        <v>0.0</v>
      </c>
      <c r="E985" s="1">
        <v>0.0</v>
      </c>
      <c r="F985" s="1">
        <v>60.0</v>
      </c>
      <c r="G985" s="1">
        <v>1.0</v>
      </c>
      <c r="H985" s="1">
        <v>280000.0</v>
      </c>
    </row>
    <row r="986">
      <c r="A986" s="1">
        <v>390.0</v>
      </c>
      <c r="B986" s="1" t="s">
        <v>607</v>
      </c>
      <c r="C986" s="1" t="s">
        <v>862</v>
      </c>
      <c r="D986" s="1">
        <v>0.0</v>
      </c>
      <c r="E986" s="1">
        <v>0.0</v>
      </c>
      <c r="F986" s="1">
        <v>0.0</v>
      </c>
      <c r="G986" s="1">
        <v>1.0</v>
      </c>
      <c r="H986" s="1">
        <v>0.0</v>
      </c>
    </row>
    <row r="987">
      <c r="A987" s="1">
        <v>390.0</v>
      </c>
      <c r="B987" s="1" t="s">
        <v>17</v>
      </c>
      <c r="C987" s="1" t="s">
        <v>736</v>
      </c>
      <c r="D987" s="1" t="s">
        <v>17</v>
      </c>
      <c r="E987" s="1" t="s">
        <v>17</v>
      </c>
      <c r="F987" s="1" t="s">
        <v>17</v>
      </c>
      <c r="G987" s="1">
        <v>1.0</v>
      </c>
      <c r="H987" s="1">
        <v>140000.0</v>
      </c>
    </row>
    <row r="988">
      <c r="A988" s="1">
        <v>391.0</v>
      </c>
      <c r="B988" s="1" t="s">
        <v>601</v>
      </c>
      <c r="C988" s="1" t="s">
        <v>677</v>
      </c>
      <c r="D988" s="1">
        <v>0.0</v>
      </c>
      <c r="E988" s="1">
        <v>0.0</v>
      </c>
      <c r="F988" s="1">
        <v>0.0</v>
      </c>
      <c r="G988" s="1">
        <v>1.0</v>
      </c>
      <c r="H988" s="1">
        <v>0.0</v>
      </c>
    </row>
    <row r="989">
      <c r="A989" s="1">
        <v>391.0</v>
      </c>
      <c r="B989" s="1" t="s">
        <v>607</v>
      </c>
      <c r="C989" s="1" t="s">
        <v>677</v>
      </c>
      <c r="D989" s="1">
        <v>0.0</v>
      </c>
      <c r="E989" s="1">
        <v>0.0</v>
      </c>
      <c r="F989" s="1">
        <v>0.0</v>
      </c>
      <c r="G989" s="1">
        <v>1.0</v>
      </c>
      <c r="H989" s="1">
        <v>84000.0</v>
      </c>
    </row>
    <row r="990">
      <c r="A990" s="1">
        <v>392.0</v>
      </c>
      <c r="B990" s="1" t="s">
        <v>601</v>
      </c>
      <c r="C990" s="1" t="s">
        <v>702</v>
      </c>
      <c r="D990" s="1">
        <v>0.0</v>
      </c>
      <c r="E990" s="1">
        <v>0.0</v>
      </c>
      <c r="F990" s="1">
        <v>20.0</v>
      </c>
      <c r="G990" s="1">
        <v>1.0</v>
      </c>
      <c r="H990" s="1">
        <v>400000.0</v>
      </c>
    </row>
    <row r="991">
      <c r="A991" s="1">
        <v>392.0</v>
      </c>
      <c r="B991" s="1" t="s">
        <v>607</v>
      </c>
      <c r="C991" s="1" t="s">
        <v>702</v>
      </c>
      <c r="D991" s="1">
        <v>0.0</v>
      </c>
      <c r="E991" s="1">
        <v>0.0</v>
      </c>
      <c r="F991" s="1">
        <v>165.0</v>
      </c>
      <c r="G991" s="1">
        <v>1.0</v>
      </c>
      <c r="H991" s="1">
        <v>0.0</v>
      </c>
    </row>
    <row r="992">
      <c r="A992" s="1">
        <v>392.0</v>
      </c>
      <c r="B992" s="1" t="s">
        <v>17</v>
      </c>
      <c r="C992" s="1" t="s">
        <v>736</v>
      </c>
      <c r="D992" s="1" t="s">
        <v>17</v>
      </c>
      <c r="E992" s="1" t="s">
        <v>17</v>
      </c>
      <c r="F992" s="1" t="s">
        <v>17</v>
      </c>
      <c r="G992" s="1">
        <v>1.0</v>
      </c>
      <c r="H992" s="1">
        <v>96000.0</v>
      </c>
    </row>
    <row r="993">
      <c r="A993" s="1">
        <v>393.0</v>
      </c>
      <c r="B993" s="1" t="s">
        <v>17</v>
      </c>
      <c r="C993" s="1" t="s">
        <v>616</v>
      </c>
      <c r="D993" s="1">
        <v>0.0</v>
      </c>
      <c r="E993" s="1">
        <v>0.0</v>
      </c>
      <c r="F993" s="1">
        <v>0.0</v>
      </c>
      <c r="G993" s="1">
        <v>1.0</v>
      </c>
      <c r="H993" s="1">
        <v>350.0</v>
      </c>
    </row>
    <row r="994">
      <c r="A994" s="1">
        <v>394.0</v>
      </c>
      <c r="B994" s="1" t="s">
        <v>17</v>
      </c>
      <c r="C994" s="1" t="s">
        <v>863</v>
      </c>
      <c r="D994" s="1" t="s">
        <v>17</v>
      </c>
      <c r="E994" s="1" t="s">
        <v>17</v>
      </c>
      <c r="F994" s="1" t="s">
        <v>17</v>
      </c>
      <c r="G994" s="1">
        <v>1.0</v>
      </c>
      <c r="H994" s="1">
        <v>126000.0</v>
      </c>
    </row>
    <row r="995">
      <c r="A995" s="1">
        <v>395.0</v>
      </c>
      <c r="B995" s="1" t="s">
        <v>17</v>
      </c>
      <c r="C995" s="1" t="s">
        <v>770</v>
      </c>
      <c r="D995" s="1" t="s">
        <v>17</v>
      </c>
      <c r="E995" s="1" t="s">
        <v>17</v>
      </c>
      <c r="F995" s="1" t="s">
        <v>17</v>
      </c>
      <c r="G995" s="1">
        <v>1.0</v>
      </c>
      <c r="H995" s="1">
        <v>195000.0</v>
      </c>
    </row>
    <row r="996">
      <c r="A996" s="1">
        <v>396.0</v>
      </c>
      <c r="B996" s="1" t="s">
        <v>17</v>
      </c>
      <c r="C996" s="1" t="s">
        <v>816</v>
      </c>
      <c r="D996" s="1" t="s">
        <v>17</v>
      </c>
      <c r="E996" s="1" t="s">
        <v>17</v>
      </c>
      <c r="F996" s="1" t="s">
        <v>17</v>
      </c>
      <c r="G996" s="1">
        <v>1.0</v>
      </c>
      <c r="H996" s="1">
        <v>112000.0</v>
      </c>
    </row>
    <row r="997">
      <c r="A997" s="1">
        <v>396.0</v>
      </c>
      <c r="B997" s="1" t="s">
        <v>601</v>
      </c>
      <c r="C997" s="1" t="s">
        <v>794</v>
      </c>
      <c r="D997" s="1">
        <v>0.0</v>
      </c>
      <c r="E997" s="1">
        <v>-1.0</v>
      </c>
      <c r="F997" s="1">
        <v>92.0</v>
      </c>
      <c r="G997" s="1">
        <v>1.0</v>
      </c>
      <c r="H997" s="1">
        <v>163000.0</v>
      </c>
    </row>
    <row r="998">
      <c r="A998" s="1">
        <v>396.0</v>
      </c>
      <c r="B998" s="1" t="s">
        <v>607</v>
      </c>
      <c r="C998" s="1" t="s">
        <v>794</v>
      </c>
      <c r="D998" s="1">
        <v>0.0</v>
      </c>
      <c r="E998" s="1">
        <v>-0.25</v>
      </c>
      <c r="F998" s="1">
        <v>74.0</v>
      </c>
      <c r="G998" s="1">
        <v>1.0</v>
      </c>
      <c r="H998" s="1">
        <v>0.0</v>
      </c>
    </row>
    <row r="999">
      <c r="A999" s="1">
        <v>397.0</v>
      </c>
      <c r="B999" s="1" t="s">
        <v>17</v>
      </c>
      <c r="C999" s="1" t="s">
        <v>611</v>
      </c>
      <c r="D999" s="1">
        <v>-1.0</v>
      </c>
      <c r="E999" s="1">
        <v>-0.25</v>
      </c>
      <c r="F999" s="1">
        <v>90.0</v>
      </c>
      <c r="G999" s="1">
        <v>1.0</v>
      </c>
      <c r="H999" s="1">
        <v>0.0</v>
      </c>
    </row>
    <row r="1000">
      <c r="A1000" s="1">
        <v>397.0</v>
      </c>
      <c r="B1000" s="1" t="s">
        <v>17</v>
      </c>
      <c r="C1000" s="1" t="s">
        <v>611</v>
      </c>
      <c r="D1000" s="1">
        <v>-0.5</v>
      </c>
      <c r="E1000" s="1">
        <v>-0.5</v>
      </c>
      <c r="F1000" s="1">
        <v>60.0</v>
      </c>
      <c r="G1000" s="1">
        <v>1.0</v>
      </c>
      <c r="H1000" s="1">
        <v>43000.0</v>
      </c>
    </row>
    <row r="1001">
      <c r="A1001" s="1">
        <v>397.0</v>
      </c>
      <c r="B1001" s="1" t="s">
        <v>17</v>
      </c>
      <c r="C1001" s="1" t="s">
        <v>828</v>
      </c>
      <c r="D1001" s="1" t="s">
        <v>17</v>
      </c>
      <c r="E1001" s="1" t="s">
        <v>17</v>
      </c>
      <c r="F1001" s="1" t="s">
        <v>17</v>
      </c>
      <c r="G1001" s="1">
        <v>1.0</v>
      </c>
      <c r="H1001" s="1">
        <v>75000.0</v>
      </c>
    </row>
    <row r="1002">
      <c r="A1002" s="1">
        <v>398.0</v>
      </c>
      <c r="B1002" s="1" t="s">
        <v>17</v>
      </c>
      <c r="C1002" s="1" t="s">
        <v>736</v>
      </c>
      <c r="D1002" s="1" t="s">
        <v>17</v>
      </c>
      <c r="E1002" s="1" t="s">
        <v>17</v>
      </c>
      <c r="F1002" s="1" t="s">
        <v>17</v>
      </c>
      <c r="G1002" s="1">
        <v>1.0</v>
      </c>
      <c r="H1002" s="1">
        <v>40000.0</v>
      </c>
    </row>
    <row r="1003">
      <c r="A1003" s="1">
        <v>398.0</v>
      </c>
      <c r="B1003" s="1" t="s">
        <v>17</v>
      </c>
      <c r="C1003" s="1" t="s">
        <v>616</v>
      </c>
      <c r="D1003" s="1">
        <v>-0.5</v>
      </c>
      <c r="E1003" s="1">
        <v>-0.75</v>
      </c>
      <c r="F1003" s="1">
        <v>110.0</v>
      </c>
      <c r="G1003" s="1">
        <v>1.0</v>
      </c>
      <c r="H1003" s="1">
        <v>0.0</v>
      </c>
    </row>
    <row r="1004">
      <c r="A1004" s="1">
        <v>398.0</v>
      </c>
      <c r="B1004" s="1" t="s">
        <v>17</v>
      </c>
      <c r="C1004" s="1" t="s">
        <v>616</v>
      </c>
      <c r="D1004" s="1">
        <v>-0.75</v>
      </c>
      <c r="E1004" s="1">
        <v>-0.5</v>
      </c>
      <c r="F1004" s="1">
        <v>95.0</v>
      </c>
      <c r="G1004" s="1">
        <v>1.0</v>
      </c>
      <c r="H1004" s="1">
        <v>30000.0</v>
      </c>
    </row>
    <row r="1005">
      <c r="A1005" s="1">
        <v>399.0</v>
      </c>
      <c r="B1005" s="1" t="s">
        <v>17</v>
      </c>
      <c r="C1005" s="1" t="s">
        <v>676</v>
      </c>
      <c r="D1005" s="1" t="s">
        <v>17</v>
      </c>
      <c r="E1005" s="1" t="s">
        <v>17</v>
      </c>
      <c r="F1005" s="1" t="s">
        <v>17</v>
      </c>
      <c r="G1005" s="1">
        <v>1.0</v>
      </c>
      <c r="H1005" s="1">
        <v>65372.64</v>
      </c>
    </row>
    <row r="1006">
      <c r="A1006" s="1">
        <v>399.0</v>
      </c>
      <c r="B1006" s="1" t="s">
        <v>604</v>
      </c>
      <c r="C1006" s="1" t="s">
        <v>606</v>
      </c>
      <c r="D1006" s="1">
        <v>0.0</v>
      </c>
      <c r="E1006" s="1">
        <v>3.75</v>
      </c>
      <c r="F1006" s="1">
        <v>0.0</v>
      </c>
      <c r="G1006" s="1">
        <v>1.0</v>
      </c>
      <c r="H1006" s="1">
        <v>10734.59</v>
      </c>
    </row>
    <row r="1007">
      <c r="A1007" s="1">
        <v>400.0</v>
      </c>
      <c r="B1007" s="1" t="s">
        <v>17</v>
      </c>
      <c r="C1007" s="1" t="s">
        <v>864</v>
      </c>
      <c r="D1007" s="1" t="s">
        <v>17</v>
      </c>
      <c r="E1007" s="1" t="s">
        <v>17</v>
      </c>
      <c r="F1007" s="1" t="s">
        <v>17</v>
      </c>
      <c r="G1007" s="1">
        <v>1.0</v>
      </c>
      <c r="H1007" s="1">
        <v>0.0</v>
      </c>
    </row>
    <row r="1008">
      <c r="A1008" s="1">
        <v>400.0</v>
      </c>
      <c r="B1008" s="1" t="s">
        <v>17</v>
      </c>
      <c r="C1008" s="1" t="s">
        <v>847</v>
      </c>
      <c r="D1008" s="1" t="s">
        <v>17</v>
      </c>
      <c r="E1008" s="1" t="s">
        <v>17</v>
      </c>
      <c r="F1008" s="1" t="s">
        <v>17</v>
      </c>
      <c r="G1008" s="1">
        <v>1.0</v>
      </c>
      <c r="H1008" s="1">
        <v>227000.0</v>
      </c>
    </row>
    <row r="1009">
      <c r="A1009" s="1">
        <v>401.0</v>
      </c>
      <c r="B1009" s="1" t="s">
        <v>17</v>
      </c>
      <c r="C1009" s="1" t="s">
        <v>781</v>
      </c>
      <c r="D1009" s="1">
        <v>0.0</v>
      </c>
      <c r="E1009" s="1" t="s">
        <v>17</v>
      </c>
      <c r="F1009" s="1" t="s">
        <v>17</v>
      </c>
      <c r="G1009" s="1">
        <v>1.0</v>
      </c>
      <c r="H1009" s="1">
        <v>90000.0</v>
      </c>
    </row>
  </sheetData>
  <drawing r:id="rId1"/>
</worksheet>
</file>