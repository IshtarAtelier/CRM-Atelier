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DETALLE VENTAS" sheetId="2" r:id="rId6"/>
    <sheet state="visible" name="CLIENTES" sheetId="3" r:id="rId7"/>
  </sheets>
  <definedNames/>
  <calcPr/>
</workbook>
</file>

<file path=xl/sharedStrings.xml><?xml version="1.0" encoding="utf-8"?>
<sst xmlns="http://schemas.openxmlformats.org/spreadsheetml/2006/main" count="25605" uniqueCount="1512">
  <si>
    <t>num_venta</t>
  </si>
  <si>
    <t>fecha_venta</t>
  </si>
  <si>
    <t>nombre_cliente</t>
  </si>
  <si>
    <t>tipo_venta</t>
  </si>
  <si>
    <t>nombre_sugerencia</t>
  </si>
  <si>
    <t>nombre_estado</t>
  </si>
  <si>
    <t>nombre_medio</t>
  </si>
  <si>
    <t>total</t>
  </si>
  <si>
    <t>nombre_descuento</t>
  </si>
  <si>
    <t>observaciones</t>
  </si>
  <si>
    <t>Coronel Marcos Javier</t>
  </si>
  <si>
    <t>SIN SUGERENCIA</t>
  </si>
  <si>
    <t>Entregado</t>
  </si>
  <si>
    <t>AHORA 6</t>
  </si>
  <si>
    <t>Sin Descuento</t>
  </si>
  <si>
    <t>Cristal con tratamineto de color compacto $33.000 
Gabriel: S/FC</t>
  </si>
  <si>
    <t>Gabriel : S/FC</t>
  </si>
  <si>
    <t>Lopez Carlos</t>
  </si>
  <si>
    <t>Cristales 1.56 Armazon Vulk</t>
  </si>
  <si>
    <t>Daniel Missana</t>
  </si>
  <si>
    <t>EFECTIVO</t>
  </si>
  <si>
    <t>Cristales ORG BCO TEÑIDO COMPACTO UV400 
Armazon Usual - Descuento Cliente</t>
  </si>
  <si>
    <t>Evangelisti Mariana Amalia</t>
  </si>
  <si>
    <t>Anulado</t>
  </si>
  <si>
    <t>Descuento especial Mariana Amalia</t>
  </si>
  <si>
    <t>\N</t>
  </si>
  <si>
    <t>FAMILIARES (SOLO EFECTIVO)</t>
  </si>
  <si>
    <t>1er Armazon Hanoover 83131
2do Armazon Hanoover 104 C6 
2DO PAR VARILUX SIN CARGO</t>
  </si>
  <si>
    <t>Pago mixto</t>
  </si>
  <si>
    <t>1ER PAR 2X1 VARILUX COMFORT MAX</t>
  </si>
  <si>
    <t>DESCUENTO ESPECIAL AUTORIZADO 
1ER PAR PROMO 2X1 VARILUX COMFOTR MAX</t>
  </si>
  <si>
    <t>Descuento extraordinario 26%</t>
  </si>
  <si>
    <t>Descuento PREFERENCIAL AUTORIZADO
PROMO 2X1 VARILUX COMFORT</t>
  </si>
  <si>
    <t>Transfer Lucia - ALIAS : ATAJO.SALINA.ADOBO (macro)</t>
  </si>
  <si>
    <t>Descuento PREFERENCIAL AUTORIZADO 
2do PAR PROMO 2X1 VARILUX COMFORT</t>
  </si>
  <si>
    <t>Cesar Suarez</t>
  </si>
  <si>
    <t>Importe ABONADO $112.000
ADD AO+2.50
Altura de pelicula 17 AO</t>
  </si>
  <si>
    <t>Garcia Aldo</t>
  </si>
  <si>
    <t>AHORA 3</t>
  </si>
  <si>
    <t>PAGO REALIZADO CON TRAJETA NARANJA PLAN Z</t>
  </si>
  <si>
    <t>Maza Jose</t>
  </si>
  <si>
    <t>Saldo abonado de $611.000 Efectivo
Promocion 2x1 Smart Free DESCUENTO PREFERENCIAL FAMILIAR</t>
  </si>
  <si>
    <t>Herlein Jose</t>
  </si>
  <si>
    <t>Descuento especial 10%</t>
  </si>
  <si>
    <t>Promocion 2x1 Smart Lens FREE 1ER PAR 
SALDO ABONADO DE $676.800 POR TRANSFERENCIA</t>
  </si>
  <si>
    <t>Ferrari Pablo Alvaro</t>
  </si>
  <si>
    <t>Promoción 2x1 Smart Lens FREE 1ER PAR</t>
  </si>
  <si>
    <t>Alicia Huberman</t>
  </si>
  <si>
    <t>Descuento especial 5%</t>
  </si>
  <si>
    <t>Descuentos OB SANCOR SALUD aplicados armazón y cristales
Cristales con AR ESEENTIAL</t>
  </si>
  <si>
    <t>Garcia Joaquin</t>
  </si>
  <si>
    <t>Descuentos preferenciales  FASTA</t>
  </si>
  <si>
    <t>Roura Ricardo</t>
  </si>
  <si>
    <t>SALDO PENDIENTE</t>
  </si>
  <si>
    <t>Gomez Sergio</t>
  </si>
  <si>
    <t>Transfrer Yani - Alias optica.atelier (Santander)</t>
  </si>
  <si>
    <t>Promocion Smart Lens Multifocales 
Ficha de Anteojo Multifocal
Descuentos aplicados por promo /anteojos monofocales en segunda ficha</t>
  </si>
  <si>
    <t>Promocion Smart Lens Multifocal
Descuentos de monofocal aplicados en segunda ficha</t>
  </si>
  <si>
    <t>Promocion Monofocal descuentos aplicados
Monofocal de sol aplicado en ficha de cerca 
Descuentos especiales auotrizados TOTAL AMBAS FICHAS $ 690.000 Efectivo</t>
  </si>
  <si>
    <t>Antonella Devita</t>
  </si>
  <si>
    <t>Descuento especial 15%</t>
  </si>
  <si>
    <t>Descuento especial sin aumento por presupuesto del 11/04
Total abonado por transferencia $379.600 
Ficha de lejos Usuario 1 (Antonella) / Ficha de cerca de Usuario 2 (Esposo)</t>
  </si>
  <si>
    <t>Manzanares Marina Roxana</t>
  </si>
  <si>
    <t>Pormocion 2x1 Smart FREE 
SIN AUMENTO APLICADO</t>
  </si>
  <si>
    <t>2DO PAR PROMOCION 2X1</t>
  </si>
  <si>
    <t>Garay Matias</t>
  </si>
  <si>
    <t>Pagni Hector</t>
  </si>
  <si>
    <t>Promocion en cristales monofocales 1.56 BLUE/AR
Descuentos aplicados por OBRA SOCIAL</t>
  </si>
  <si>
    <t>Maria Bibiana Amguio</t>
  </si>
  <si>
    <t>PROMOCION 2X1 SMART LENS 1ER PAR
PRECIOS SIN AUMENTO APLICADO</t>
  </si>
  <si>
    <t>POMOCION 2X1 SMART FREE 2DO PAR</t>
  </si>
  <si>
    <t>ARMAZON DE PROMOCION SMART FREE 2X1 2DO PAR</t>
  </si>
  <si>
    <t>Passoti Humberto Daniel</t>
  </si>
  <si>
    <t>VALOR SIN AUMENTO APLICADO</t>
  </si>
  <si>
    <t>Rosa Claudia</t>
  </si>
  <si>
    <t>PROMOCION OCUPACIONAL 1.60 ALTA GAMA 
ESSENTIAL ASFERICO CON PROPIEDADES SOBRE CRISTAL</t>
  </si>
  <si>
    <t>PROMOCION CRISATLES MONOFOCALES SIN CARGO POR OCUPACIONAL ALTA GAMA 1.60
CRISTALES AFFERICOS 3 FILTRO AZUL</t>
  </si>
  <si>
    <t>Fernandez Vazquez Gabriela</t>
  </si>
  <si>
    <t>Calle</t>
  </si>
  <si>
    <t>Peluffo Florencia</t>
  </si>
  <si>
    <t>1 PAGO</t>
  </si>
  <si>
    <t>Dana Asson</t>
  </si>
  <si>
    <t>Claudio Lucero</t>
  </si>
  <si>
    <t>Referido</t>
  </si>
  <si>
    <t>Descuento Familiar</t>
  </si>
  <si>
    <t>Natalia Reggiori</t>
  </si>
  <si>
    <t>Victoria Lucero</t>
  </si>
  <si>
    <t>Magnani Diaz Lucas</t>
  </si>
  <si>
    <t>Descuento 2do par PROMO VUELTA AL COLE.
Descuento aplicado en Efectivo/Transferencia</t>
  </si>
  <si>
    <t>Google ads</t>
  </si>
  <si>
    <t>2do Par promo 2x1</t>
  </si>
  <si>
    <t>2do par PROMO 2X1</t>
  </si>
  <si>
    <t>2DO par PROMO 2X1</t>
  </si>
  <si>
    <t>Zapata Carlos Martin</t>
  </si>
  <si>
    <t>Jemima Dermendyeff</t>
  </si>
  <si>
    <t>Juan Maria Villagra</t>
  </si>
  <si>
    <t>Cuello Lisandro</t>
  </si>
  <si>
    <t>Meta Bussines</t>
  </si>
  <si>
    <t>Virginia Cella</t>
  </si>
  <si>
    <t>Alejandro Carunchio</t>
  </si>
  <si>
    <t>Cristales COQUIL cambio de color en ambos anteojos NEUTROS</t>
  </si>
  <si>
    <t>Descuento especial 3er PAR</t>
  </si>
  <si>
    <t>Magali ceballos</t>
  </si>
  <si>
    <t>Descuento por obra social</t>
  </si>
  <si>
    <t>Cannigia Daniela Jimena</t>
  </si>
  <si>
    <t>Karina Lihue</t>
  </si>
  <si>
    <t>Se realizo cambio de terminales y plaquetas</t>
  </si>
  <si>
    <t>Hilario Fabro</t>
  </si>
  <si>
    <t>CRISTALES ST SMART LENS SUPER BLUE HD
•⁠  ⁠Antireflex Essential 
•⁠  ⁠Filtro Blue Light Cut
•⁠  ⁠Cristales Asfericos (planos) Alto indice 1.60 
•⁠  ⁠Lentes más delgadas, livianas y esteticas 
PROMOCION 2X1 CRISATLES SUPER BLUE HD</t>
  </si>
  <si>
    <t>Cherines Eleonora</t>
  </si>
  <si>
    <t>PROMOCION 2X1 SMART FREE 1ER PAR</t>
  </si>
  <si>
    <t>PROMOCION MULTIFOCAL FREE 2X1 2DO PAR</t>
  </si>
  <si>
    <t>Cabrerizo Maria</t>
  </si>
  <si>
    <t>Ochoa Ailen</t>
  </si>
  <si>
    <t>Ferreyra Sonia</t>
  </si>
  <si>
    <t>Aranceles preferenciales Swiss Medical</t>
  </si>
  <si>
    <t>Assadourian Sofia</t>
  </si>
  <si>
    <t>Transfer Ishtar - Alias: ATELIEROP (CC Frances)</t>
  </si>
  <si>
    <t>Gravano Federico</t>
  </si>
  <si>
    <t>Ya es cliente</t>
  </si>
  <si>
    <t>Gonzales Monica</t>
  </si>
  <si>
    <t>Promocion 2X1 primer par</t>
  </si>
  <si>
    <t>Segundo par - anteojo color compacto $5.769</t>
  </si>
  <si>
    <t>Roxana Maria Pia Martin</t>
  </si>
  <si>
    <t>Descuentos aplicados OBRA SOCIAL</t>
  </si>
  <si>
    <t>Torres Cesar</t>
  </si>
  <si>
    <t>Perez Alberto</t>
  </si>
  <si>
    <t>Damoli Lorenzo</t>
  </si>
  <si>
    <t>Rosario Bernardi</t>
  </si>
  <si>
    <t>Convenio Fasta</t>
  </si>
  <si>
    <t>Aranceles convenio FASTA 
5% por consulta medica</t>
  </si>
  <si>
    <t>Transfer Ishtar - Alias:  Atelieroptica (MP)</t>
  </si>
  <si>
    <t>Promo cristales de sol</t>
  </si>
  <si>
    <t>Gortan Rosana</t>
  </si>
  <si>
    <t>Diego Nicolás Páez</t>
  </si>
  <si>
    <t>Bonificacion autorizada 15/05
Bonificacion para Varilux .P / Varilux D-XR
Sujeto a cambio de gama V.</t>
  </si>
  <si>
    <t>Romina Pacheco</t>
  </si>
  <si>
    <t>Pelanda Miriam Irene</t>
  </si>
  <si>
    <t>Seña de congelación 
PROMO 2X1 SMART LENS FREE</t>
  </si>
  <si>
    <t>Naile Olvia</t>
  </si>
  <si>
    <t>Descuento REFERIDO
Promo par de cristales SOL</t>
  </si>
  <si>
    <t>Maza Nahir</t>
  </si>
  <si>
    <t>Mariana Magris</t>
  </si>
  <si>
    <t>Perez Marcelo Antonio</t>
  </si>
  <si>
    <t>CRISTALES SMART LENS 1.67 SUPER BLUE HD
•⁠  ⁠Antireflex Essential 
•⁠  ⁠Filtro Blue Light Cut
•⁠  ⁠Cristales Asfericos (planos) Alto indice 1.67
•⁠  ⁠Lentes más delgadas, livianas y esteticas
 •⁠  ⁠Repelentes al agua y el polvo, mas resistentes a los rayones</t>
  </si>
  <si>
    <t>PROMOCION 2X1 MULTIFOCALES 
DESCUENTOS ESPECIALES AUTORIZADOS 
Aranceles preferenciales obra socal aplicados 
Autorizacion en descuentos esp.tar</t>
  </si>
  <si>
    <t>Quialvo Luciano Tomas</t>
  </si>
  <si>
    <t>Lian Yhail Braviz</t>
  </si>
  <si>
    <t>Maria Eugenia Zaffini</t>
  </si>
  <si>
    <t>Descuentos APROSS
Cristales con color de muestra segun el armazon</t>
  </si>
  <si>
    <t>Aranceles preferenciales
Descuentos aplicados / Reintegro de consulta 
Seña integrada</t>
  </si>
  <si>
    <t>Salusso Sandra</t>
  </si>
  <si>
    <t>Descuentos aplicados OB</t>
  </si>
  <si>
    <t>Bueno Alejandra</t>
  </si>
  <si>
    <t>Promocion 2x1 Smart Free
1er PAR SIN CARGO</t>
  </si>
  <si>
    <t>Promo 2x1 Smart Free 2do Par 
Cristales sin cargo</t>
  </si>
  <si>
    <t>Salvador Medina</t>
  </si>
  <si>
    <t>Musso Damian Daniel</t>
  </si>
  <si>
    <t>Pago por trasnsferencia 
Mercado Pago Yani</t>
  </si>
  <si>
    <t>Cristales de color rosa  ($75.000) + cambio de plaquetas ($3.000)</t>
  </si>
  <si>
    <t>Villagra Rocio</t>
  </si>
  <si>
    <t>Plan Z Naranja - Embarazada (consulta lente de contacto) En busquede LC de prueba</t>
  </si>
  <si>
    <t>Casanegra Julia</t>
  </si>
  <si>
    <t>ABONA JUNTO CON FRANCISCO JOSE CASANEGRA EN TOTAL POR EFECTIVO</t>
  </si>
  <si>
    <t>Casanegra Jose Francisco</t>
  </si>
  <si>
    <t>DESCUENTO EFECTIVO</t>
  </si>
  <si>
    <t>Usandivaras Sergio Jeremias</t>
  </si>
  <si>
    <t>ATENCION ! ESTA CARGADA LA INVERSION DE LA RECETA ( ORIGINAL OD -1.00 +1.50 X 75° // OI -1.00 +1.25 X 90° ) 
ELIGE ARMAZON USUAL SOL PARA HACER DE RECETA - ABONA CON LA TARJETA DE LA HERMANA USANDIVARAS POAOLA - DNI 31901421 / NO ENTREGA RECETA</t>
  </si>
  <si>
    <t>Mercado Sebastian Carlos</t>
  </si>
  <si>
    <t>ANTEOJO OCUPACIONAL - LENTES DE MEDIA DISTANCIA CON DEGRESION DE 0.75 // LENTES DE CERCA = OD +3.00 // OI +2.75 +0.50 X85° // Realiza estos cristales como salvaconducto de espera por nuevos multifocales VARILUX POR CAMBIO DE GARANTIA (para no esperar tanto realiza ocupacionales) VARILUX CODIGO 2X1 VA4GLWKQ // GRADUACION DE LEJOS = OD +1.00 // OI +0.75 +0.50 X85°</t>
  </si>
  <si>
    <t>Gonzalez Agustina</t>
  </si>
  <si>
    <t>Magdalena Aguiló</t>
  </si>
  <si>
    <t>Costos de Envío	$6.573,00 (Se tiene en considerecion en el precio del armazon)</t>
  </si>
  <si>
    <t>Plaazo Cruz Ernesto</t>
  </si>
  <si>
    <t>OFRECERLE LENTES DE SOL (ESTABA INTERESADO PERO NO TENIA PARA ABONAR).  LENTES CERCA OD +0.50 +0.25 X125  -  OI +0.50 +0.75 X70</t>
  </si>
  <si>
    <t>Maltauro Ezequiel</t>
  </si>
  <si>
    <t>Super blue con garantia por cambio de receta</t>
  </si>
  <si>
    <t>Marin Maria</t>
  </si>
  <si>
    <t>HERMANA DE ISH Y YANI - REALIZO CAMBIO POR GARANTIA - YA QUE EN EL PEDIDO 80378987 EL OJO IZQUIERDO EL CILINDRO FUE MAL CARGADO, ES -1.00 Y SE LE FABRICÓ CON -1.50</t>
  </si>
  <si>
    <t>Butalla Uriel Nicolas</t>
  </si>
  <si>
    <t>Cristales EyeZen Kids Crizal Prevencia 
El mejor aliado para apoyar los esfuerzos del enfoque ocular.
- Filtra la luz azul-violeta
- Reducir y prevenir la fatiga ocular
- Diseño exclusivo que utiliza dos puntos de referencia para optimizar la superficie del lente
- Visión óptima en todas las direcciones de la mirada
- Mejorar la legibilidad de los caracteres pequeños
- Ayuda a tus ojos a enfocar para reducir la alta fatiga visual</t>
  </si>
  <si>
    <t>Usandivaras Paola</t>
  </si>
  <si>
    <t>Arturi Daniela Sandra</t>
  </si>
  <si>
    <t>Anteojo de Presbicia 
Sin receta +0.50 AO (ambos ojos)
Descuento preferenciales aplicados</t>
  </si>
  <si>
    <t>Ramos Garcia Tomas</t>
  </si>
  <si>
    <t>Lorena Barberiz</t>
  </si>
  <si>
    <t>Promocion 2x1 Samrt Free
1er armazon Biller Sblk / 2do Armazon de usuario 
Segundo par de cristales sin cargo</t>
  </si>
  <si>
    <t>Cardoso Jimena Laura</t>
  </si>
  <si>
    <t>Sampedro Luis</t>
  </si>
  <si>
    <t>Karina Cabrera</t>
  </si>
  <si>
    <t>Promo 2x1 Smart Free 2do par DIFERENCIA</t>
  </si>
  <si>
    <t>Oviedo Luciano Matias</t>
  </si>
  <si>
    <t>Del Rio Federica</t>
  </si>
  <si>
    <t>Nieto Jorge Daniel</t>
  </si>
  <si>
    <t>Promocion 2x1 Smart Free Multifocales
1er Par organico con antirreflejo y filtro azul 
2do Par Organico Sol amarillo drive</t>
  </si>
  <si>
    <t>Otaviano Pablo</t>
  </si>
  <si>
    <t>Descuentos preferenciales OSPE</t>
  </si>
  <si>
    <t>Del Papa Ines Betina</t>
  </si>
  <si>
    <t>OD 110 + 0.25 +0.75
OI 100 +0.25 +0.75</t>
  </si>
  <si>
    <t>Veronica  Sola</t>
  </si>
  <si>
    <t>Quiroga Sonia</t>
  </si>
  <si>
    <t>Ish Tienda nube</t>
  </si>
  <si>
    <t>Franco Matias Lopez</t>
  </si>
  <si>
    <t>Maria Emilia Goycoolla</t>
  </si>
  <si>
    <t>Descuento OBRA SOCIAL</t>
  </si>
  <si>
    <t>Raul Leonardo</t>
  </si>
  <si>
    <t>Promocion 2x1 Smart Free 
Segundo par sin cargo</t>
  </si>
  <si>
    <t>Liliana Valsesia</t>
  </si>
  <si>
    <t>Promocion 2x1 Smart Free 
GAMA ALTA C/TALLADO DIGITAL
2DO SOL ROSA INTENSIDAD 3 CON DEGRADEE
2DO ARMAZON BONIFICADO
DESCUENTO EN ARMAZÓN AUTORIZADO</t>
  </si>
  <si>
    <t>Cardoni Celene Natalia</t>
  </si>
  <si>
    <t>Walter Antunia</t>
  </si>
  <si>
    <t>Gonzalo Rodriguez</t>
  </si>
  <si>
    <t>Maria Eugenia</t>
  </si>
  <si>
    <t>Ledo Bernardo</t>
  </si>
  <si>
    <t>Dalit Belochercovcky</t>
  </si>
  <si>
    <t>Sol Visotzky</t>
  </si>
  <si>
    <t>Eduardo Dacol</t>
  </si>
  <si>
    <t>Farias Gaston</t>
  </si>
  <si>
    <t>Pago en 12 ctas</t>
  </si>
  <si>
    <t>Faustino Paz Milet</t>
  </si>
  <si>
    <t>Promocion 2x1 
Anteojos de alto indice</t>
  </si>
  <si>
    <t>Josefina Paz Milet</t>
  </si>
  <si>
    <t>Promocion 2x1 
Anteojo de alto indice</t>
  </si>
  <si>
    <t>Lorena Milet Paz</t>
  </si>
  <si>
    <t>ANTEOJO DE ALTO INDICE</t>
  </si>
  <si>
    <t>Paz Gabriel</t>
  </si>
  <si>
    <t>Anteojo de alto indice</t>
  </si>
  <si>
    <t>2do par promocion 2x1 sin cargo</t>
  </si>
  <si>
    <t>Ribotta Bruno Sebastian</t>
  </si>
  <si>
    <t>Promocion 2x1 VARILUX</t>
  </si>
  <si>
    <t>2DO PAR promo 2x1 Varilux</t>
  </si>
  <si>
    <t>Guzman Luciano</t>
  </si>
  <si>
    <t>2DO PAR pROMO 2X1 SIN COSTO</t>
  </si>
  <si>
    <t>Codazzi Mateo</t>
  </si>
  <si>
    <t>Elias Makhlouta</t>
  </si>
  <si>
    <t>Revisar OD EJE</t>
  </si>
  <si>
    <t>Zardini Azrael</t>
  </si>
  <si>
    <t>Sin graduación! Neutros para usar en la compu.  Precio en efectivo con el dscto ya aplicado en ese precio</t>
  </si>
  <si>
    <t>Mercado Pablo Ernesto</t>
  </si>
  <si>
    <t>Herrara Luisiana</t>
  </si>
  <si>
    <t>Candelaria Maunierr</t>
  </si>
  <si>
    <t>Descuento ESPECIAL AUTORIZADO</t>
  </si>
  <si>
    <t>Media +0.25 OD +1.00 OI
Cercana +0.75 OD +1.50 OI</t>
  </si>
  <si>
    <t>Maximiliano Ghigo</t>
  </si>
  <si>
    <t>Adaptacion en 180° AO</t>
  </si>
  <si>
    <t>Ramirez Melania Yanet</t>
  </si>
  <si>
    <t>Pereyra Maru (ref Yani estancia vieja)</t>
  </si>
  <si>
    <t>Descuento especial por pago en Efectivo .-. referida</t>
  </si>
  <si>
    <t>Yani pissano</t>
  </si>
  <si>
    <t>SON PARA Yani, ambos en -1.25 de graduacion l de tendencia lo hago de sol con teñido sepia</t>
  </si>
  <si>
    <t>Maximiliano Ruiz</t>
  </si>
  <si>
    <t>Miranda Agustina</t>
  </si>
  <si>
    <t>Dalit Sidi</t>
  </si>
  <si>
    <t>Martin Antonela</t>
  </si>
  <si>
    <t>Garro Ariana Florencia</t>
  </si>
  <si>
    <t>Martin Depietri</t>
  </si>
  <si>
    <t>Marta Aliendo</t>
  </si>
  <si>
    <t>Londero Lia</t>
  </si>
  <si>
    <t>Salgado Gael Ignacio</t>
  </si>
  <si>
    <t>Dini Valentina</t>
  </si>
  <si>
    <t>OD -4.75 +2.25X90
OI -5.50 +2.25 X93</t>
  </si>
  <si>
    <t>Capello Luis Marcelo</t>
  </si>
  <si>
    <t>Copia de graduacion anterior</t>
  </si>
  <si>
    <t>Beatriz Marisa Diaz</t>
  </si>
  <si>
    <t>SoftLens Multifocales +3.25 L +2.00 C AO
Descuento especial aplicado</t>
  </si>
  <si>
    <t>Fantino Julia</t>
  </si>
  <si>
    <t>Marina Natalia Dacol</t>
  </si>
  <si>
    <t>Juan Manuel Payalaf</t>
  </si>
  <si>
    <t>Cristales organicos UV400 POLARIZADO</t>
  </si>
  <si>
    <t>Salas Maria Evangelina</t>
  </si>
  <si>
    <t>Perez Lucas Eduardo</t>
  </si>
  <si>
    <t>Coria Sonia</t>
  </si>
  <si>
    <t>Capdevila Candelaria</t>
  </si>
  <si>
    <t>TOTAL FINAL CON DESCUENTO $146.000</t>
  </si>
  <si>
    <t>Segundo Gonzalez</t>
  </si>
  <si>
    <t>Promocion 2x1 1er PAR</t>
  </si>
  <si>
    <t>PROMOCION 2X1 2DO PAR</t>
  </si>
  <si>
    <t>Sacco Osvaldo</t>
  </si>
  <si>
    <t>Promocion 2x1 Comfort Max 1er PAR</t>
  </si>
  <si>
    <t>Guana Natalia</t>
  </si>
  <si>
    <t>Lentes de PRUEBA</t>
  </si>
  <si>
    <t>LENTES DE PRUEBA</t>
  </si>
  <si>
    <t>Marcela Andrea de Los Rios</t>
  </si>
  <si>
    <t>Lanzaco Candelaria</t>
  </si>
  <si>
    <t>Paredes Celeste</t>
  </si>
  <si>
    <t>Paredes Celeste OD +0.25X0 OI-0.50X5
Paredes Rocio OD -0.25X5 OI -0.25X180</t>
  </si>
  <si>
    <t>Arevalo Melisa</t>
  </si>
  <si>
    <t>DESCUENTOS POR OB SANCOR</t>
  </si>
  <si>
    <t>Ibañez Clarisa</t>
  </si>
  <si>
    <t>Benjamin Depouilly</t>
  </si>
  <si>
    <t>PROMOCION 2X1 COMFORT MAX 
DESCUENTO ESPECIAL AUTORIZADO 
1ER ARMAZON DE OPTICA 2DO ARMAZON USUARIO</t>
  </si>
  <si>
    <t>Aiassa Octavio</t>
  </si>
  <si>
    <t>Fuentes Bautisa</t>
  </si>
  <si>
    <t>Elsa Cristina Esteban</t>
  </si>
  <si>
    <t>Carrera Santiago</t>
  </si>
  <si>
    <t>Hilal Yamila</t>
  </si>
  <si>
    <t>Promo 2x1 ATELIER TENDENCIA
1ER Anteojo con AR Y BLUE CUT
2DO Anteojo de sol con graduacion intensidad 2</t>
  </si>
  <si>
    <t>Godoy Analia Del Valle</t>
  </si>
  <si>
    <t>Maria Sol Crespo</t>
  </si>
  <si>
    <t>5 -3.00 + 0.50
160 -3.75 +1.50</t>
  </si>
  <si>
    <t>Espinoza Jonathan</t>
  </si>
  <si>
    <t>Barbara Cabanillas</t>
  </si>
  <si>
    <t>Montañes Dolores</t>
  </si>
  <si>
    <t>Gutierrez Flavia</t>
  </si>
  <si>
    <t>Sofia Garabano</t>
  </si>
  <si>
    <t>Estela Del Carmen Villanueva</t>
  </si>
  <si>
    <t>Ghi Lia Delfina</t>
  </si>
  <si>
    <t>Peralta Romina</t>
  </si>
  <si>
    <t>Dominguez Valentina</t>
  </si>
  <si>
    <t>Bernardi Maria Ines</t>
  </si>
  <si>
    <t>od +2.50 +2.00 0°
oi +3.00 +1.50 160°
add ao 3.00</t>
  </si>
  <si>
    <t>Luppi Osvaldo</t>
  </si>
  <si>
    <t>od +1.25 +1.00 25
oi +2.00 +0.50 170</t>
  </si>
  <si>
    <t>Juarez Carla Marcela</t>
  </si>
  <si>
    <t>Descuento especial autorizado por presupuesto</t>
  </si>
  <si>
    <t>Mirta Gurevich</t>
  </si>
  <si>
    <t>od -3.00 +1.50 x90
oi -2.50 +1.00 x90
cerca +1.50x90od
+0.50 +1.00x90</t>
  </si>
  <si>
    <t>Silva Sara Abigail</t>
  </si>
  <si>
    <t>Milagros Ceffino</t>
  </si>
  <si>
    <t>Olga Rios Lopez</t>
  </si>
  <si>
    <t>EN ESPERA DE REFRACCION</t>
  </si>
  <si>
    <t>Paola Bettiana Caceres Rovera</t>
  </si>
  <si>
    <t>Ezequiel Vivas</t>
  </si>
  <si>
    <t>Contreras Valeria</t>
  </si>
  <si>
    <t>Osvaldo Andres Ferreira</t>
  </si>
  <si>
    <t>-6.00 +4.00x90 OD
-4.50 +4.00X90 OI</t>
  </si>
  <si>
    <t>Federico Nicolas Lapeyrin</t>
  </si>
  <si>
    <t>Sebastian Ignacio Larrauli</t>
  </si>
  <si>
    <t>add +2.00</t>
  </si>
  <si>
    <t>Benitez Lilian Gabriela</t>
  </si>
  <si>
    <t>Agustina Tolay</t>
  </si>
  <si>
    <t>De La Colina Franco</t>
  </si>
  <si>
    <t>Pago por trasnferencia
DESCUENTO ESPECIAL CLIENTE</t>
  </si>
  <si>
    <t>Segura Leila Martina</t>
  </si>
  <si>
    <t>Moreyra Vicotria Juliana</t>
  </si>
  <si>
    <t>Casas Daniel</t>
  </si>
  <si>
    <t>PAGO POR GO CUOTAS</t>
  </si>
  <si>
    <t>Panero Fernando</t>
  </si>
  <si>
    <t>Fernando Rivarola</t>
  </si>
  <si>
    <t>Descuentos OB</t>
  </si>
  <si>
    <t>Silvia Schunke</t>
  </si>
  <si>
    <t>Descuento OB</t>
  </si>
  <si>
    <t>Cruqueira Luciana</t>
  </si>
  <si>
    <t>Altamira Griselda</t>
  </si>
  <si>
    <t>Magdalena Heredia</t>
  </si>
  <si>
    <t>Descuento aplicado por transferencia</t>
  </si>
  <si>
    <t>Pagliero Alejandro</t>
  </si>
  <si>
    <t>Lucia Agustina Cantarero</t>
  </si>
  <si>
    <t>Gaston Arenas Yañez</t>
  </si>
  <si>
    <t>DESCUENTOS OSDE 210</t>
  </si>
  <si>
    <t>Magris Pablo</t>
  </si>
  <si>
    <t>Pujato Tere</t>
  </si>
  <si>
    <t>Rios Maria Silvia</t>
  </si>
  <si>
    <t>Maria Candelaria Sanchez</t>
  </si>
  <si>
    <t>Marcela Martire</t>
  </si>
  <si>
    <t>Zulma Laperyn</t>
  </si>
  <si>
    <t>Miguel Angel Journade</t>
  </si>
  <si>
    <t>Anteojos de Lejos</t>
  </si>
  <si>
    <t>Elias Navarro</t>
  </si>
  <si>
    <t>Ivan Schroeder</t>
  </si>
  <si>
    <t>Bazano Analia</t>
  </si>
  <si>
    <t>OD +2.25X90
OI +2.00X90
ADD +1.25 +2.25X90
ADD +1.25 +2.00X90</t>
  </si>
  <si>
    <t>Ariel Sulkil</t>
  </si>
  <si>
    <t>Axel Jara</t>
  </si>
  <si>
    <t>OD ESF -5.00 CIL -4.00 X180
OI ESF -6.00 CIL -4.50 X180</t>
  </si>
  <si>
    <t>Mirtha Teves</t>
  </si>
  <si>
    <t>Lopez Guillermo Claudio</t>
  </si>
  <si>
    <t>Promocion KODAK ESILOR MULTIFOCALES</t>
  </si>
  <si>
    <t>Veonica Lomonaco Andrea</t>
  </si>
  <si>
    <t>Gimena Giovini</t>
  </si>
  <si>
    <t>Trettel Liliana Silvana</t>
  </si>
  <si>
    <t>Diego Cojo</t>
  </si>
  <si>
    <t>Nanini Alicia Gabriela</t>
  </si>
  <si>
    <t>Ahumada Antonia (Madre Nanini)</t>
  </si>
  <si>
    <t>Lopez Sandra Patricia</t>
  </si>
  <si>
    <t>Zoe Quiroga</t>
  </si>
  <si>
    <t>Ficha de Zoe y Ema Quiroga
ZOE L // EMA C</t>
  </si>
  <si>
    <t>Jara Sandra</t>
  </si>
  <si>
    <t>FICHA JOSEFINA PAGLIERO ESPOSA ALEJANDRO</t>
  </si>
  <si>
    <t>Veronica Lucero</t>
  </si>
  <si>
    <t>Carolina Laperyn</t>
  </si>
  <si>
    <t>Pablo Laperyn</t>
  </si>
  <si>
    <t>Nardi Teresa</t>
  </si>
  <si>
    <t>Tamara Beltrane</t>
  </si>
  <si>
    <t>Ana Cristina Rodriguez</t>
  </si>
  <si>
    <t>Calvet Beatriz</t>
  </si>
  <si>
    <t>Chacon Eugenio</t>
  </si>
  <si>
    <t>Graciela Ines Chacón</t>
  </si>
  <si>
    <t>Fernandez Eusebio</t>
  </si>
  <si>
    <t>Gattas Silvia</t>
  </si>
  <si>
    <t>PROMOCIÓN 2X1 DOBLE DISFRUTE VARILUX</t>
  </si>
  <si>
    <t>Podio Alejandra Beatriz</t>
  </si>
  <si>
    <t>Fronte Lucas Gaston</t>
  </si>
  <si>
    <t>Guillermo Visiedo</t>
  </si>
  <si>
    <t>PROMOCION 2X1 SMART FREE MULTIFOCALES SMART LENS 1ER PAR</t>
  </si>
  <si>
    <t>PROMOCION 2DO PAR 2X1 SMART LENS</t>
  </si>
  <si>
    <t>Conrado Andreone</t>
  </si>
  <si>
    <t>Descuentos Swiss Medical</t>
  </si>
  <si>
    <t>Ruiz Francisco</t>
  </si>
  <si>
    <t>Maria Celeste Dalmolin</t>
  </si>
  <si>
    <t>Descuentos por TRANSFERENCIA
Envio sin cargo</t>
  </si>
  <si>
    <t>Gabriel Jure</t>
  </si>
  <si>
    <t>Swis Medical 0733462011037</t>
  </si>
  <si>
    <t>Luna Ivanna Elizabeth</t>
  </si>
  <si>
    <t>Julián Facundo Manzanelli</t>
  </si>
  <si>
    <t>Go cuotas</t>
  </si>
  <si>
    <t>Armazon doble puente metal - prototype modelo " ulises " Obra social Sancor 3.000</t>
  </si>
  <si>
    <t>Agustina Iman</t>
  </si>
  <si>
    <t>Maria Cristina Vera</t>
  </si>
  <si>
    <t>Apross - armazon receta rectangular Color lila</t>
  </si>
  <si>
    <t>Natalie Diaz</t>
  </si>
  <si>
    <t>Claudio Borgioli</t>
  </si>
  <si>
    <t>Camara Claudia</t>
  </si>
  <si>
    <t>Maria Soledad Doña (Lucia Pereyra)</t>
  </si>
  <si>
    <t>Ivana Bernardi</t>
  </si>
  <si>
    <t>Raul Magris</t>
  </si>
  <si>
    <t>Anteojo de lejos expresa ver bien con astigmatismo! anteojo hanoover como modelo de graduacion lejos 
Anteojo de cerca expresa ver mejor SIN el astigmatismo</t>
  </si>
  <si>
    <t>Bodart Gaston</t>
  </si>
  <si>
    <t>Gaitan Dalma gisel</t>
  </si>
  <si>
    <t>Camila Jasoska</t>
  </si>
  <si>
    <t>Karina Susana Morales</t>
  </si>
  <si>
    <t>Alberto Rafael de Cesare</t>
  </si>
  <si>
    <t>Carolina Daniela Beccalli</t>
  </si>
  <si>
    <t>Rocio Solange Paoloni</t>
  </si>
  <si>
    <t>od NEUTRO
OI -0.75 +0.50 95</t>
  </si>
  <si>
    <t>Taruselli Maria Victoria</t>
  </si>
  <si>
    <t>Isabel Duarte</t>
  </si>
  <si>
    <t>Pablo Fava</t>
  </si>
  <si>
    <t>Juan Cruz Murugarren</t>
  </si>
  <si>
    <t>Descuentos OSDE 210</t>
  </si>
  <si>
    <t>Pilar Deavila Cuña</t>
  </si>
  <si>
    <t>Ana Paula</t>
  </si>
  <si>
    <t>Burgos Matias</t>
  </si>
  <si>
    <t>Silvina Percello</t>
  </si>
  <si>
    <t>Ignacio Velez Mantelli</t>
  </si>
  <si>
    <t>Bustos Luz Maria</t>
  </si>
  <si>
    <t>2x1 Promo tendencia</t>
  </si>
  <si>
    <t>Ismael Sariago</t>
  </si>
  <si>
    <t>od +0.25 x 80
oi +0.25 x 110</t>
  </si>
  <si>
    <t>Dupuy Martinez Luca</t>
  </si>
  <si>
    <t>Nuevo</t>
  </si>
  <si>
    <t>Catalina Rango</t>
  </si>
  <si>
    <t>Miriam Del Valle Eizabeth Campos</t>
  </si>
  <si>
    <t>Cecilia Bonaparte</t>
  </si>
  <si>
    <t>Batallan Jorge Antonio</t>
  </si>
  <si>
    <t>Walter Daniel Di Cicco</t>
  </si>
  <si>
    <t>Lucero Ismael</t>
  </si>
  <si>
    <t>Lucia Ana Alcazar</t>
  </si>
  <si>
    <t>GRADUACION EN COPIA DE RECETA 
OD +1.50 +1.25 X 0°
PAGO $900 USD A VALOR DE $1430
OI +2.25 +0.50 X 175°
ADD AO +1.75</t>
  </si>
  <si>
    <t>Maria De Lourdes Cabrera Allende</t>
  </si>
  <si>
    <t>Angie Milagros Huamani Natividad</t>
  </si>
  <si>
    <t>Catalina Gonzalez</t>
  </si>
  <si>
    <t>Lilian Gonzalez</t>
  </si>
  <si>
    <t>Reynoso Erica</t>
  </si>
  <si>
    <t>Sosa Aguero Sofia</t>
  </si>
  <si>
    <t>OSDE 210 DESCUENTOS APLICADOS</t>
  </si>
  <si>
    <t>Gattas Pablo</t>
  </si>
  <si>
    <t>Garcia Ariana Rosario</t>
  </si>
  <si>
    <t>Kevin Javier Huamani Nativa</t>
  </si>
  <si>
    <t>Ferreyra Marcos</t>
  </si>
  <si>
    <t>Alejandro Chale Pereira</t>
  </si>
  <si>
    <t>Soriano Miguel Angel</t>
  </si>
  <si>
    <t>Ortellado Lidia</t>
  </si>
  <si>
    <t>Ingrid Soledad Vazquez</t>
  </si>
  <si>
    <t>Vicotria Herrera</t>
  </si>
  <si>
    <t>Soriano Octavio Valentin</t>
  </si>
  <si>
    <t>Lucia Grasso</t>
  </si>
  <si>
    <t>Lourdes Patricia Sanabria</t>
  </si>
  <si>
    <t>Fantini Sofia</t>
  </si>
  <si>
    <t>Valor de tienda nube</t>
  </si>
  <si>
    <t>Ferreyra Paula</t>
  </si>
  <si>
    <t>Monica Del Carmen Achquevich</t>
  </si>
  <si>
    <t>Teresa Nelida Brane</t>
  </si>
  <si>
    <t>Julieta Gonzalez</t>
  </si>
  <si>
    <t>Sonia Sanchez</t>
  </si>
  <si>
    <t>Iara Guadalupe Cuello</t>
  </si>
  <si>
    <t>Guillermina Bono</t>
  </si>
  <si>
    <t>Veronica Andrea Lopez</t>
  </si>
  <si>
    <t>Possetto Maria Laura</t>
  </si>
  <si>
    <t>Juan Di Rienzo</t>
  </si>
  <si>
    <t>Luciano Treachi</t>
  </si>
  <si>
    <t>Melisa Torres</t>
  </si>
  <si>
    <t>Raul Amarayo</t>
  </si>
  <si>
    <t>Juana Benitez</t>
  </si>
  <si>
    <t>Manuel Sosa</t>
  </si>
  <si>
    <t>Lucia Garcia</t>
  </si>
  <si>
    <t>Acebedo Adamo Leon</t>
  </si>
  <si>
    <t>Martina Svetlitza</t>
  </si>
  <si>
    <t>Oviedo Silvana</t>
  </si>
  <si>
    <t>Ricardo Jorge Vilchez</t>
  </si>
  <si>
    <t>Sanchez Jeremia Agustin</t>
  </si>
  <si>
    <t>Sanchez Malena Agostina</t>
  </si>
  <si>
    <t>Lara Fernandez</t>
  </si>
  <si>
    <t>Liwaski Monica del Valle</t>
  </si>
  <si>
    <t>Tironi Gustavo Alejandro</t>
  </si>
  <si>
    <t>Seña de $20.000 para congelar promocion</t>
  </si>
  <si>
    <t>Andreoli Daniel</t>
  </si>
  <si>
    <t>Celia Patricia Saravia</t>
  </si>
  <si>
    <t>Seña $20.000 para congelar promocion</t>
  </si>
  <si>
    <t>Dente Maria Alejandra</t>
  </si>
  <si>
    <t>Gabriel Silva</t>
  </si>
  <si>
    <t>175 x +0.50 +2.00 OD
5 x +0.50 +1.75 OI</t>
  </si>
  <si>
    <t>Mantelli Sonia Beatriz</t>
  </si>
  <si>
    <t>OD +1.75 + 0.75 X5 
OI -0.50 +2.50 X170
ADD +2.50</t>
  </si>
  <si>
    <t>Candela Vargas</t>
  </si>
  <si>
    <t>Desc. Daspu</t>
  </si>
  <si>
    <t>Sebastian Roque Franzone</t>
  </si>
  <si>
    <t>Paula Ines Rodriguez</t>
  </si>
  <si>
    <t>Azcurra Paz Lucia</t>
  </si>
  <si>
    <t>Piantino Juan Manuel</t>
  </si>
  <si>
    <t>Patricia del Carmen Achquevich</t>
  </si>
  <si>
    <t>Optica Prestadora</t>
  </si>
  <si>
    <t>Lourdes Morena Brion</t>
  </si>
  <si>
    <t>Luciana Peralta</t>
  </si>
  <si>
    <t>Ribone Felipe</t>
  </si>
  <si>
    <t>Franco Genolet</t>
  </si>
  <si>
    <t>Suarez Milena</t>
  </si>
  <si>
    <t>Evangelina Suarez</t>
  </si>
  <si>
    <t>Lucia Picca</t>
  </si>
  <si>
    <t>Ludmila Guirado</t>
  </si>
  <si>
    <t>Londero Gladys Ester</t>
  </si>
  <si>
    <t>Pagliari Graciela Del Valle</t>
  </si>
  <si>
    <t>Cristina Elizabeth Carrizo</t>
  </si>
  <si>
    <t>Ferndanez Ignacio</t>
  </si>
  <si>
    <t>Saini Mariano Jose</t>
  </si>
  <si>
    <t>2 pares de cristales</t>
  </si>
  <si>
    <t>Ines Maria Becerra</t>
  </si>
  <si>
    <t>Filtro médico 527 nm
Amba suave
AR ULTRA ELEMENT
ORG 1.49 CON TRATAMIENTO</t>
  </si>
  <si>
    <t>PorfirioCecilia</t>
  </si>
  <si>
    <t>Marcucci Natalia Guadalupe</t>
  </si>
  <si>
    <t>OD -1.25 +0.50X180
OI -1.75</t>
  </si>
  <si>
    <t>Manuela Andreone Garcia</t>
  </si>
  <si>
    <t>Florencia Garcia</t>
  </si>
  <si>
    <t>Gaston Lipcen</t>
  </si>
  <si>
    <t>Rubio Maria Josefina</t>
  </si>
  <si>
    <t>Carlos Cordero</t>
  </si>
  <si>
    <t>Katherina Wesphe Lucrecia</t>
  </si>
  <si>
    <t>3 pares de cristales</t>
  </si>
  <si>
    <t>Ivo Rodriguez</t>
  </si>
  <si>
    <t>Lucas Chiaretta</t>
  </si>
  <si>
    <t>Vision neutra corredor superior de lejos
Visio +1.50 corredor inferior de cerca</t>
  </si>
  <si>
    <t>Buffet Jonathan</t>
  </si>
  <si>
    <t>Carlos Matias Espeche</t>
  </si>
  <si>
    <t>Gabriela Testoni</t>
  </si>
  <si>
    <t>Saboredo Ivan Daniel</t>
  </si>
  <si>
    <t>Teleña Andrea Evelina</t>
  </si>
  <si>
    <t>Maria Lujan Copparoni</t>
  </si>
  <si>
    <t>Jose Luis Antonio Veller</t>
  </si>
  <si>
    <t>Felipa Angelica Gagliano</t>
  </si>
  <si>
    <t>Genaro Ibañez</t>
  </si>
  <si>
    <t>MYOPILUX ESSILOR</t>
  </si>
  <si>
    <t>Matias Nicolas Gomez</t>
  </si>
  <si>
    <t>Nicolas Torres</t>
  </si>
  <si>
    <t>RX FISICA:
OD -2.25 +3.50 X125
OI -1.00 +2.00 X100
SWISS MEDICAL</t>
  </si>
  <si>
    <t>Rivero Susana</t>
  </si>
  <si>
    <t>Mariano Ferrer</t>
  </si>
  <si>
    <t>Raul Batallan</t>
  </si>
  <si>
    <t>3 pares de crisatles</t>
  </si>
  <si>
    <t>Maria Del Rosario Murua</t>
  </si>
  <si>
    <t>Adriana Ramos</t>
  </si>
  <si>
    <t>Descuento CLIENTE VARILUX 
Descuento exlusivo trasnferencia / efectivo 
PROMO VARILUX 3.0 DOBLE DISFRUTE 2X1</t>
  </si>
  <si>
    <t>Sixto Hector Cejas</t>
  </si>
  <si>
    <t>DIFERENCIA MEJORA DE CRISTAL</t>
  </si>
  <si>
    <t>Garcia Leonardo</t>
  </si>
  <si>
    <t>Maria Agustina Pereyra</t>
  </si>
  <si>
    <t>Gonzalo Martin Yofre</t>
  </si>
  <si>
    <t>Noah Dylan Gentili</t>
  </si>
  <si>
    <t>Vilma Lali Degiovanni</t>
  </si>
  <si>
    <t>Descuentos cliente varilux</t>
  </si>
  <si>
    <t>Tomas De Grave</t>
  </si>
  <si>
    <t>Rocio Micaela Astorga</t>
  </si>
  <si>
    <t>Diego Otero</t>
  </si>
  <si>
    <t>Zabalaga Roberto</t>
  </si>
  <si>
    <t>Carana Debora</t>
  </si>
  <si>
    <t>Fernando (Essereme)</t>
  </si>
  <si>
    <t>Micaela Maidana</t>
  </si>
  <si>
    <t>Anteojo MIU MIU regalo - autorizado Ishtar
Cristales de color abonados por Gift card
Saldo anteojo Reff $222.000 6 ctas sin interes</t>
  </si>
  <si>
    <t>Camila Maria Mansilla</t>
  </si>
  <si>
    <t>Cristales TRANSITIONS FOTOCROMATICOS AMBAR</t>
  </si>
  <si>
    <t>Fernanda Montenegro</t>
  </si>
  <si>
    <t>Paula Camilletti</t>
  </si>
  <si>
    <t>Brisa Caceres</t>
  </si>
  <si>
    <t>Norberto Garone</t>
  </si>
  <si>
    <t>Presupuesto autorizado</t>
  </si>
  <si>
    <t>Ramon Eduardo</t>
  </si>
  <si>
    <t>Martina Florencia Molina</t>
  </si>
  <si>
    <t>Cepeda Ana Virginia</t>
  </si>
  <si>
    <t>Luciana Fabreti</t>
  </si>
  <si>
    <t>Sonia Guzman</t>
  </si>
  <si>
    <t>Andrea Pasqualino</t>
  </si>
  <si>
    <t>Conrado Rapallini</t>
  </si>
  <si>
    <t>Julieta Maunier</t>
  </si>
  <si>
    <t>Adriana Marquez</t>
  </si>
  <si>
    <t>Johana Aguirre</t>
  </si>
  <si>
    <t>Yunis Fabiola</t>
  </si>
  <si>
    <t>OD +2.50 +0.50X165
OI +2.50
ADD +2.75 AO</t>
  </si>
  <si>
    <t>Maria ines zelaya</t>
  </si>
  <si>
    <t>Transferencia ish - cuenta ish</t>
  </si>
  <si>
    <t>Zamora Natalia Ines</t>
  </si>
  <si>
    <t>Caro Conti</t>
  </si>
  <si>
    <t>Dermendyeff Jemima</t>
  </si>
  <si>
    <t>Franco Heredia</t>
  </si>
  <si>
    <t>Maria Gabriela Guil</t>
  </si>
  <si>
    <t>Daiana Karen Ledo</t>
  </si>
  <si>
    <t>Maria Jose Ordoñez</t>
  </si>
  <si>
    <t>Daniela Caniggia</t>
  </si>
  <si>
    <t>Magali Ines Tosi</t>
  </si>
  <si>
    <t>Sebastian Tobias Murua</t>
  </si>
  <si>
    <t>Adrian Di Pacuantonio</t>
  </si>
  <si>
    <t>Sergio Viglietti</t>
  </si>
  <si>
    <t>Fernandez Esteban</t>
  </si>
  <si>
    <t>Escalante Hector</t>
  </si>
  <si>
    <t>PROMOCION 2X1 VARILUX DOBLE DSIFRUTE
ARMAZON BONIFICADO
OD+2.50 +0.50 X10
OI +3.00 +1.00 X170
ADD +2.00
DESCUENTO USUARIO VARILUX
ARANCELES APROSS APLICADOS</t>
  </si>
  <si>
    <t>Micaela Belen Buljubasic</t>
  </si>
  <si>
    <t>Galan Mirta</t>
  </si>
  <si>
    <t>Jorge Garofalo</t>
  </si>
  <si>
    <t>copia de graduacion</t>
  </si>
  <si>
    <t>Tamara Mazzarini</t>
  </si>
  <si>
    <t>Sabrina Bonada</t>
  </si>
  <si>
    <t>Constanza Martinez Paz</t>
  </si>
  <si>
    <t>Saldo $0</t>
  </si>
  <si>
    <t>Piatti Javier</t>
  </si>
  <si>
    <t>Juan Antonio Cavanna</t>
  </si>
  <si>
    <t>Promo armazon atelier (armazon doble puente metalico - promo nuevo atelier lectura ( armazon negro media montura )</t>
  </si>
  <si>
    <t>Grimaut Marta Aida</t>
  </si>
  <si>
    <t>ARANCELES DE APROSS APLICADOS</t>
  </si>
  <si>
    <t>FRESHLOOK CAJA DE -4.25 VERDE</t>
  </si>
  <si>
    <t>Marcela Alejandra Martinez</t>
  </si>
  <si>
    <t>Virginia Volonte</t>
  </si>
  <si>
    <t>Maria Victoria Vega</t>
  </si>
  <si>
    <t>Pizarro Ana Maria</t>
  </si>
  <si>
    <t>Miriam Carrizo</t>
  </si>
  <si>
    <t>Silvina Halac</t>
  </si>
  <si>
    <t>Natali Pablo Maximiliano</t>
  </si>
  <si>
    <t>Franco Catalina</t>
  </si>
  <si>
    <t>Ivana Marcela Castelli</t>
  </si>
  <si>
    <t>Descuentos Prevencion Salud ap
Aplicar descuentos en efectivo/transferencia segun como se cancele el saldo</t>
  </si>
  <si>
    <t>Raul koko</t>
  </si>
  <si>
    <t>Silvia Butta</t>
  </si>
  <si>
    <t>Rius Maria Belen</t>
  </si>
  <si>
    <t>Cabrera Ariel Marcelo</t>
  </si>
  <si>
    <t>Davila Paula</t>
  </si>
  <si>
    <t>pago naranja z codigo 11 - anteojo bordo kazwini</t>
  </si>
  <si>
    <t>Gabina Casanova</t>
  </si>
  <si>
    <t>Menem Silvia</t>
  </si>
  <si>
    <t>armazones usuario 2x1 opto</t>
  </si>
  <si>
    <t>Sofia Maricel Gardulich</t>
  </si>
  <si>
    <t>Griselda Gil</t>
  </si>
  <si>
    <t>Pia Giupponi</t>
  </si>
  <si>
    <t>Clara Ravasi</t>
  </si>
  <si>
    <t>Tiago Macchi</t>
  </si>
  <si>
    <t>Marcela Sampo</t>
  </si>
  <si>
    <t>Pablo Bonada</t>
  </si>
  <si>
    <t>Mara Valeria Lujan</t>
  </si>
  <si>
    <t>Sanchez Benjamin</t>
  </si>
  <si>
    <t>Emanuel Brunello</t>
  </si>
  <si>
    <t>Silvia Asseff</t>
  </si>
  <si>
    <t>Mercado Marta Elena  -</t>
  </si>
  <si>
    <t>PAse de cristales del cliente - multifocales</t>
  </si>
  <si>
    <t>Marcela Farre</t>
  </si>
  <si>
    <t>Descuentos preferenciales
Descuentos OBRA SOCIAL APLICADOS</t>
  </si>
  <si>
    <t>Ruiz Morales Jesica</t>
  </si>
  <si>
    <t>Marques Pilar</t>
  </si>
  <si>
    <t>Exequiel Diaz Nani</t>
  </si>
  <si>
    <t>OD -0.75 -1.50 X 160
OI -0.50 -0.75 X 5
CERCA
OD +1.25
OI +1.25</t>
  </si>
  <si>
    <t>Ines Carbo</t>
  </si>
  <si>
    <t>Brenda Salinas</t>
  </si>
  <si>
    <t>Elena Antequera</t>
  </si>
  <si>
    <t>Maximiliano Vazquez</t>
  </si>
  <si>
    <t>Guzman Guadalupe</t>
  </si>
  <si>
    <t>nataly soledad guzman</t>
  </si>
  <si>
    <t>cerrado por ishtar . solicitado en laboratorio grupo optico Numero de operacion 80464105</t>
  </si>
  <si>
    <t>Lorena Ruarte</t>
  </si>
  <si>
    <t>Natalia Caby</t>
  </si>
  <si>
    <t>OD +0.50 X 60
OI +0.75
CERCA
OD +1.50 +0.50 X60
OI +2.25</t>
  </si>
  <si>
    <t>LEJOS 
OD +0.50 X60
OI +0.75
CERCA
OD +1.50 +0.50 X60
OI +2.25</t>
  </si>
  <si>
    <t>Julieta Parodi</t>
  </si>
  <si>
    <t>Romero Sebastian</t>
  </si>
  <si>
    <t>Mabel Cordeiro</t>
  </si>
  <si>
    <t>Sandra Cabrera</t>
  </si>
  <si>
    <t>Maria Sol Graziani</t>
  </si>
  <si>
    <t>Constanza Peñaloza</t>
  </si>
  <si>
    <t>Moyano Larisa</t>
  </si>
  <si>
    <t>OSPE 
- 6 CTAS SIN INTERES
- EFECTIVO 20% OFF
- TRANSFERENCIA 15%</t>
  </si>
  <si>
    <t>Marisel Malnis</t>
  </si>
  <si>
    <t>Leonel Dietrich</t>
  </si>
  <si>
    <t>SEÑA POR ANTEOJO DE SOL $50.000
DEFINIR MODELO A REALZIAR</t>
  </si>
  <si>
    <t>Peralta Mailen Anahí (ani, venta ish)</t>
  </si>
  <si>
    <t>Usual color lila - foto enviada</t>
  </si>
  <si>
    <t>pago transferencia - poli blanco - armazon lila usual</t>
  </si>
  <si>
    <t>Menem Sasha</t>
  </si>
  <si>
    <t>Maldonado Hugo</t>
  </si>
  <si>
    <t>PROMOCION MULTIFOCALES 2X1 PRECIO DESCUENTO ESPECIAL EN EFECTIVO</t>
  </si>
  <si>
    <t>Noelia Guzman</t>
  </si>
  <si>
    <t>Lautaro Tobias MOyano</t>
  </si>
  <si>
    <t>Luciana Conci</t>
  </si>
  <si>
    <t>Lucas Gattesco</t>
  </si>
  <si>
    <t>Bartorila German</t>
  </si>
  <si>
    <t>Carolina Buteler</t>
  </si>
  <si>
    <t>Walter Heredia</t>
  </si>
  <si>
    <t>Stefano Duri</t>
  </si>
  <si>
    <t>Reynoso Azucena</t>
  </si>
  <si>
    <t>Ana clara Blanco</t>
  </si>
  <si>
    <t>se compro por tienda nube se sube lo que se recibe como compra -</t>
  </si>
  <si>
    <t>Sanchez Daniel</t>
  </si>
  <si>
    <t>Alma Josefina Garcia</t>
  </si>
  <si>
    <t>Sardeni Teofilia</t>
  </si>
  <si>
    <t>Zoe Valenzuela</t>
  </si>
  <si>
    <t>Ferreyra Christian Martin</t>
  </si>
  <si>
    <t>Davalos Ema</t>
  </si>
  <si>
    <t>Belen Sironi</t>
  </si>
  <si>
    <t>Paula Heredia</t>
  </si>
  <si>
    <t>Gabriel Alexander Inga</t>
  </si>
  <si>
    <t>Erica Pereyra</t>
  </si>
  <si>
    <t>Ariel Palmero</t>
  </si>
  <si>
    <t>OD NEUTRO CRISTAL 1.56
OD CRISTAL ALTO INDICE 1.60</t>
  </si>
  <si>
    <t>Alan Igarzabal</t>
  </si>
  <si>
    <t>Ezequiel Leandro Alassia</t>
  </si>
  <si>
    <t>Josefina Garzon</t>
  </si>
  <si>
    <t>Isabella Viganotti</t>
  </si>
  <si>
    <t>pago efectivo 
Entrega efectivo : $ 21.000 
Entrega en transferencia : $ 74.000 
Saldo pendiente $ 95.000</t>
  </si>
  <si>
    <t>Dalit Katz</t>
  </si>
  <si>
    <t>pago en 3 presencial -  quiere urgente</t>
  </si>
  <si>
    <t>Agustina moreno - canje</t>
  </si>
  <si>
    <t>Pago por canje</t>
  </si>
  <si>
    <t>Carlos Cuomo</t>
  </si>
  <si>
    <t>Micaela Schroeder</t>
  </si>
  <si>
    <t>Gustavo Lujan</t>
  </si>
  <si>
    <t>Laura Taboada</t>
  </si>
  <si>
    <t>Pablo Bravo</t>
  </si>
  <si>
    <t>Rodrigo Ruiz</t>
  </si>
  <si>
    <t>Maite Villaroel</t>
  </si>
  <si>
    <t>revisar la graduacion del anteojito</t>
  </si>
  <si>
    <t>Anteojo Calvin Klein - Super Blue ASF</t>
  </si>
  <si>
    <t>Victoria Rueda</t>
  </si>
  <si>
    <t>Dominguez Vilma</t>
  </si>
  <si>
    <t>Ivan Marusich</t>
  </si>
  <si>
    <t>Lucia Marusich</t>
  </si>
  <si>
    <t>Estella Marisa Giuliani</t>
  </si>
  <si>
    <t>DESCUENTO POR TRANSFERENCIA 
OD +0.75 +0.75 X180
OI +0.50 +0.50 X180
CERCA 
OD +3.00
OI +2.75</t>
  </si>
  <si>
    <t>Lara Di Rienzo</t>
  </si>
  <si>
    <t>Oscar Hermann</t>
  </si>
  <si>
    <t>Cintia Cabrera</t>
  </si>
  <si>
    <t>Carlos Albornoz</t>
  </si>
  <si>
    <t>Javier Pomodoro</t>
  </si>
  <si>
    <t>Lambrecht Agostina</t>
  </si>
  <si>
    <t>Cristian Ignacio Ejarque</t>
  </si>
  <si>
    <t>Meital Grin</t>
  </si>
  <si>
    <t>GAMA SIN FILTRO AZUL</t>
  </si>
  <si>
    <t>Malena Molina</t>
  </si>
  <si>
    <t>Manuela Bustamante</t>
  </si>
  <si>
    <t>Norma Bagatello</t>
  </si>
  <si>
    <t>ADD +2.00 AO
OD +0.75 X85
OI +0.50 X85</t>
  </si>
  <si>
    <t>Andrea Volpini</t>
  </si>
  <si>
    <t>Toro Patricia</t>
  </si>
  <si>
    <t>OD +2.25 +0.25 x160
OI +2.75 +0.25 x180
ADD +1.75 AO</t>
  </si>
  <si>
    <t>Le Vraux Juan Andres</t>
  </si>
  <si>
    <t>Orgánico (1.60) Super Blue Asférico Antirreflejo — $145.433
✔ Más delgado y estético
✔ Diseño asférico: reduce distorsiones laterales y mejora la calidad visual
✔ Filtro Super Blue: máxima protección contra luz azul + mayor confort
✔ Terminación premium y mejor estética final
✔ Mayor confort visual, ideal para uso prolongado de celular, PC y pantallas
✔ Repelnte al agua y al polvo, mas resisitentes a los golpes 
👉 Opción premium: máxima calidad visual, confort y mejor terminación estética
RECETA 
OD+3.00 +0.25 X 100
OI +4.25 +0.50 X 80</t>
  </si>
  <si>
    <t>Rendeli Carolina</t>
  </si>
  <si>
    <t>Mili Todeschi</t>
  </si>
  <si>
    <t>Victor Fernando Renfiges</t>
  </si>
  <si>
    <t>Maria Elena Espinosa</t>
  </si>
  <si>
    <t>od +2.25 +0.50 x90
oi +1.75 +0.75 x95
add +1.50</t>
  </si>
  <si>
    <t>Claudio Leone</t>
  </si>
  <si>
    <t>Alfonsina Listellio</t>
  </si>
  <si>
    <t>Irina Juarez</t>
  </si>
  <si>
    <t>OD +2.50 X99
OI +2.25 X94</t>
  </si>
  <si>
    <t>Constanza Rizzo</t>
  </si>
  <si>
    <t>Maria Belen Lonaremonda</t>
  </si>
  <si>
    <t>: Laura Julieta saez</t>
  </si>
  <si>
    <t>Claudio Busico</t>
  </si>
  <si>
    <t>Candelaria Artifoni</t>
  </si>
  <si>
    <t>Liliana Crocco</t>
  </si>
  <si>
    <t>Romina Rodriguez Moreau</t>
  </si>
  <si>
    <t>Brenda Pulcinelli</t>
  </si>
  <si>
    <t>Valentina Molina</t>
  </si>
  <si>
    <t>OD 20°
OI 5°</t>
  </si>
  <si>
    <t>Arce Fatima Elizabeth</t>
  </si>
  <si>
    <t>DESCUENTO ESPECIAL MULTIFOCAL 2 PROMOS
DESCUENTO ARMAZON 2 PROMOS</t>
  </si>
  <si>
    <t>Karina Elizabeth Morles</t>
  </si>
  <si>
    <t>Paloma Pedetta</t>
  </si>
  <si>
    <t>Hugo Ramallo</t>
  </si>
  <si>
    <t>Silvina Brugnoni</t>
  </si>
  <si>
    <t>Alvarez Paola Soledad</t>
  </si>
  <si>
    <t>Delfina Saligoi Lopez</t>
  </si>
  <si>
    <t>Luciana Jazmin Barengo</t>
  </si>
  <si>
    <t>Nazarena Martinez</t>
  </si>
  <si>
    <t>Nievas Yanina Alejandra</t>
  </si>
  <si>
    <t>ANTEOJO - 1 - "LEJOS" YANINA
ANTEOJO - 2 - "CERCA" SOFIA</t>
  </si>
  <si>
    <t>Pozzi Facundo</t>
  </si>
  <si>
    <t>Alicia Belkis Cristaldo</t>
  </si>
  <si>
    <t>Carolina Villarroel</t>
  </si>
  <si>
    <t>Erika Spehar</t>
  </si>
  <si>
    <t>Angelina Coromina</t>
  </si>
  <si>
    <t>VENTA</t>
  </si>
  <si>
    <t>TIPO</t>
  </si>
  <si>
    <t>OJO</t>
  </si>
  <si>
    <t>nombre_articulo</t>
  </si>
  <si>
    <t>esf</t>
  </si>
  <si>
    <t>cil</t>
  </si>
  <si>
    <t>eje</t>
  </si>
  <si>
    <t>add</t>
  </si>
  <si>
    <t>dnp</t>
  </si>
  <si>
    <t>altura</t>
  </si>
  <si>
    <t>cantidad</t>
  </si>
  <si>
    <t>precio</t>
  </si>
  <si>
    <t>Lejos</t>
  </si>
  <si>
    <t>OD</t>
  </si>
  <si>
    <t>ORGANICO BLANCO STOCK 1,49</t>
  </si>
  <si>
    <t>SIN DATOS</t>
  </si>
  <si>
    <t>OI</t>
  </si>
  <si>
    <t>Crimson MBLK CAT 03 54-16-144</t>
  </si>
  <si>
    <t>ORGANICO BLUE C/AR STOCK 1,56</t>
  </si>
  <si>
    <t>Veille Mblk/s15</t>
  </si>
  <si>
    <t>Usual</t>
  </si>
  <si>
    <t>1.50 ORMA CRIZAL VARILUX COMFORT MAX</t>
  </si>
  <si>
    <t>Sin armazon</t>
  </si>
  <si>
    <t>PROMO 2x1 1.50 ORMA CRIZAL VARILUX COMFORT MAX (2ª par)</t>
  </si>
  <si>
    <t>Han 104 c 6</t>
  </si>
  <si>
    <t>Organico Blue Light Cut FLAP TOP 1.50</t>
  </si>
  <si>
    <t>1.56 ORGÁNICO ESSENTIAL FOTOCRÓMATICO GAMA FREE</t>
  </si>
  <si>
    <t>Coron Mblue 53-18-145</t>
  </si>
  <si>
    <t xml:space="preserve">Gotte m012 56-17-145  </t>
  </si>
  <si>
    <t>1.56 ORGÁNICO ESSENTIAL BLUE LIGHT GAMA FREE</t>
  </si>
  <si>
    <t>Doct c1 blue block lenses</t>
  </si>
  <si>
    <t>Cerca</t>
  </si>
  <si>
    <t>ORGANICO BLANCO C/ AR STOCK 1,56</t>
  </si>
  <si>
    <t>Skay Black</t>
  </si>
  <si>
    <t>Receta Atelier Metalico y pasta</t>
  </si>
  <si>
    <t>Un cambio de clip</t>
  </si>
  <si>
    <t>Magical C172 806 51</t>
  </si>
  <si>
    <t>TÓRICAS ULTRA - Mensual - 6 Un. Baush&amp;Lomb</t>
  </si>
  <si>
    <t xml:space="preserve">You Make Sblk 53-20-145 </t>
  </si>
  <si>
    <t>Environment Friendly Blue Cut</t>
  </si>
  <si>
    <t>Netaglio mblk</t>
  </si>
  <si>
    <t>Organico Super Blue Light 1.60 ESSENTIAL 1.60</t>
  </si>
  <si>
    <t>ORGANICO SUPER BLUE ASF C/AR STOCK 1.60</t>
  </si>
  <si>
    <t xml:space="preserve">Secker lGrey 50-18-135 </t>
  </si>
  <si>
    <t>San Juan SN col. 4</t>
  </si>
  <si>
    <t>Blica sand 0292 48-20-135</t>
  </si>
  <si>
    <t>Organico Blanco Alto Indice 1,60 ESSENTIAL CNC</t>
  </si>
  <si>
    <t>PROMO 2x1 - 1.56 ORGÁNICO ESSENTIAL BLUE LIGHT GAMA FREE</t>
  </si>
  <si>
    <t>Sin cristal</t>
  </si>
  <si>
    <t>Gotte m023 56-17-145  Blue Light cute</t>
  </si>
  <si>
    <t>Patien mblk 19-21-145</t>
  </si>
  <si>
    <t>RX UltraLigth col 17</t>
  </si>
  <si>
    <t>Katleen Msienna/Hgg1</t>
  </si>
  <si>
    <t>Le mans 255 145-57-18</t>
  </si>
  <si>
    <t>Roway SBLK Blue/Grey</t>
  </si>
  <si>
    <t>Day Light L.brown/Drlb14</t>
  </si>
  <si>
    <t>Strugg c04</t>
  </si>
  <si>
    <t>SOLDADURAS + repuesto TRATAMIENTO</t>
  </si>
  <si>
    <t>ant henry xl c8 optics</t>
  </si>
  <si>
    <t>ant fans cry-056 optics</t>
  </si>
  <si>
    <t>Clem Ay194 52-19-140</t>
  </si>
  <si>
    <t>MW2013 53-18-140</t>
  </si>
  <si>
    <t>Calibrado monofocales</t>
  </si>
  <si>
    <t>ab M 3896 c003</t>
  </si>
  <si>
    <t>1.49 ORGÁNICO ESSENTIAL BCO GAMA FREE</t>
  </si>
  <si>
    <t>ant strewn mblk/dem rose optics</t>
  </si>
  <si>
    <t>ant 2 shots mblk optics</t>
  </si>
  <si>
    <t>kids 1301 C4 Patillas flex - celeste</t>
  </si>
  <si>
    <t>Le Groupie 388/CH74</t>
  </si>
  <si>
    <t xml:space="preserve">kr1388-4 </t>
  </si>
  <si>
    <t>1.50 ORMA CRIZAL VARILUX X-DESING</t>
  </si>
  <si>
    <t>POLICARBONATO C/AR STOCK</t>
  </si>
  <si>
    <t>4550 c02</t>
  </si>
  <si>
    <t>Feci 388-056</t>
  </si>
  <si>
    <t xml:space="preserve">Palermo 03 </t>
  </si>
  <si>
    <t>Dearly Brown/GB10</t>
  </si>
  <si>
    <t>1.60 ORGÁNICO ESSENTIAL SUPER BLUE LIGHT GAMA FREE</t>
  </si>
  <si>
    <t>PROMO 2x1 - 1.67 STYLIS BLUE LIGHT GAMA FREE - GRUPO OPTICO</t>
  </si>
  <si>
    <t>Mod BC 5006 C3</t>
  </si>
  <si>
    <t>Bonao 01</t>
  </si>
  <si>
    <t>Gotte mblk 56-17-145  Blue Light cute</t>
  </si>
  <si>
    <t>Dlaze cry b.cut</t>
  </si>
  <si>
    <t xml:space="preserve">Opposit MBLK-020/grey Orange </t>
  </si>
  <si>
    <t xml:space="preserve">Pro24  L.Blue Blue  53-19-145 Sin nombre </t>
  </si>
  <si>
    <t>Rew MBLK/s15 Antifog</t>
  </si>
  <si>
    <t xml:space="preserve">7337 c001 </t>
  </si>
  <si>
    <t>TEÑIDO COMPACTO TRATAMIENTO</t>
  </si>
  <si>
    <t>ant janis cry optics</t>
  </si>
  <si>
    <t>Organico Blue Light 1.56 ESSENTIAL 1.56</t>
  </si>
  <si>
    <t>ant xult 215-c1</t>
  </si>
  <si>
    <t xml:space="preserve">Ghent mblk blk </t>
  </si>
  <si>
    <t>ORGANICO FOTOCROMATICO C/ AR GRIS</t>
  </si>
  <si>
    <t>Hooke</t>
  </si>
  <si>
    <t>EyeZen Boots Airwear 1.59</t>
  </si>
  <si>
    <t>ant cry c1 optics</t>
  </si>
  <si>
    <t>Biller sblk 206</t>
  </si>
  <si>
    <t>Osaka 000 140-53-18</t>
  </si>
  <si>
    <t>osaka 140-53-18</t>
  </si>
  <si>
    <t>Milano 000 145-57-23</t>
  </si>
  <si>
    <t>Milano 001 145-57-23</t>
  </si>
  <si>
    <t>1.56 ORGÁNICO ESSENTIAL BLUE LIGHT GAMA ONE</t>
  </si>
  <si>
    <t>Magical 4 c1073 709 50</t>
  </si>
  <si>
    <t>PROMO 2x1 - 1.49 ORGÁNICO ESSENTIAL BCO GAMA FREE -</t>
  </si>
  <si>
    <t xml:space="preserve">Brasse C2P </t>
  </si>
  <si>
    <t>Across ssmok-lgun</t>
  </si>
  <si>
    <t>Metal Gold  2003</t>
  </si>
  <si>
    <t>Arvin Mblk s10 polarizado</t>
  </si>
  <si>
    <t xml:space="preserve">Reporter Mblue/G.Green </t>
  </si>
  <si>
    <t>ant peigs mblk-mblue optics</t>
  </si>
  <si>
    <t>3049 (montaña/ciclismo)</t>
  </si>
  <si>
    <t>Pilsen c2</t>
  </si>
  <si>
    <t>Up 9616</t>
  </si>
  <si>
    <t>H2409 COL 612</t>
  </si>
  <si>
    <t>Roum L.blue-SBLK/118</t>
  </si>
  <si>
    <t xml:space="preserve">kauze c1 56-18-148 Blue Light cute </t>
  </si>
  <si>
    <t>mod 2049</t>
  </si>
  <si>
    <t>Tendencia atelier nuevo</t>
  </si>
  <si>
    <t>Organico Blanco ESSENTIAL BLUE 1.56 - Lentilla invisible</t>
  </si>
  <si>
    <t>Atelier nuevo masculino</t>
  </si>
  <si>
    <t>Orma Transitions XTRACTIVE ESSILOR</t>
  </si>
  <si>
    <t>Runner c3</t>
  </si>
  <si>
    <t>Atelier nuevo clipones</t>
  </si>
  <si>
    <t>ant vize 315-046 optics</t>
  </si>
  <si>
    <t>ORMA BLUE UV CRIZAL ROCK</t>
  </si>
  <si>
    <t>Dreamy 6 c1033 01 57</t>
  </si>
  <si>
    <t>Organico Blanco FLAP TOP 1.50</t>
  </si>
  <si>
    <t>ULTRA - Mensual - 6 Un. Baush&amp;Lomb</t>
  </si>
  <si>
    <t>ANN rx AY686</t>
  </si>
  <si>
    <t>Vulled c2 47-21-145</t>
  </si>
  <si>
    <t>Up 9674</t>
  </si>
  <si>
    <t>Stole D.brown/ GG47</t>
  </si>
  <si>
    <t>ANN AY 193 52-18-140</t>
  </si>
  <si>
    <t xml:space="preserve">Roma - Naranja Cristal </t>
  </si>
  <si>
    <t>TÓRICAS SOFLENS 66 - Mensual - 6 Un. Baush&amp;Lomb</t>
  </si>
  <si>
    <t>Rudo Cristal verde</t>
  </si>
  <si>
    <t>Atelier nuevo mujer</t>
  </si>
  <si>
    <t>Vechta</t>
  </si>
  <si>
    <t>Ellips cry b.cut / sin nombre</t>
  </si>
  <si>
    <t>Nigga Mblk/s10 Pol</t>
  </si>
  <si>
    <t>Corrientes 61-16-150</t>
  </si>
  <si>
    <t>Scott C3 54-15-143</t>
  </si>
  <si>
    <t>4527 c04</t>
  </si>
  <si>
    <t>ant glow c3 optics</t>
  </si>
  <si>
    <t>Misty Brown/UB18</t>
  </si>
  <si>
    <t xml:space="preserve">Ther M020 49-23-145 Blue Light cute </t>
  </si>
  <si>
    <t>Lena c3</t>
  </si>
  <si>
    <t>Regina  AY719 705 53</t>
  </si>
  <si>
    <t>Mineral 1.523</t>
  </si>
  <si>
    <t>Hills Mblk/hgg1</t>
  </si>
  <si>
    <t xml:space="preserve">Rey 2 Ay201 502 06 51-19-145 </t>
  </si>
  <si>
    <t>Dlaze d brown B. cut</t>
  </si>
  <si>
    <t>J9030 Gold</t>
  </si>
  <si>
    <t>Organico Blue Light 1,67 CNC</t>
  </si>
  <si>
    <t>Toledo Col o1</t>
  </si>
  <si>
    <t>ORANICO FOTO ESPEJADO NEUTRO STOCK 1,56</t>
  </si>
  <si>
    <t xml:space="preserve">Marky ramone 5363 lg/02 </t>
  </si>
  <si>
    <t>Feci cry 046</t>
  </si>
  <si>
    <t>Reporter Mblue/Drt-25 polarizado</t>
  </si>
  <si>
    <t>Blinded 670-SBLK/G.dark Grey</t>
  </si>
  <si>
    <t>Ve Got C1 53-19-145</t>
  </si>
  <si>
    <t>RS866-1 Black</t>
  </si>
  <si>
    <t>Vient matt Gold 48-20-45</t>
  </si>
  <si>
    <t>Aberdeen 07</t>
  </si>
  <si>
    <t>Atelier niño</t>
  </si>
  <si>
    <t>Perth 07 - Cristal</t>
  </si>
  <si>
    <t>TÓRICAS BIOFINITY XR - Mensual - 6 Un. CooperVision</t>
  </si>
  <si>
    <t>UniqueDro ORMA BLUE UV</t>
  </si>
  <si>
    <t>Gales 00</t>
  </si>
  <si>
    <t>Cadaques 09</t>
  </si>
  <si>
    <t>Dulins Sblk/S10 polarizado</t>
  </si>
  <si>
    <t>ant single mblue-gun optics</t>
  </si>
  <si>
    <t xml:space="preserve">Etiquet MBLK Brown/ G.Brown </t>
  </si>
  <si>
    <t>Wes Ay703</t>
  </si>
  <si>
    <t xml:space="preserve">Modern 2 Ay203 54-19-145 </t>
  </si>
  <si>
    <t>ant ready l grey blue optics</t>
  </si>
  <si>
    <t>ant thunver s. yellow blue</t>
  </si>
  <si>
    <t>4448 c05</t>
  </si>
  <si>
    <t>Marki Ramone Mblk/03 Pol</t>
  </si>
  <si>
    <t>ant ready mblk blue optics</t>
  </si>
  <si>
    <t>Metal Creature C2</t>
  </si>
  <si>
    <t>ant zohar medired/ 046 optics</t>
  </si>
  <si>
    <t>Ulises</t>
  </si>
  <si>
    <t>The sil Mbkl/R.Blue Pol</t>
  </si>
  <si>
    <t>Nigga Lg/Brown Pol</t>
  </si>
  <si>
    <t>PROMO 2x1 - 1.56 ORGÁNICO ESSENTIAL FOTOCRÓMATICO GAMA FREE</t>
  </si>
  <si>
    <t>Yenosid L.Rose</t>
  </si>
  <si>
    <t>Ay730</t>
  </si>
  <si>
    <t>M8032</t>
  </si>
  <si>
    <t>SofLens 59 (hilafilcon B) (2*1  120.000 )</t>
  </si>
  <si>
    <t>ab M 3896 c001</t>
  </si>
  <si>
    <t>Saint Tropez 139-56-18</t>
  </si>
  <si>
    <t>TIF3351 C02</t>
  </si>
  <si>
    <t>Manare 07</t>
  </si>
  <si>
    <t>Yosemite 02</t>
  </si>
  <si>
    <t>Essilor Interview Orma DEG 0.80 Y 1.30 CRIZAL PREVENCIA</t>
  </si>
  <si>
    <t>Munitz C3 51-19-145</t>
  </si>
  <si>
    <t>High 4 m6111 dco 54</t>
  </si>
  <si>
    <t>EyeZen Start Orma 1.50</t>
  </si>
  <si>
    <t xml:space="preserve">Ghent sblk blk </t>
  </si>
  <si>
    <t>Vulled C1 47-21-145</t>
  </si>
  <si>
    <t>Jenny 09</t>
  </si>
  <si>
    <t>Herny Ay698</t>
  </si>
  <si>
    <t xml:space="preserve">Paris 138-55-19 </t>
  </si>
  <si>
    <t>Anima Mblk s15</t>
  </si>
  <si>
    <t>Anima sienna/g. Green Emerald</t>
  </si>
  <si>
    <t>MyoFix Organico BCO BLUE L 1.67</t>
  </si>
  <si>
    <t>1.50 ORMA CRIZAL VARILUX PHYSIO (3.0)</t>
  </si>
  <si>
    <t xml:space="preserve">Vedid MBLK/Revo Blue </t>
  </si>
  <si>
    <t>Viot S.Pink</t>
  </si>
  <si>
    <t xml:space="preserve">Bastimentos 02 </t>
  </si>
  <si>
    <t>Mod BC 5002 C5</t>
  </si>
  <si>
    <t>4540 c02</t>
  </si>
  <si>
    <t>ant disot w.hine red-076 optics</t>
  </si>
  <si>
    <t>Modest Mblk 55-19-145  Blue Light cute</t>
  </si>
  <si>
    <t>Swingin C2 51-17-140</t>
  </si>
  <si>
    <t>5668 tendencia CE</t>
  </si>
  <si>
    <t>Disarn Steelblue-mblk/Drt03 Pol</t>
  </si>
  <si>
    <t>FILTROS ESPECIALES TRATAMIENTO</t>
  </si>
  <si>
    <t>Transitions Gen-S ESSILOR</t>
  </si>
  <si>
    <t>Sunny 2 AY 184 50-18-140</t>
  </si>
  <si>
    <t>Lotta 06</t>
  </si>
  <si>
    <t>Sexiness c1</t>
  </si>
  <si>
    <t>SYGNUS New Edition Optovision</t>
  </si>
  <si>
    <t>Dalto col. 02</t>
  </si>
  <si>
    <t>Telma 09</t>
  </si>
  <si>
    <t>Activist - Bio 35</t>
  </si>
  <si>
    <t>1.50 ORMA TRANSITIONS CRIZAL VARILUX COMFORT MAX</t>
  </si>
  <si>
    <t>Mod 32 Co3 Verde agua</t>
  </si>
  <si>
    <t>Le Groupie M0445/907</t>
  </si>
  <si>
    <t>2094 C1</t>
  </si>
  <si>
    <t>WOMAN 268 SUNSET C2 ORO BRILLO PAT. ORO BRILLO TERM. MARRON SOLIDO BRILLO ORG.</t>
  </si>
  <si>
    <t>Organico Blue Light 1,67 DIGITAL</t>
  </si>
  <si>
    <t>ant korna hickory-068 optics</t>
  </si>
  <si>
    <t>Malta 4505 c10</t>
  </si>
  <si>
    <t>ANT VXC LPK pink/BLUE BLOCK *</t>
  </si>
  <si>
    <t>TOP LUXURY KAZWINI SOLAR MAZZUCCHELLI</t>
  </si>
  <si>
    <t>Zury L.Grey B.Cut</t>
  </si>
  <si>
    <t>Mod BC 5012 C4</t>
  </si>
  <si>
    <t>Anteojo Sol Hanoover 2092 Marron -C5</t>
  </si>
  <si>
    <t>Kirt Lg/Drt02 Pol</t>
  </si>
  <si>
    <t>Han 101 C3</t>
  </si>
  <si>
    <t>Roraima 03</t>
  </si>
  <si>
    <t>6123 c003</t>
  </si>
  <si>
    <t>TÓRICAS DESIO TRIMESTRAL TORIC (COSMÉTICA 2 T.) - Trimestral - 2 Un.</t>
  </si>
  <si>
    <t>Modelo 545</t>
  </si>
  <si>
    <t>1.67 STYLIS CRIZAL VARILUX COMFORT MAX</t>
  </si>
  <si>
    <t>Mineral flaptop - fotocromatico- camara</t>
  </si>
  <si>
    <t>HD 1.67 MR7 Asférico SHMC UV420 Blue graduaciones altas</t>
  </si>
  <si>
    <t>Orma BLUE UV - SYGNUS ESSILOR - 2x1 + AR Numax</t>
  </si>
  <si>
    <t>Modelo 5549</t>
  </si>
  <si>
    <t>ORMA SYGNUS ESSILOR - 2x1 + AR Numax</t>
  </si>
  <si>
    <t>ant studio 20-mblk optics</t>
  </si>
  <si>
    <t>Airwear 1.59 - SYGNUS ESSILOR - 2x1 + AR Numax</t>
  </si>
  <si>
    <t xml:space="preserve">Veille Green Pearl/s10 </t>
  </si>
  <si>
    <t>TrickRX col,04 / 48-16-132</t>
  </si>
  <si>
    <t>Curiosty 10 C1</t>
  </si>
  <si>
    <t>Curiosity 4 C1020 807 49</t>
  </si>
  <si>
    <t>ANT SPIRE C4 Polarizado</t>
  </si>
  <si>
    <t>PASE DE CRISTALES TRATAMIENTO</t>
  </si>
  <si>
    <t>6110 c001</t>
  </si>
  <si>
    <t>Lyon 06</t>
  </si>
  <si>
    <t>Organico Super Blue Light 1,60 ESSENTIAL CNC</t>
  </si>
  <si>
    <t>ant avi dark red - sand optics kids</t>
  </si>
  <si>
    <t>Orma Acclimates - SYGNUS ESSILOR - 2x1 + AR Numax</t>
  </si>
  <si>
    <t>ant kirt s optics</t>
  </si>
  <si>
    <t xml:space="preserve">Deguil MBLK/Grandient Grey </t>
  </si>
  <si>
    <t>Policarbonato Blanco</t>
  </si>
  <si>
    <t xml:space="preserve">Ther M036 49-23-145 Blue Light cute </t>
  </si>
  <si>
    <t>TEÑIDO SEGUN MUESTRA TRATAMIENTO</t>
  </si>
  <si>
    <t>MYOPILUX CRIZAL ESSILOR AIWEAR 1.59</t>
  </si>
  <si>
    <t>ANT PULSE C3 Polarizado</t>
  </si>
  <si>
    <t>TEÑIDO DEGRADE TRATAMIENTO</t>
  </si>
  <si>
    <t>1.56 ORGÁNICO ESSENTIAL BLUE LIGHT GAMA EXCLUSIVE</t>
  </si>
  <si>
    <t>Tendencia CE - 5659</t>
  </si>
  <si>
    <t>Smash 2 col. 1 (montaña/cicilismo)</t>
  </si>
  <si>
    <t>CLARITI ONEDAY - Diario - 30 Un. CooperVision</t>
  </si>
  <si>
    <t>Leon</t>
  </si>
  <si>
    <t>UniqueDro STYLIS 1.67 BLUE UV</t>
  </si>
  <si>
    <t>My J5502</t>
  </si>
  <si>
    <t>Modelo 5565</t>
  </si>
  <si>
    <t>Elian</t>
  </si>
  <si>
    <t>Couture C2</t>
  </si>
  <si>
    <t>White Ay668</t>
  </si>
  <si>
    <t>ant living the best c7</t>
  </si>
  <si>
    <t>bc vouk grnzz optics</t>
  </si>
  <si>
    <t>ANT ARVIN MBLK/S10 Polarizado</t>
  </si>
  <si>
    <t>Precise AIRWEAR 1.59 BLUE UV</t>
  </si>
  <si>
    <t xml:space="preserve">Vicky 04 </t>
  </si>
  <si>
    <t>Precise ORMA BLUE UV</t>
  </si>
  <si>
    <t>ANT WOCKET STEELBLUE-MBLK/DF</t>
  </si>
  <si>
    <t>ANT BOOPING BROWNB15 POL</t>
  </si>
  <si>
    <t>sexo</t>
  </si>
  <si>
    <t>tipo_documento</t>
  </si>
  <si>
    <t>num_documento</t>
  </si>
  <si>
    <t>cuit</t>
  </si>
  <si>
    <t>razon_social</t>
  </si>
  <si>
    <t>id_regimen</t>
  </si>
  <si>
    <t>fecha_nacimiento</t>
  </si>
  <si>
    <t>domicilio</t>
  </si>
  <si>
    <t>localidad</t>
  </si>
  <si>
    <t>id_departamento</t>
  </si>
  <si>
    <t>id_provincia</t>
  </si>
  <si>
    <t>telefono</t>
  </si>
  <si>
    <t>email</t>
  </si>
  <si>
    <t>id_cobertura_salud</t>
  </si>
  <si>
    <t>num_cobertura</t>
  </si>
  <si>
    <t>id_sugerencia</t>
  </si>
  <si>
    <t>created_at</t>
  </si>
  <si>
    <t>updated_at</t>
  </si>
  <si>
    <t>Dra. Jemima Dermendyieff</t>
  </si>
  <si>
    <t>Dra. Virgina LLupia</t>
  </si>
  <si>
    <t>Dra. Noelia Acosta</t>
  </si>
  <si>
    <t>Dra. Nataly Brianson</t>
  </si>
  <si>
    <t>Dr. Rafael Acosta</t>
  </si>
  <si>
    <t>Dra. Agugirre Tania</t>
  </si>
  <si>
    <t>Dra. Natalia Romero</t>
  </si>
  <si>
    <t>Dra. Elizabeth Gandini</t>
  </si>
  <si>
    <t>Matias Turchi</t>
  </si>
  <si>
    <t>ishtar pissano</t>
  </si>
  <si>
    <t>Ana Laura Caceres</t>
  </si>
  <si>
    <t>Vera Agustina</t>
  </si>
  <si>
    <t>Marcos Urriets</t>
  </si>
  <si>
    <t>Gabriel Torres</t>
  </si>
  <si>
    <t>Nabil Calderon</t>
  </si>
  <si>
    <t>54 9 3517 02-5144</t>
  </si>
  <si>
    <t>54 9 351 650-0153</t>
  </si>
  <si>
    <t>Google Maps</t>
  </si>
  <si>
    <t>Google Mpas</t>
  </si>
  <si>
    <t>matiasgaray072@gmail.com</t>
  </si>
  <si>
    <t>54 9 3513 44-4888</t>
  </si>
  <si>
    <t>54 9 3512 46-3527</t>
  </si>
  <si>
    <t>Ramon Funes Cortez</t>
  </si>
  <si>
    <t>NONO</t>
  </si>
  <si>
    <t>antolaudevita@gmail.com</t>
  </si>
  <si>
    <t>Correo Argentino NONO</t>
  </si>
  <si>
    <t>DOC NATALIA ROMERO</t>
  </si>
  <si>
    <t>Gaston Dario</t>
  </si>
  <si>
    <t>54 9 2235 91-1254</t>
  </si>
  <si>
    <t>60803390102 OSDE</t>
  </si>
  <si>
    <t>Valentina Rolon Alvarez</t>
  </si>
  <si>
    <t>54 9 3516 86-9407</t>
  </si>
  <si>
    <t>351 459 8343</t>
  </si>
  <si>
    <t>Juri Federico</t>
  </si>
  <si>
    <t>54 9 3515 59-3710</t>
  </si>
  <si>
    <t>vargascoti2@gmail.com</t>
  </si>
  <si>
    <t>54 9 3518 01-7735</t>
  </si>
  <si>
    <t>4380 Luis de Tejeda</t>
  </si>
  <si>
    <t>atelier.optica.cerro@gmail.com</t>
  </si>
  <si>
    <t>Córdoba</t>
  </si>
  <si>
    <t>54 9 3513 53-3937</t>
  </si>
  <si>
    <t>54 9 3804 58-8644</t>
  </si>
  <si>
    <t>54 9 3515 14-9516</t>
  </si>
  <si>
    <t>54 9 3517 56-1462</t>
  </si>
  <si>
    <t>54 9 2964 62-2533</t>
  </si>
  <si>
    <t>Naiara Luján Bulacio</t>
  </si>
  <si>
    <t>54 9 2966 72-4113</t>
  </si>
  <si>
    <t>Marisol García</t>
  </si>
  <si>
    <t>54 9 3516 17-5019</t>
  </si>
  <si>
    <t>dnpaez@yahoo.com</t>
  </si>
  <si>
    <t>Rocio Milagros Veron</t>
  </si>
  <si>
    <t>54 9 3516 00-5911</t>
  </si>
  <si>
    <t>54 9 3515 55-0627</t>
  </si>
  <si>
    <t>Carnero Sergio</t>
  </si>
  <si>
    <t>54 9 3512 40-8078</t>
  </si>
  <si>
    <t>54 9 3513 27-7908</t>
  </si>
  <si>
    <t>54 9 3543 69-8430</t>
  </si>
  <si>
    <t>54 9 3513 01-2234</t>
  </si>
  <si>
    <t>OMINT</t>
  </si>
  <si>
    <t>54 9 3512 28-9536</t>
  </si>
  <si>
    <t>Osde</t>
  </si>
  <si>
    <t>AZRAEL ZARDINI (HERMANO)</t>
  </si>
  <si>
    <t>3515443669 Dario Papa / 3512784326 Yhoana Mama</t>
  </si>
  <si>
    <t>54 9 3512 26-5469</t>
  </si>
  <si>
    <t>3543638933 F</t>
  </si>
  <si>
    <t>Sipssa n° 41207914903</t>
  </si>
  <si>
    <t>54 9 3575 40-0743</t>
  </si>
  <si>
    <t>54 9 3517 59-4769</t>
  </si>
  <si>
    <t>Don Bosco (7600)  General Pueyrredón, Buenos Aires, AR</t>
  </si>
  <si>
    <t>laura.mdq@gmail.com</t>
  </si>
  <si>
    <t>54 9 2664 00-3409</t>
  </si>
  <si>
    <t>Laura Perez</t>
  </si>
  <si>
    <t>54 9 3512 49-1281</t>
  </si>
  <si>
    <t>ARANCELES SWISS MEDICAL</t>
  </si>
  <si>
    <t>Osde 210</t>
  </si>
  <si>
    <t>Presupuesto</t>
  </si>
  <si>
    <t>54 9 3517 66-4396</t>
  </si>
  <si>
    <t>Mariela De los Angeles Agullo</t>
  </si>
  <si>
    <t>54 9 3562 40-9930</t>
  </si>
  <si>
    <t>54 9 3513 07-5486</t>
  </si>
  <si>
    <t>SMG 30</t>
  </si>
  <si>
    <t>Hermano de ish y yani</t>
  </si>
  <si>
    <t>Sergio Gomez</t>
  </si>
  <si>
    <t>35121403941 (Ibañes Brisa MADRE)</t>
  </si>
  <si>
    <t>Rocio Ailen Predes</t>
  </si>
  <si>
    <t>Paredes Maria Celeste</t>
  </si>
  <si>
    <t>Paredes Rocio</t>
  </si>
  <si>
    <t>.</t>
  </si>
  <si>
    <t>3513930785 (hermana)</t>
  </si>
  <si>
    <t>angel44octavio@gmail.com</t>
  </si>
  <si>
    <t>Fernandez Armando</t>
  </si>
  <si>
    <t>3516223437 (Marcos padre)</t>
  </si>
  <si>
    <t>Pueyrredon 544 - Codigo Postal: 2300</t>
  </si>
  <si>
    <t>Localidad: Rafaela
Direccion: Pueyrredon 544
Codigo Postal: 2300</t>
  </si>
  <si>
    <t>Sandina Flores</t>
  </si>
  <si>
    <t>Karen Mason</t>
  </si>
  <si>
    <t>Briana Dri</t>
  </si>
  <si>
    <t>Corrientes 28</t>
  </si>
  <si>
    <t>54 9 3534 14-4363</t>
  </si>
  <si>
    <t>liadelfinaghi_17@hotmail.com</t>
  </si>
  <si>
    <t>2966409818 (Paola Madre)</t>
  </si>
  <si>
    <t>ou.rios.lopez@gmail.com</t>
  </si>
  <si>
    <t>Andrea Ferrer</t>
  </si>
  <si>
    <t>ezequielvivas532@gmail.com</t>
  </si>
  <si>
    <t>Swiss Medical</t>
  </si>
  <si>
    <t>3764124075 (3764658066 Juan Pablo)</t>
  </si>
  <si>
    <t>lilian.g.benitez@gmail.com</t>
  </si>
  <si>
    <t>lolifaftisirena@gmail.com</t>
  </si>
  <si>
    <t>3513735514 (Gustavo)</t>
  </si>
  <si>
    <t>4.500 omint</t>
  </si>
  <si>
    <t>1154998767 (Alejandra)</t>
  </si>
  <si>
    <t>Veronica Del Valle Ferreyra</t>
  </si>
  <si>
    <t>3515309666 (Diego Navarro Padre) 3516111711 (Ana Laura Madre)</t>
  </si>
  <si>
    <t>Medicus</t>
  </si>
  <si>
    <t>3513130505 (isabel)</t>
  </si>
  <si>
    <t>Ema Quiroga</t>
  </si>
  <si>
    <t>3516067261 (Ignacio)</t>
  </si>
  <si>
    <t>yanizzzz95@gmail.com</t>
  </si>
  <si>
    <t>gabrielanaini@hotmail.com</t>
  </si>
  <si>
    <t>guillermoclopes@hotmail.com</t>
  </si>
  <si>
    <t>131 867 /867</t>
  </si>
  <si>
    <t>giovinigy@gmail.com</t>
  </si>
  <si>
    <t>tamarabeltrane@hotmail.com</t>
  </si>
  <si>
    <t>3515294633 (Graciela)</t>
  </si>
  <si>
    <t>silviagattas@gmail.com</t>
  </si>
  <si>
    <t>Chile 919</t>
  </si>
  <si>
    <t>ibernardi.izaguirre@gmail.com</t>
  </si>
  <si>
    <t>Ospe 2041879057200</t>
  </si>
  <si>
    <t>Mitre 2250</t>
  </si>
  <si>
    <t>dalmolinceleste@yahoo.com.ar</t>
  </si>
  <si>
    <t>jureg7244@gmail.com</t>
  </si>
  <si>
    <t>3516 00-0627</t>
  </si>
  <si>
    <t>Jaime Cloner 135</t>
  </si>
  <si>
    <t>juliantalleres16@gmail.com</t>
  </si>
  <si>
    <t>Pasaje San Martín 45</t>
  </si>
  <si>
    <t>Apross</t>
  </si>
  <si>
    <t>Sancor 3000</t>
  </si>
  <si>
    <t>Manuel Lucero 1200</t>
  </si>
  <si>
    <t>susana.morales37@yahoo.com.ar</t>
  </si>
  <si>
    <t>albertodecesare@hotmail.com</t>
  </si>
  <si>
    <t>Gamarra Aldana</t>
  </si>
  <si>
    <t>drafracassi@gmail.com</t>
  </si>
  <si>
    <t>sb04</t>
  </si>
  <si>
    <t>ismasariago124@gmail.com</t>
  </si>
  <si>
    <t>Roque Saenz Peña 5701</t>
  </si>
  <si>
    <t>lucamartinezdupuy@gmail.com</t>
  </si>
  <si>
    <t>catalinarago99@gmail.com</t>
  </si>
  <si>
    <t>Coronel Alvarez 1084</t>
  </si>
  <si>
    <t>Arroyito</t>
  </si>
  <si>
    <t>3576473646 / 3576473136</t>
  </si>
  <si>
    <t>meriamcampos43@gmail.com</t>
  </si>
  <si>
    <t>saldanomariavanesa@gmail.com</t>
  </si>
  <si>
    <t>cecibona1220@gmail.com</t>
  </si>
  <si>
    <t>miguelito1961@yahoo.com.ar</t>
  </si>
  <si>
    <t>ismaelleandro@hotmail.com.ar</t>
  </si>
  <si>
    <t>luchy.alcazar@hotmail.com</t>
  </si>
  <si>
    <t>cabreraallende@gmail.com</t>
  </si>
  <si>
    <t>milagroshuamani2702@gmail.com</t>
  </si>
  <si>
    <t>erikitastefania91@gmail.com</t>
  </si>
  <si>
    <t>sofiadelmisosa@gmail.com</t>
  </si>
  <si>
    <t>OSDE 210</t>
  </si>
  <si>
    <t>pablogattas.estudio@gmail.com</t>
  </si>
  <si>
    <t>garciaariana130@gmail.com</t>
  </si>
  <si>
    <t>kevyn.huamani@gmail.com</t>
  </si>
  <si>
    <t>markytosferreyra@gmail.com</t>
  </si>
  <si>
    <t>52 999 127 9638</t>
  </si>
  <si>
    <t>a.chale@gmail.com</t>
  </si>
  <si>
    <t>Mexico, Yucatan</t>
  </si>
  <si>
    <t>Victoria</t>
  </si>
  <si>
    <t>fabriziodsoriano@gmail.com</t>
  </si>
  <si>
    <t>luciamgrasso98@gmail.com</t>
  </si>
  <si>
    <t>pauloynelly@gmail.com</t>
  </si>
  <si>
    <t>juliigonzalez430@gmail.com</t>
  </si>
  <si>
    <t>laupossetto@gmail.com</t>
  </si>
  <si>
    <t>guilleb575@gmail.com</t>
  </si>
  <si>
    <t>Osde 23251888103</t>
  </si>
  <si>
    <t>martillerolopez@gmail.com</t>
  </si>
  <si>
    <t>jdirienzo@gmail.com</t>
  </si>
  <si>
    <t>lucianotreache@outlook.com</t>
  </si>
  <si>
    <t>sosa.manuel.alejandro@gmail.com</t>
  </si>
  <si>
    <t>Garcia Ariana</t>
  </si>
  <si>
    <t>garcialuciayasmin@gmail.com</t>
  </si>
  <si>
    <t>2184037/04</t>
  </si>
  <si>
    <t>2184037/04 3.000</t>
  </si>
  <si>
    <t>agosadamo2001@gmail.com</t>
  </si>
  <si>
    <t>martinasvetelitza@gmail.com</t>
  </si>
  <si>
    <t>silvanamarinao@hotmail.com</t>
  </si>
  <si>
    <t>jorgericardo555@hotmail.com</t>
  </si>
  <si>
    <t>moliwa678@gmail.com</t>
  </si>
  <si>
    <t>randreoli92@gmail.com</t>
  </si>
  <si>
    <t>crapatriciasaravia@gmail.com</t>
  </si>
  <si>
    <t>aledente_62@hotmail.com</t>
  </si>
  <si>
    <t>gabrielsilva26@hotmail.com</t>
  </si>
  <si>
    <t>soniabeamante27@gmail.com</t>
  </si>
  <si>
    <t>candeluh@gmail.com</t>
  </si>
  <si>
    <t>Bruno Marcattin</t>
  </si>
  <si>
    <t>bmarcattini@gmail.com</t>
  </si>
  <si>
    <t>seba07_cba@hotmail.com</t>
  </si>
  <si>
    <t>paularodriguez_507@hotmail.com</t>
  </si>
  <si>
    <t>juanmanuelpiantino@gmail.com</t>
  </si>
  <si>
    <t>patricia_cva56@hotmail.com</t>
  </si>
  <si>
    <t>vicotriacornaglia1@gmail.com</t>
  </si>
  <si>
    <t>morenabrion052@gmail.com</t>
  </si>
  <si>
    <t>3543581273 (Gustavo papa)</t>
  </si>
  <si>
    <t>3543581273 (Gustavo Papa)</t>
  </si>
  <si>
    <t>iccaluccia@gmail.com</t>
  </si>
  <si>
    <t>2227444@ucc.edu.ar</t>
  </si>
  <si>
    <t>gladyslondero@gmail.com</t>
  </si>
  <si>
    <t>criscarrizo@gmail.com</t>
  </si>
  <si>
    <t>ignaciofernandez1944@gmail.com</t>
  </si>
  <si>
    <t>Milagros Anabel Garea</t>
  </si>
  <si>
    <t>miliigarea@gmail.com</t>
  </si>
  <si>
    <t>ccordfer@redfasta.edu.ar</t>
  </si>
  <si>
    <t>Sancor 1500</t>
  </si>
  <si>
    <t>marianosaini@gmail.com</t>
  </si>
  <si>
    <t>Daniela Alejandra  Laudosse</t>
  </si>
  <si>
    <t>dani.lad999@gmail.com</t>
  </si>
  <si>
    <t>ineko_@hotmail.com</t>
  </si>
  <si>
    <t>mporfilio75@gmail.com</t>
  </si>
  <si>
    <t>lchiaretta@gmail.com</t>
  </si>
  <si>
    <t>natalia.g.marcucci@gmail.com</t>
  </si>
  <si>
    <t>danasgalinde@gmail.com</t>
  </si>
  <si>
    <t>florchugg@hotmail.com</t>
  </si>
  <si>
    <t>andreonemanuu@gmail.com</t>
  </si>
  <si>
    <t>jonabuffet@gmail.com</t>
  </si>
  <si>
    <t>dr.cmespeche@gmail.com</t>
  </si>
  <si>
    <t>gabytestoni@hotmail.com</t>
  </si>
  <si>
    <t>doc.argen@gmail.com</t>
  </si>
  <si>
    <t>atelena@hotmail.com</t>
  </si>
  <si>
    <t>angegalgiano@gmail.com</t>
  </si>
  <si>
    <t>Google ADS</t>
  </si>
  <si>
    <t>lulicopparoni@hotmail.com</t>
  </si>
  <si>
    <t>jlaveller@hotmail.com</t>
  </si>
  <si>
    <t>3513270080 (Flor Cuadro ((Madre))</t>
  </si>
  <si>
    <t>FLORENCIACUADRO@GMAIL.COM</t>
  </si>
  <si>
    <t>nikolast833@gmail.com</t>
  </si>
  <si>
    <t>susana_3001@hotmail.com</t>
  </si>
  <si>
    <t>ferer_mariano@hotmail.com</t>
  </si>
  <si>
    <t>ch.murua19@gmail.com</t>
  </si>
  <si>
    <t>adrianaritaramos67@gmail.com</t>
  </si>
  <si>
    <t>namnac@hotmail.com</t>
  </si>
  <si>
    <t>Calle Arenales</t>
  </si>
  <si>
    <t>arilu2011@live.com</t>
  </si>
  <si>
    <t>3544618326 (Alfedo)</t>
  </si>
  <si>
    <t>Cliente VOUCHER VARILUX NOVIEMBRE</t>
  </si>
  <si>
    <t>mariaguspereyra@gmail.com</t>
  </si>
  <si>
    <t>gyofre@hotmail.com</t>
  </si>
  <si>
    <t>escaranadeborasoledad@gmai.com</t>
  </si>
  <si>
    <t>mica.maidana2.mm@gmail.com</t>
  </si>
  <si>
    <t>tomasdegrave@gmail.com</t>
  </si>
  <si>
    <t>astorgarociom@gmail.com</t>
  </si>
  <si>
    <t>diegotero.cba@gmail.com</t>
  </si>
  <si>
    <t>camilamariamansilla@hotmail.com</t>
  </si>
  <si>
    <t>fer.montenegrooo@gmail.com</t>
  </si>
  <si>
    <t>brisacaceres18@gmail.com</t>
  </si>
  <si>
    <t>54 9 11 3155-0417</t>
  </si>
  <si>
    <t>ngarone@andreani.com</t>
  </si>
  <si>
    <t>marialuna3112@gmail.com</t>
  </si>
  <si>
    <t>martinaflorenciamolina@gmail.com</t>
  </si>
  <si>
    <t>anavirginiacepeda@gmail.com</t>
  </si>
  <si>
    <t>efernan@purdue.edu</t>
  </si>
  <si>
    <t>lufabreti@hotmail.com</t>
  </si>
  <si>
    <t>Larroque 1256</t>
  </si>
  <si>
    <t>pasqualino.andre@gmail.com</t>
  </si>
  <si>
    <t>conradorrapallini@gmail.com</t>
  </si>
  <si>
    <t>adrianadelvallemarquez976@gmail.com</t>
  </si>
  <si>
    <t>mb.buljubasic@outlook.com</t>
  </si>
  <si>
    <t>3704568045 (Hijo Juan Manuel)</t>
  </si>
  <si>
    <t>jimenesyuniz@gmail.com</t>
  </si>
  <si>
    <t>3813 03-3077</t>
  </si>
  <si>
    <t>Inesitazelaya9@gmail.com</t>
  </si>
  <si>
    <t>Nataliaizamora@hotmail.com</t>
  </si>
  <si>
    <t>Lujan Albornoz</t>
  </si>
  <si>
    <t>tobi.murua2@gmail.com</t>
  </si>
  <si>
    <t>magatosi@gmail.com</t>
  </si>
  <si>
    <t>majocab2021@gmail.com</t>
  </si>
  <si>
    <t>jorgecarofalo@gmail.com</t>
  </si>
  <si>
    <t>tamaramazzarini@gmail.com</t>
  </si>
  <si>
    <t>sabribonada@gmail.com</t>
  </si>
  <si>
    <t>clariravasi@gmail.com</t>
  </si>
  <si>
    <t>3512287786 (Facundo Aliaga)</t>
  </si>
  <si>
    <t>Failaiacaieiro@gmail.com</t>
  </si>
  <si>
    <t>javipiatti@gmail.com</t>
  </si>
  <si>
    <t>OSDE</t>
  </si>
  <si>
    <t>Felipe Varela 950 Recreo.- Catamarca</t>
  </si>
  <si>
    <t>recreo</t>
  </si>
  <si>
    <t>3832 40-1910</t>
  </si>
  <si>
    <t>juan_cavanna@yahoo.com.ar</t>
  </si>
  <si>
    <t>3516877282 (Agustina (Hija))</t>
  </si>
  <si>
    <t>maigup01@gmail.com</t>
  </si>
  <si>
    <t>54 9 3518 19-2310</t>
  </si>
  <si>
    <t>gabrielaxeneida78@gmail.com</t>
  </si>
  <si>
    <t>silvina.halac@gmail.com</t>
  </si>
  <si>
    <t>pablonatali_cba@hotmail.com</t>
  </si>
  <si>
    <t>anahiluque22@hotmail.com</t>
  </si>
  <si>
    <t>Maria Eelena Atequera</t>
  </si>
  <si>
    <t>Antequera.ele@gmail.com</t>
  </si>
  <si>
    <t>ivanacastelli@gmail.com</t>
  </si>
  <si>
    <t>3512 09-3948</t>
  </si>
  <si>
    <t>03446350768 (1149725376 Jennifer)</t>
  </si>
  <si>
    <t>jenniferayre159@gmail.com</t>
  </si>
  <si>
    <t>maxi.a.vazquez@gmail.com</t>
  </si>
  <si>
    <t>mbrius1@gmail.com</t>
  </si>
  <si>
    <t>Agostina Valeria Casa</t>
  </si>
  <si>
    <t>agoscasa@hotmail.com</t>
  </si>
  <si>
    <t>guiopponipia@gmail.com</t>
  </si>
  <si>
    <t>pablobonada@hotmail.com</t>
  </si>
  <si>
    <t>ariel.marcelo.cabrera@gmail.com</t>
  </si>
  <si>
    <t>gabinacasanova@hotmail.com</t>
  </si>
  <si>
    <t>54 9 3512 13-1527</t>
  </si>
  <si>
    <t>evangelina ochoa</t>
  </si>
  <si>
    <t>sgardulich@gmail.com</t>
  </si>
  <si>
    <t>griseldagil@mail.com</t>
  </si>
  <si>
    <t>eriiaguirre@hotmail.com.ar</t>
  </si>
  <si>
    <t>maralujann@gmail.com</t>
  </si>
  <si>
    <t>di.brunello.emanuel@gmail.com</t>
  </si>
  <si>
    <t>silvia-asseff@hotmail.com</t>
  </si>
  <si>
    <t>valle cercano</t>
  </si>
  <si>
    <t>3516 56-8905</t>
  </si>
  <si>
    <t>Mauricio Mendelson</t>
  </si>
  <si>
    <t>3518018379 Tomas (Hijo de mauricio)</t>
  </si>
  <si>
    <t>marcefarre@yahoo.es</t>
  </si>
  <si>
    <t>jesiruizmorales@gmail.com</t>
  </si>
  <si>
    <t>pilimarques6@hotmail.com</t>
  </si>
  <si>
    <t>diaznaniexquiel@gmail.com</t>
  </si>
  <si>
    <t>Swiss</t>
  </si>
  <si>
    <t>inecarbo@gmail.com</t>
  </si>
  <si>
    <t>ab.brendasalinas@gmail.com</t>
  </si>
  <si>
    <t>guadaguzman20@gmail.com</t>
  </si>
  <si>
    <t>Dni: 44768973</t>
  </si>
  <si>
    <t>villa de maria del río seco</t>
  </si>
  <si>
    <t>ng379388@gmail.com</t>
  </si>
  <si>
    <t>Atendido por ishtar</t>
  </si>
  <si>
    <t>54 9 3513 13-7102</t>
  </si>
  <si>
    <t>ruartelorena12@gmail.com</t>
  </si>
  <si>
    <t>nataliacaby@gmail.com</t>
  </si>
  <si>
    <t>Medife Pata</t>
  </si>
  <si>
    <t>juparodi.jp@gmail.com</t>
  </si>
  <si>
    <t>54 9 3512 52-8877</t>
  </si>
  <si>
    <t>sebahanny@hotmail.com</t>
  </si>
  <si>
    <t>mabelcordeiro78@gmail.com</t>
  </si>
  <si>
    <t>Barrio 499 Casa 474 Pasaje San Mateo</t>
  </si>
  <si>
    <t>Rio Gallego - Sta CRUZ</t>
  </si>
  <si>
    <t>54 9 2966 35-6806</t>
  </si>
  <si>
    <t>sandrairencec69@gmail.com</t>
  </si>
  <si>
    <t>mariasolgraciani@gmail.com</t>
  </si>
  <si>
    <t>54 9 3517 58-3909</t>
  </si>
  <si>
    <t>marimalnis@gmail.com</t>
  </si>
  <si>
    <t>3853 16-6378</t>
  </si>
  <si>
    <t>anahiperalta220225@gmail.com</t>
  </si>
  <si>
    <t>sasha_menem@outlook.com</t>
  </si>
  <si>
    <t>3512692125 (35123615971 Juan)</t>
  </si>
  <si>
    <t>lucgatte@gmail.com</t>
  </si>
  <si>
    <t>Germanbartorila@gmail.com</t>
  </si>
  <si>
    <t>Florencia Freixa</t>
  </si>
  <si>
    <t>freizaflorencia2@gmail.com</t>
  </si>
  <si>
    <t>carolinabuteler@gmail.com</t>
  </si>
  <si>
    <t>SANCOR 3000</t>
  </si>
  <si>
    <t>Griselda Tristan</t>
  </si>
  <si>
    <t>trisgriselda@gmail.com</t>
  </si>
  <si>
    <t>walterheredia777@gmail.com</t>
  </si>
  <si>
    <t>54 9 3513 04-175</t>
  </si>
  <si>
    <t>alejandrabeatrizmassini@gmail.com</t>
  </si>
  <si>
    <t>Daniel Alvarez</t>
  </si>
  <si>
    <t>r.alvarezdaniel72@gmail.com</t>
  </si>
  <si>
    <t>ancelb@gmail.com</t>
  </si>
  <si>
    <t>gatosanchez1965@gmail.com</t>
  </si>
  <si>
    <t>solgarcia09@gmail.com</t>
  </si>
  <si>
    <t>ericapereyra@yahoo.com.ar</t>
  </si>
  <si>
    <t>christianferreyra2021@gmail.com</t>
  </si>
  <si>
    <t>davalosema@hotmail.com</t>
  </si>
  <si>
    <t>Belensironi97@gmail.com</t>
  </si>
  <si>
    <t>pauliheredia1@gmail.com</t>
  </si>
  <si>
    <t>arielpalmero@hotmail.com</t>
  </si>
  <si>
    <t>Ezealassia15@gmail.com</t>
  </si>
  <si>
    <t>carlos_a_cuomo@hotmail.com</t>
  </si>
  <si>
    <t>pablo gaugin 4118 santa cecilia</t>
  </si>
  <si>
    <t>-</t>
  </si>
  <si>
    <t>dalukatz@gmail.com</t>
  </si>
  <si>
    <t>swis</t>
  </si>
  <si>
    <t>3541 21-8850</t>
  </si>
  <si>
    <t>schoederivan1@gmail.com</t>
  </si>
  <si>
    <t>gustavo.l.lujan@gmail.com</t>
  </si>
  <si>
    <t>pablogustavobravo@gmail.com</t>
  </si>
  <si>
    <t>rodruiz25@gmail.com</t>
  </si>
  <si>
    <t>3537678243 (Lorena) 351607970 (Luciano)</t>
  </si>
  <si>
    <t>barredalorena07@gmail.com</t>
  </si>
  <si>
    <t>ruedadiego1981@gmail.com</t>
  </si>
  <si>
    <t>Athimegag@hotmail.com</t>
  </si>
  <si>
    <t>ivan.a.marusich@gmail.com</t>
  </si>
  <si>
    <t>marusichlucia@gmail.com</t>
  </si>
  <si>
    <t>oscarhermann@gmail.com</t>
  </si>
  <si>
    <t>cintiacabreradanelutti@gmail.com</t>
  </si>
  <si>
    <t>calbronoz103@gmail.com</t>
  </si>
  <si>
    <t>agostina.lambrecht@outlook.com</t>
  </si>
  <si>
    <t>grinmaital@gmail.com</t>
  </si>
  <si>
    <t>maleluu2015@gmail.com</t>
  </si>
  <si>
    <t>152231691 / 3512231691</t>
  </si>
  <si>
    <t>jalevraux@gmail.com</t>
  </si>
  <si>
    <t>renfiges@gmail.com</t>
  </si>
  <si>
    <t>mariaeleesp@gmail.com</t>
  </si>
  <si>
    <t>351951487 Madre 3513512707 Padre</t>
  </si>
  <si>
    <t>julieta.saez90@gmail.com</t>
  </si>
  <si>
    <t>3516332508 (Inti Madre)</t>
  </si>
  <si>
    <t>palupedetta@gmail.com</t>
  </si>
  <si>
    <t>sramallo273@gmail.com</t>
  </si>
  <si>
    <t>54 9 3513 05-2412</t>
  </si>
  <si>
    <t>alv.paolasoledad@gmail.com</t>
  </si>
  <si>
    <t>3513606241 (Ximena)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</si>
</sst>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10" max="10" width="3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10.0</v>
      </c>
      <c r="B2" s="2">
        <v>45748.83453703704</v>
      </c>
      <c r="C2" s="1" t="s">
        <v>10</v>
      </c>
      <c r="D2" s="1">
        <v>2.0</v>
      </c>
      <c r="E2" s="1" t="s">
        <v>11</v>
      </c>
      <c r="F2" s="1" t="s">
        <v>12</v>
      </c>
      <c r="G2" s="1" t="s">
        <v>13</v>
      </c>
      <c r="H2" s="1">
        <v>169000.13</v>
      </c>
      <c r="I2" s="1" t="s">
        <v>14</v>
      </c>
      <c r="J2" s="1" t="s">
        <v>15</v>
      </c>
    </row>
    <row r="3">
      <c r="A3" s="1">
        <v>11.0</v>
      </c>
      <c r="B3" s="2">
        <v>45748.85046296296</v>
      </c>
      <c r="C3" s="1" t="s">
        <v>10</v>
      </c>
      <c r="D3" s="1">
        <v>2.0</v>
      </c>
      <c r="E3" s="1" t="s">
        <v>11</v>
      </c>
      <c r="F3" s="1" t="s">
        <v>12</v>
      </c>
      <c r="G3" s="1" t="s">
        <v>13</v>
      </c>
      <c r="H3" s="1">
        <v>55000.0</v>
      </c>
      <c r="I3" s="1" t="s">
        <v>14</v>
      </c>
      <c r="J3" s="1" t="s">
        <v>16</v>
      </c>
    </row>
    <row r="4">
      <c r="A4" s="1">
        <v>12.0</v>
      </c>
      <c r="B4" s="2">
        <v>45748.85717592593</v>
      </c>
      <c r="C4" s="1" t="s">
        <v>17</v>
      </c>
      <c r="D4" s="1">
        <v>2.0</v>
      </c>
      <c r="E4" s="1" t="s">
        <v>11</v>
      </c>
      <c r="F4" s="1" t="s">
        <v>12</v>
      </c>
      <c r="G4" s="1" t="s">
        <v>13</v>
      </c>
      <c r="H4" s="1">
        <v>192339.0</v>
      </c>
      <c r="I4" s="1" t="s">
        <v>14</v>
      </c>
      <c r="J4" s="1" t="s">
        <v>18</v>
      </c>
    </row>
    <row r="5">
      <c r="A5" s="1">
        <v>13.0</v>
      </c>
      <c r="B5" s="2">
        <v>45751.41836805556</v>
      </c>
      <c r="C5" s="1" t="s">
        <v>19</v>
      </c>
      <c r="D5" s="1">
        <v>2.0</v>
      </c>
      <c r="E5" s="1" t="s">
        <v>11</v>
      </c>
      <c r="F5" s="1" t="s">
        <v>12</v>
      </c>
      <c r="G5" s="1" t="s">
        <v>20</v>
      </c>
      <c r="H5" s="1">
        <v>130000.0</v>
      </c>
      <c r="I5" s="1" t="s">
        <v>14</v>
      </c>
      <c r="J5" s="1" t="s">
        <v>21</v>
      </c>
    </row>
    <row r="6">
      <c r="A6" s="1">
        <v>14.0</v>
      </c>
      <c r="B6" s="2">
        <v>45751.78192129629</v>
      </c>
      <c r="C6" s="1" t="s">
        <v>22</v>
      </c>
      <c r="D6" s="1">
        <v>2.0</v>
      </c>
      <c r="E6" s="1" t="s">
        <v>11</v>
      </c>
      <c r="F6" s="1" t="s">
        <v>23</v>
      </c>
      <c r="G6" s="1" t="s">
        <v>13</v>
      </c>
      <c r="H6" s="1">
        <v>890814.71</v>
      </c>
      <c r="I6" s="1" t="s">
        <v>24</v>
      </c>
      <c r="J6" s="1" t="s">
        <v>25</v>
      </c>
    </row>
    <row r="7">
      <c r="A7" s="1">
        <v>15.0</v>
      </c>
      <c r="B7" s="2">
        <v>45751.78592592593</v>
      </c>
      <c r="C7" s="1" t="s">
        <v>22</v>
      </c>
      <c r="D7" s="1">
        <v>2.0</v>
      </c>
      <c r="E7" s="1" t="s">
        <v>11</v>
      </c>
      <c r="F7" s="1" t="s">
        <v>23</v>
      </c>
      <c r="G7" s="1" t="s">
        <v>20</v>
      </c>
      <c r="H7" s="1">
        <v>201600.0</v>
      </c>
      <c r="I7" s="1" t="s">
        <v>26</v>
      </c>
      <c r="J7" s="1" t="s">
        <v>27</v>
      </c>
    </row>
    <row r="8">
      <c r="A8" s="1">
        <v>16.0</v>
      </c>
      <c r="B8" s="2">
        <v>45751.79243055556</v>
      </c>
      <c r="C8" s="1" t="s">
        <v>22</v>
      </c>
      <c r="D8" s="1">
        <v>2.0</v>
      </c>
      <c r="E8" s="1" t="s">
        <v>11</v>
      </c>
      <c r="F8" s="1" t="s">
        <v>23</v>
      </c>
      <c r="G8" s="1" t="s">
        <v>28</v>
      </c>
      <c r="H8" s="1">
        <v>1186493.7</v>
      </c>
      <c r="I8" s="1" t="s">
        <v>14</v>
      </c>
      <c r="J8" s="1" t="s">
        <v>29</v>
      </c>
    </row>
    <row r="9">
      <c r="A9" s="1">
        <v>17.0</v>
      </c>
      <c r="B9" s="2">
        <v>45751.805127314816</v>
      </c>
      <c r="C9" s="1" t="s">
        <v>22</v>
      </c>
      <c r="D9" s="1">
        <v>2.0</v>
      </c>
      <c r="E9" s="1" t="s">
        <v>11</v>
      </c>
      <c r="F9" s="1" t="s">
        <v>23</v>
      </c>
      <c r="G9" s="1" t="s">
        <v>13</v>
      </c>
      <c r="H9" s="1">
        <v>985500.0</v>
      </c>
      <c r="I9" s="1" t="s">
        <v>14</v>
      </c>
      <c r="J9" s="1" t="s">
        <v>30</v>
      </c>
    </row>
    <row r="10">
      <c r="A10" s="1">
        <v>18.0</v>
      </c>
      <c r="B10" s="2">
        <v>45751.815300925926</v>
      </c>
      <c r="C10" s="1" t="s">
        <v>22</v>
      </c>
      <c r="D10" s="1">
        <v>2.0</v>
      </c>
      <c r="E10" s="1" t="s">
        <v>11</v>
      </c>
      <c r="F10" s="1" t="s">
        <v>12</v>
      </c>
      <c r="G10" s="1" t="s">
        <v>20</v>
      </c>
      <c r="H10" s="1">
        <v>878005.34</v>
      </c>
      <c r="I10" s="1" t="s">
        <v>31</v>
      </c>
      <c r="J10" s="1" t="s">
        <v>32</v>
      </c>
    </row>
    <row r="11">
      <c r="A11" s="1">
        <v>19.0</v>
      </c>
      <c r="B11" s="2">
        <v>45752.4696875</v>
      </c>
      <c r="C11" s="1" t="s">
        <v>22</v>
      </c>
      <c r="D11" s="1">
        <v>2.0</v>
      </c>
      <c r="E11" s="1" t="s">
        <v>11</v>
      </c>
      <c r="F11" s="1" t="s">
        <v>12</v>
      </c>
      <c r="G11" s="1" t="s">
        <v>33</v>
      </c>
      <c r="H11" s="1">
        <v>201000.0</v>
      </c>
      <c r="I11" s="1" t="s">
        <v>14</v>
      </c>
      <c r="J11" s="1" t="s">
        <v>34</v>
      </c>
    </row>
    <row r="12">
      <c r="A12" s="1">
        <v>20.0</v>
      </c>
      <c r="B12" s="2">
        <v>45752.536875</v>
      </c>
      <c r="C12" s="1" t="s">
        <v>35</v>
      </c>
      <c r="D12" s="1">
        <v>2.0</v>
      </c>
      <c r="E12" s="1" t="s">
        <v>11</v>
      </c>
      <c r="F12" s="1" t="s">
        <v>12</v>
      </c>
      <c r="G12" s="1" t="s">
        <v>13</v>
      </c>
      <c r="H12" s="1">
        <v>112370.28</v>
      </c>
      <c r="I12" s="1" t="s">
        <v>14</v>
      </c>
      <c r="J12" s="1" t="s">
        <v>36</v>
      </c>
    </row>
    <row r="13">
      <c r="A13" s="1">
        <v>21.0</v>
      </c>
      <c r="B13" s="2">
        <v>45754.418078703704</v>
      </c>
      <c r="C13" s="1" t="s">
        <v>37</v>
      </c>
      <c r="D13" s="1">
        <v>1.0</v>
      </c>
      <c r="E13" s="1" t="s">
        <v>11</v>
      </c>
      <c r="F13" s="1" t="s">
        <v>12</v>
      </c>
      <c r="G13" s="1" t="s">
        <v>38</v>
      </c>
      <c r="H13" s="1">
        <v>120000.0</v>
      </c>
      <c r="I13" s="1" t="s">
        <v>14</v>
      </c>
      <c r="J13" s="1" t="s">
        <v>39</v>
      </c>
    </row>
    <row r="14">
      <c r="A14" s="1">
        <v>22.0</v>
      </c>
      <c r="B14" s="2">
        <v>45754.480625</v>
      </c>
      <c r="C14" s="1" t="s">
        <v>40</v>
      </c>
      <c r="D14" s="1">
        <v>2.0</v>
      </c>
      <c r="E14" s="1" t="s">
        <v>11</v>
      </c>
      <c r="F14" s="1" t="s">
        <v>12</v>
      </c>
      <c r="G14" s="1" t="s">
        <v>20</v>
      </c>
      <c r="H14" s="1">
        <v>611624.3</v>
      </c>
      <c r="I14" s="1" t="s">
        <v>26</v>
      </c>
      <c r="J14" s="1" t="s">
        <v>41</v>
      </c>
    </row>
    <row r="15">
      <c r="A15" s="1">
        <v>23.0</v>
      </c>
      <c r="B15" s="2">
        <v>45754.6721412037</v>
      </c>
      <c r="C15" s="1" t="s">
        <v>42</v>
      </c>
      <c r="D15" s="1">
        <v>2.0</v>
      </c>
      <c r="E15" s="1" t="s">
        <v>11</v>
      </c>
      <c r="F15" s="1" t="s">
        <v>12</v>
      </c>
      <c r="G15" s="1" t="s">
        <v>33</v>
      </c>
      <c r="H15" s="1">
        <v>677061.34</v>
      </c>
      <c r="I15" s="1" t="s">
        <v>43</v>
      </c>
      <c r="J15" s="1" t="s">
        <v>44</v>
      </c>
    </row>
    <row r="16">
      <c r="A16" s="1">
        <v>24.0</v>
      </c>
      <c r="B16" s="2">
        <v>45754.67496527778</v>
      </c>
      <c r="C16" s="1" t="s">
        <v>45</v>
      </c>
      <c r="D16" s="1">
        <v>2.0</v>
      </c>
      <c r="E16" s="1" t="s">
        <v>11</v>
      </c>
      <c r="F16" s="1" t="s">
        <v>12</v>
      </c>
      <c r="G16" s="1" t="s">
        <v>13</v>
      </c>
      <c r="H16" s="1">
        <v>616276.8</v>
      </c>
      <c r="I16" s="1" t="s">
        <v>14</v>
      </c>
      <c r="J16" s="1" t="s">
        <v>46</v>
      </c>
    </row>
    <row r="17">
      <c r="A17" s="1">
        <v>25.0</v>
      </c>
      <c r="B17" s="2">
        <v>45758.45045138889</v>
      </c>
      <c r="C17" s="1" t="s">
        <v>47</v>
      </c>
      <c r="D17" s="1">
        <v>2.0</v>
      </c>
      <c r="E17" s="1" t="s">
        <v>11</v>
      </c>
      <c r="F17" s="1" t="s">
        <v>12</v>
      </c>
      <c r="G17" s="1" t="s">
        <v>13</v>
      </c>
      <c r="H17" s="1">
        <v>107115.16</v>
      </c>
      <c r="I17" s="1" t="s">
        <v>48</v>
      </c>
      <c r="J17" s="1" t="s">
        <v>49</v>
      </c>
    </row>
    <row r="18">
      <c r="A18" s="1">
        <v>26.0</v>
      </c>
      <c r="B18" s="2">
        <v>45758.46021990741</v>
      </c>
      <c r="C18" s="1" t="s">
        <v>50</v>
      </c>
      <c r="D18" s="1">
        <v>2.0</v>
      </c>
      <c r="E18" s="1" t="s">
        <v>11</v>
      </c>
      <c r="F18" s="1" t="s">
        <v>23</v>
      </c>
      <c r="G18" s="1" t="s">
        <v>13</v>
      </c>
      <c r="H18" s="1">
        <v>131275.68</v>
      </c>
      <c r="I18" s="1" t="s">
        <v>14</v>
      </c>
      <c r="J18" s="1" t="s">
        <v>51</v>
      </c>
    </row>
    <row r="19">
      <c r="A19" s="1">
        <v>27.0</v>
      </c>
      <c r="B19" s="2">
        <v>45758.46909722222</v>
      </c>
      <c r="C19" s="1" t="s">
        <v>52</v>
      </c>
      <c r="D19" s="1">
        <v>2.0</v>
      </c>
      <c r="E19" s="1" t="s">
        <v>11</v>
      </c>
      <c r="F19" s="1" t="s">
        <v>12</v>
      </c>
      <c r="G19" s="1" t="s">
        <v>20</v>
      </c>
      <c r="H19" s="1">
        <v>55539.0</v>
      </c>
      <c r="I19" s="1" t="s">
        <v>14</v>
      </c>
      <c r="J19" s="1" t="s">
        <v>53</v>
      </c>
    </row>
    <row r="20">
      <c r="A20" s="1">
        <v>28.0</v>
      </c>
      <c r="B20" s="2">
        <v>45761.474652777775</v>
      </c>
      <c r="C20" s="1" t="s">
        <v>54</v>
      </c>
      <c r="D20" s="1">
        <v>2.0</v>
      </c>
      <c r="E20" s="1" t="s">
        <v>11</v>
      </c>
      <c r="F20" s="1" t="s">
        <v>23</v>
      </c>
      <c r="G20" s="1" t="s">
        <v>55</v>
      </c>
      <c r="H20" s="1">
        <v>590037.6</v>
      </c>
      <c r="I20" s="1" t="s">
        <v>14</v>
      </c>
      <c r="J20" s="1" t="s">
        <v>56</v>
      </c>
    </row>
    <row r="21">
      <c r="A21" s="1">
        <v>29.0</v>
      </c>
      <c r="B21" s="2">
        <v>45761.47761574074</v>
      </c>
      <c r="C21" s="1" t="s">
        <v>54</v>
      </c>
      <c r="D21" s="1">
        <v>2.0</v>
      </c>
      <c r="E21" s="1" t="s">
        <v>11</v>
      </c>
      <c r="F21" s="1" t="s">
        <v>12</v>
      </c>
      <c r="G21" s="1" t="s">
        <v>20</v>
      </c>
      <c r="H21" s="1">
        <v>590037.6</v>
      </c>
      <c r="I21" s="1" t="s">
        <v>14</v>
      </c>
      <c r="J21" s="1" t="s">
        <v>57</v>
      </c>
    </row>
    <row r="22">
      <c r="A22" s="1">
        <v>30.0</v>
      </c>
      <c r="B22" s="2">
        <v>45761.48596064815</v>
      </c>
      <c r="C22" s="1" t="s">
        <v>54</v>
      </c>
      <c r="D22" s="1">
        <v>2.0</v>
      </c>
      <c r="E22" s="1" t="s">
        <v>11</v>
      </c>
      <c r="F22" s="1" t="s">
        <v>12</v>
      </c>
      <c r="G22" s="1" t="s">
        <v>20</v>
      </c>
      <c r="H22" s="1">
        <v>96291.8</v>
      </c>
      <c r="I22" s="1" t="s">
        <v>14</v>
      </c>
      <c r="J22" s="1" t="s">
        <v>58</v>
      </c>
    </row>
    <row r="23">
      <c r="A23" s="1">
        <v>31.0</v>
      </c>
      <c r="B23" s="2">
        <v>45761.491111111114</v>
      </c>
      <c r="C23" s="1" t="s">
        <v>59</v>
      </c>
      <c r="D23" s="1">
        <v>2.0</v>
      </c>
      <c r="E23" s="1" t="s">
        <v>11</v>
      </c>
      <c r="F23" s="1" t="s">
        <v>12</v>
      </c>
      <c r="G23" s="1" t="s">
        <v>55</v>
      </c>
      <c r="H23" s="1">
        <v>380016.3</v>
      </c>
      <c r="I23" s="1" t="s">
        <v>60</v>
      </c>
      <c r="J23" s="1" t="s">
        <v>61</v>
      </c>
    </row>
    <row r="24">
      <c r="A24" s="1">
        <v>32.0</v>
      </c>
      <c r="B24" s="2">
        <v>45762.51777777778</v>
      </c>
      <c r="C24" s="1" t="s">
        <v>62</v>
      </c>
      <c r="D24" s="1">
        <v>2.0</v>
      </c>
      <c r="E24" s="1" t="s">
        <v>11</v>
      </c>
      <c r="F24" s="1" t="s">
        <v>12</v>
      </c>
      <c r="G24" s="1" t="s">
        <v>13</v>
      </c>
      <c r="H24" s="1">
        <v>874800.0</v>
      </c>
      <c r="I24" s="1" t="s">
        <v>14</v>
      </c>
      <c r="J24" s="1" t="s">
        <v>63</v>
      </c>
    </row>
    <row r="25">
      <c r="A25" s="1">
        <v>33.0</v>
      </c>
      <c r="B25" s="2">
        <v>45762.51886574074</v>
      </c>
      <c r="C25" s="1" t="s">
        <v>62</v>
      </c>
      <c r="D25" s="1">
        <v>2.0</v>
      </c>
      <c r="E25" s="1" t="s">
        <v>11</v>
      </c>
      <c r="F25" s="1" t="s">
        <v>12</v>
      </c>
      <c r="G25" s="1" t="s">
        <v>13</v>
      </c>
      <c r="H25" s="1">
        <v>168000.0</v>
      </c>
      <c r="I25" s="1" t="s">
        <v>14</v>
      </c>
      <c r="J25" s="1" t="s">
        <v>64</v>
      </c>
    </row>
    <row r="26">
      <c r="A26" s="1">
        <v>34.0</v>
      </c>
      <c r="B26" s="2">
        <v>45762.73030092593</v>
      </c>
      <c r="C26" s="1" t="s">
        <v>65</v>
      </c>
      <c r="D26" s="1">
        <v>1.0</v>
      </c>
      <c r="E26" s="1" t="s">
        <v>11</v>
      </c>
      <c r="F26" s="1" t="s">
        <v>12</v>
      </c>
      <c r="G26" s="1" t="s">
        <v>55</v>
      </c>
      <c r="H26" s="1">
        <v>208362.0</v>
      </c>
      <c r="I26" s="1" t="s">
        <v>14</v>
      </c>
      <c r="J26" s="1" t="s">
        <v>25</v>
      </c>
    </row>
    <row r="27">
      <c r="A27" s="1">
        <v>35.0</v>
      </c>
      <c r="B27" s="2">
        <v>45762.73516203704</v>
      </c>
      <c r="C27" s="1" t="s">
        <v>66</v>
      </c>
      <c r="D27" s="1">
        <v>2.0</v>
      </c>
      <c r="E27" s="1" t="s">
        <v>11</v>
      </c>
      <c r="F27" s="1" t="s">
        <v>12</v>
      </c>
      <c r="G27" s="1" t="s">
        <v>13</v>
      </c>
      <c r="H27" s="1">
        <v>271896.3</v>
      </c>
      <c r="I27" s="1" t="s">
        <v>60</v>
      </c>
      <c r="J27" s="1" t="s">
        <v>67</v>
      </c>
    </row>
    <row r="28">
      <c r="A28" s="1">
        <v>36.0</v>
      </c>
      <c r="B28" s="2">
        <v>45763.50980324074</v>
      </c>
      <c r="C28" s="1" t="s">
        <v>68</v>
      </c>
      <c r="D28" s="1">
        <v>2.0</v>
      </c>
      <c r="E28" s="1" t="s">
        <v>11</v>
      </c>
      <c r="F28" s="1" t="s">
        <v>12</v>
      </c>
      <c r="G28" s="1" t="s">
        <v>13</v>
      </c>
      <c r="H28" s="1">
        <v>795771.18</v>
      </c>
      <c r="I28" s="1" t="s">
        <v>14</v>
      </c>
      <c r="J28" s="1" t="s">
        <v>69</v>
      </c>
    </row>
    <row r="29">
      <c r="A29" s="1">
        <v>37.0</v>
      </c>
      <c r="B29" s="2">
        <v>45763.51100694444</v>
      </c>
      <c r="C29" s="1" t="s">
        <v>68</v>
      </c>
      <c r="D29" s="1">
        <v>2.0</v>
      </c>
      <c r="E29" s="1" t="s">
        <v>11</v>
      </c>
      <c r="F29" s="1" t="s">
        <v>23</v>
      </c>
      <c r="G29" s="1" t="s">
        <v>13</v>
      </c>
      <c r="H29" s="1">
        <v>735490.38</v>
      </c>
      <c r="I29" s="1" t="s">
        <v>14</v>
      </c>
      <c r="J29" s="1" t="s">
        <v>70</v>
      </c>
    </row>
    <row r="30">
      <c r="A30" s="1">
        <v>38.0</v>
      </c>
      <c r="B30" s="2">
        <v>45763.513125</v>
      </c>
      <c r="C30" s="1" t="s">
        <v>68</v>
      </c>
      <c r="D30" s="1">
        <v>1.0</v>
      </c>
      <c r="E30" s="1" t="s">
        <v>11</v>
      </c>
      <c r="F30" s="1" t="s">
        <v>12</v>
      </c>
      <c r="G30" s="1" t="s">
        <v>13</v>
      </c>
      <c r="H30" s="1">
        <v>120000.0</v>
      </c>
      <c r="I30" s="1" t="s">
        <v>14</v>
      </c>
      <c r="J30" s="1" t="s">
        <v>71</v>
      </c>
    </row>
    <row r="31">
      <c r="A31" s="1">
        <v>39.0</v>
      </c>
      <c r="B31" s="2">
        <v>45763.51631944445</v>
      </c>
      <c r="C31" s="1" t="s">
        <v>72</v>
      </c>
      <c r="D31" s="1">
        <v>2.0</v>
      </c>
      <c r="E31" s="1" t="s">
        <v>11</v>
      </c>
      <c r="F31" s="1" t="s">
        <v>12</v>
      </c>
      <c r="G31" s="1" t="s">
        <v>38</v>
      </c>
      <c r="H31" s="1">
        <v>192339.0</v>
      </c>
      <c r="I31" s="1" t="s">
        <v>14</v>
      </c>
      <c r="J31" s="1" t="s">
        <v>73</v>
      </c>
    </row>
    <row r="32">
      <c r="A32" s="1">
        <v>40.0</v>
      </c>
      <c r="B32" s="2">
        <v>45763.525416666664</v>
      </c>
      <c r="C32" s="1" t="s">
        <v>74</v>
      </c>
      <c r="D32" s="1">
        <v>2.0</v>
      </c>
      <c r="E32" s="1" t="s">
        <v>11</v>
      </c>
      <c r="F32" s="1" t="s">
        <v>12</v>
      </c>
      <c r="G32" s="1" t="s">
        <v>13</v>
      </c>
      <c r="H32" s="1">
        <v>530280.8</v>
      </c>
      <c r="I32" s="1" t="s">
        <v>14</v>
      </c>
      <c r="J32" s="1" t="s">
        <v>75</v>
      </c>
    </row>
    <row r="33">
      <c r="A33" s="1">
        <v>41.0</v>
      </c>
      <c r="B33" s="2">
        <v>45763.52717592593</v>
      </c>
      <c r="C33" s="1" t="s">
        <v>74</v>
      </c>
      <c r="D33" s="1">
        <v>2.0</v>
      </c>
      <c r="E33" s="1" t="s">
        <v>11</v>
      </c>
      <c r="F33" s="1" t="s">
        <v>12</v>
      </c>
      <c r="G33" s="1" t="s">
        <v>13</v>
      </c>
      <c r="H33" s="1">
        <v>238120.56</v>
      </c>
      <c r="I33" s="1" t="s">
        <v>14</v>
      </c>
      <c r="J33" s="1" t="s">
        <v>76</v>
      </c>
    </row>
    <row r="34">
      <c r="A34" s="1">
        <v>42.0</v>
      </c>
      <c r="B34" s="2">
        <v>45769.707708333335</v>
      </c>
      <c r="C34" s="1" t="s">
        <v>77</v>
      </c>
      <c r="D34" s="1">
        <v>2.0</v>
      </c>
      <c r="E34" s="1" t="s">
        <v>78</v>
      </c>
      <c r="F34" s="1" t="s">
        <v>12</v>
      </c>
      <c r="G34" s="1" t="s">
        <v>13</v>
      </c>
      <c r="H34" s="1">
        <v>114000.0</v>
      </c>
      <c r="I34" s="1" t="s">
        <v>14</v>
      </c>
      <c r="J34" s="1" t="s">
        <v>25</v>
      </c>
    </row>
    <row r="35">
      <c r="A35" s="1">
        <v>43.0</v>
      </c>
      <c r="B35" s="2">
        <v>45769.74511574074</v>
      </c>
      <c r="C35" s="1" t="s">
        <v>79</v>
      </c>
      <c r="D35" s="1">
        <v>1.0</v>
      </c>
      <c r="E35" s="1" t="s">
        <v>78</v>
      </c>
      <c r="F35" s="1" t="s">
        <v>12</v>
      </c>
      <c r="G35" s="1" t="s">
        <v>80</v>
      </c>
      <c r="H35" s="1">
        <v>144000.0</v>
      </c>
      <c r="I35" s="1" t="s">
        <v>14</v>
      </c>
      <c r="J35" s="1" t="s">
        <v>25</v>
      </c>
    </row>
    <row r="36">
      <c r="A36" s="1">
        <v>44.0</v>
      </c>
      <c r="B36" s="2">
        <v>45769.747824074075</v>
      </c>
      <c r="C36" s="1" t="s">
        <v>81</v>
      </c>
      <c r="D36" s="1">
        <v>2.0</v>
      </c>
      <c r="E36" s="1" t="s">
        <v>78</v>
      </c>
      <c r="F36" s="1" t="s">
        <v>12</v>
      </c>
      <c r="G36" s="1" t="s">
        <v>28</v>
      </c>
      <c r="H36" s="1">
        <v>168000.0</v>
      </c>
      <c r="I36" s="1" t="s">
        <v>14</v>
      </c>
      <c r="J36" s="1" t="s">
        <v>25</v>
      </c>
    </row>
    <row r="37">
      <c r="A37" s="1">
        <v>45.0</v>
      </c>
      <c r="B37" s="2">
        <v>45769.74962962963</v>
      </c>
      <c r="C37" s="1" t="s">
        <v>82</v>
      </c>
      <c r="D37" s="1">
        <v>2.0</v>
      </c>
      <c r="E37" s="1" t="s">
        <v>83</v>
      </c>
      <c r="F37" s="1" t="s">
        <v>12</v>
      </c>
      <c r="G37" s="1" t="s">
        <v>13</v>
      </c>
      <c r="H37" s="1">
        <v>60000.0</v>
      </c>
      <c r="I37" s="1" t="s">
        <v>14</v>
      </c>
      <c r="J37" s="1" t="s">
        <v>84</v>
      </c>
    </row>
    <row r="38">
      <c r="A38" s="1">
        <v>46.0</v>
      </c>
      <c r="B38" s="2">
        <v>45769.75041666667</v>
      </c>
      <c r="C38" s="1" t="s">
        <v>85</v>
      </c>
      <c r="D38" s="1">
        <v>2.0</v>
      </c>
      <c r="E38" s="1" t="s">
        <v>83</v>
      </c>
      <c r="F38" s="1" t="s">
        <v>12</v>
      </c>
      <c r="G38" s="1" t="s">
        <v>13</v>
      </c>
      <c r="H38" s="1">
        <v>152000.0</v>
      </c>
      <c r="I38" s="1" t="s">
        <v>14</v>
      </c>
      <c r="J38" s="1" t="s">
        <v>84</v>
      </c>
    </row>
    <row r="39">
      <c r="A39" s="1">
        <v>47.0</v>
      </c>
      <c r="B39" s="2">
        <v>45769.75212962963</v>
      </c>
      <c r="C39" s="1" t="s">
        <v>86</v>
      </c>
      <c r="D39" s="1">
        <v>2.0</v>
      </c>
      <c r="E39" s="1" t="s">
        <v>83</v>
      </c>
      <c r="F39" s="1" t="s">
        <v>12</v>
      </c>
      <c r="G39" s="1" t="s">
        <v>13</v>
      </c>
      <c r="H39" s="1">
        <v>152000.0</v>
      </c>
      <c r="I39" s="1" t="s">
        <v>14</v>
      </c>
      <c r="J39" s="1" t="s">
        <v>84</v>
      </c>
    </row>
    <row r="40">
      <c r="A40" s="1">
        <v>48.0</v>
      </c>
      <c r="B40" s="2">
        <v>45769.75923611111</v>
      </c>
      <c r="C40" s="1" t="s">
        <v>87</v>
      </c>
      <c r="D40" s="1">
        <v>2.0</v>
      </c>
      <c r="E40" s="1" t="s">
        <v>78</v>
      </c>
      <c r="F40" s="1" t="s">
        <v>12</v>
      </c>
      <c r="G40" s="1" t="s">
        <v>28</v>
      </c>
      <c r="H40" s="1">
        <v>284531.56</v>
      </c>
      <c r="I40" s="1" t="s">
        <v>14</v>
      </c>
      <c r="J40" s="1" t="s">
        <v>88</v>
      </c>
    </row>
    <row r="41">
      <c r="A41" s="1">
        <v>49.0</v>
      </c>
      <c r="B41" s="2">
        <v>45770.80297453704</v>
      </c>
      <c r="C41" s="1" t="s">
        <v>42</v>
      </c>
      <c r="D41" s="1">
        <v>2.0</v>
      </c>
      <c r="E41" s="1" t="s">
        <v>89</v>
      </c>
      <c r="F41" s="1" t="s">
        <v>12</v>
      </c>
      <c r="G41" s="1" t="s">
        <v>20</v>
      </c>
      <c r="H41" s="1">
        <v>0.0</v>
      </c>
      <c r="I41" s="1" t="s">
        <v>14</v>
      </c>
      <c r="J41" s="1" t="s">
        <v>90</v>
      </c>
    </row>
    <row r="42">
      <c r="A42" s="1">
        <v>50.0</v>
      </c>
      <c r="B42" s="2">
        <v>45770.805081018516</v>
      </c>
      <c r="C42" s="1" t="s">
        <v>45</v>
      </c>
      <c r="D42" s="1">
        <v>2.0</v>
      </c>
      <c r="E42" s="1" t="s">
        <v>89</v>
      </c>
      <c r="F42" s="1" t="s">
        <v>12</v>
      </c>
      <c r="G42" s="1" t="s">
        <v>20</v>
      </c>
      <c r="H42" s="1">
        <v>0.0</v>
      </c>
      <c r="I42" s="1" t="s">
        <v>14</v>
      </c>
      <c r="J42" s="1" t="s">
        <v>91</v>
      </c>
    </row>
    <row r="43">
      <c r="A43" s="1">
        <v>51.0</v>
      </c>
      <c r="B43" s="2">
        <v>45770.806226851855</v>
      </c>
      <c r="C43" s="1" t="s">
        <v>40</v>
      </c>
      <c r="D43" s="1">
        <v>2.0</v>
      </c>
      <c r="E43" s="1" t="s">
        <v>83</v>
      </c>
      <c r="F43" s="1" t="s">
        <v>12</v>
      </c>
      <c r="G43" s="1" t="s">
        <v>20</v>
      </c>
      <c r="H43" s="1">
        <v>0.0</v>
      </c>
      <c r="I43" s="1" t="s">
        <v>14</v>
      </c>
      <c r="J43" s="1" t="s">
        <v>92</v>
      </c>
    </row>
    <row r="44">
      <c r="A44" s="1">
        <v>52.0</v>
      </c>
      <c r="B44" s="2">
        <v>45770.808842592596</v>
      </c>
      <c r="C44" s="1" t="s">
        <v>54</v>
      </c>
      <c r="D44" s="1">
        <v>2.0</v>
      </c>
      <c r="E44" s="1" t="s">
        <v>83</v>
      </c>
      <c r="F44" s="1" t="s">
        <v>12</v>
      </c>
      <c r="G44" s="1" t="s">
        <v>20</v>
      </c>
      <c r="H44" s="1">
        <v>136800.0</v>
      </c>
      <c r="I44" s="1" t="s">
        <v>14</v>
      </c>
      <c r="J44" s="1" t="s">
        <v>25</v>
      </c>
    </row>
    <row r="45">
      <c r="A45" s="1">
        <v>53.0</v>
      </c>
      <c r="B45" s="2">
        <v>45771.494363425925</v>
      </c>
      <c r="C45" s="1" t="s">
        <v>93</v>
      </c>
      <c r="D45" s="1">
        <v>2.0</v>
      </c>
      <c r="E45" s="1" t="s">
        <v>94</v>
      </c>
      <c r="F45" s="1" t="s">
        <v>12</v>
      </c>
      <c r="G45" s="1" t="s">
        <v>13</v>
      </c>
      <c r="H45" s="1">
        <v>176499.0</v>
      </c>
      <c r="I45" s="1" t="s">
        <v>14</v>
      </c>
      <c r="J45" s="1" t="s">
        <v>25</v>
      </c>
    </row>
    <row r="46">
      <c r="A46" s="1">
        <v>54.0</v>
      </c>
      <c r="B46" s="2">
        <v>45771.55075231481</v>
      </c>
      <c r="C46" s="1" t="s">
        <v>95</v>
      </c>
      <c r="D46" s="1">
        <v>2.0</v>
      </c>
      <c r="E46" s="1" t="s">
        <v>94</v>
      </c>
      <c r="F46" s="1" t="s">
        <v>12</v>
      </c>
      <c r="G46" s="1" t="s">
        <v>13</v>
      </c>
      <c r="H46" s="1">
        <v>127539.0</v>
      </c>
      <c r="I46" s="1" t="s">
        <v>14</v>
      </c>
      <c r="J46" s="1" t="s">
        <v>25</v>
      </c>
    </row>
    <row r="47">
      <c r="A47" s="1">
        <v>55.0</v>
      </c>
      <c r="B47" s="2">
        <v>45771.55511574074</v>
      </c>
      <c r="C47" s="1" t="s">
        <v>96</v>
      </c>
      <c r="D47" s="1">
        <v>2.0</v>
      </c>
      <c r="E47" s="1" t="s">
        <v>97</v>
      </c>
      <c r="F47" s="1" t="s">
        <v>12</v>
      </c>
      <c r="G47" s="1" t="s">
        <v>13</v>
      </c>
      <c r="H47" s="1">
        <v>248920.56</v>
      </c>
      <c r="I47" s="1" t="s">
        <v>14</v>
      </c>
      <c r="J47" s="1" t="s">
        <v>25</v>
      </c>
    </row>
    <row r="48">
      <c r="A48" s="1">
        <v>56.0</v>
      </c>
      <c r="B48" s="2">
        <v>45771.79675925926</v>
      </c>
      <c r="C48" s="1" t="s">
        <v>98</v>
      </c>
      <c r="D48" s="1">
        <v>1.0</v>
      </c>
      <c r="E48" s="1" t="s">
        <v>89</v>
      </c>
      <c r="F48" s="1" t="s">
        <v>12</v>
      </c>
      <c r="G48" s="1" t="s">
        <v>13</v>
      </c>
      <c r="H48" s="1">
        <v>136800.0</v>
      </c>
      <c r="I48" s="1" t="s">
        <v>14</v>
      </c>
      <c r="J48" s="1" t="s">
        <v>25</v>
      </c>
    </row>
    <row r="49">
      <c r="A49" s="1">
        <v>57.0</v>
      </c>
      <c r="B49" s="2">
        <v>45771.80116898148</v>
      </c>
      <c r="C49" s="1" t="s">
        <v>99</v>
      </c>
      <c r="D49" s="1">
        <v>2.0</v>
      </c>
      <c r="E49" s="1" t="s">
        <v>89</v>
      </c>
      <c r="F49" s="1" t="s">
        <v>12</v>
      </c>
      <c r="G49" s="1" t="s">
        <v>20</v>
      </c>
      <c r="H49" s="1">
        <v>458280.0</v>
      </c>
      <c r="I49" s="1" t="s">
        <v>14</v>
      </c>
      <c r="J49" s="1" t="s">
        <v>100</v>
      </c>
    </row>
    <row r="50">
      <c r="A50" s="1">
        <v>58.0</v>
      </c>
      <c r="B50" s="2">
        <v>45771.80353009259</v>
      </c>
      <c r="C50" s="1" t="s">
        <v>99</v>
      </c>
      <c r="D50" s="1">
        <v>1.0</v>
      </c>
      <c r="E50" s="1" t="s">
        <v>89</v>
      </c>
      <c r="F50" s="1" t="s">
        <v>12</v>
      </c>
      <c r="G50" s="1" t="s">
        <v>13</v>
      </c>
      <c r="H50" s="1">
        <v>129960.0</v>
      </c>
      <c r="I50" s="1" t="s">
        <v>48</v>
      </c>
      <c r="J50" s="1" t="s">
        <v>101</v>
      </c>
    </row>
    <row r="51">
      <c r="A51" s="1">
        <v>59.0</v>
      </c>
      <c r="B51" s="2">
        <v>45772.71194444445</v>
      </c>
      <c r="C51" s="1" t="s">
        <v>102</v>
      </c>
      <c r="D51" s="1">
        <v>2.0</v>
      </c>
      <c r="E51" s="1" t="s">
        <v>78</v>
      </c>
      <c r="F51" s="1" t="s">
        <v>12</v>
      </c>
      <c r="G51" s="1" t="s">
        <v>13</v>
      </c>
      <c r="H51" s="1">
        <v>260020.8</v>
      </c>
      <c r="I51" s="1" t="s">
        <v>14</v>
      </c>
      <c r="J51" s="1" t="s">
        <v>103</v>
      </c>
    </row>
    <row r="52">
      <c r="A52" s="1">
        <v>60.0</v>
      </c>
      <c r="B52" s="2">
        <v>45776.76084490741</v>
      </c>
      <c r="C52" s="1" t="s">
        <v>104</v>
      </c>
      <c r="D52" s="1">
        <v>2.0</v>
      </c>
      <c r="E52" s="1" t="s">
        <v>94</v>
      </c>
      <c r="F52" s="1" t="s">
        <v>12</v>
      </c>
      <c r="G52" s="1" t="s">
        <v>20</v>
      </c>
      <c r="H52" s="1">
        <v>42500.0</v>
      </c>
      <c r="I52" s="1" t="s">
        <v>60</v>
      </c>
      <c r="J52" s="1" t="s">
        <v>25</v>
      </c>
    </row>
    <row r="53">
      <c r="A53" s="1">
        <v>61.0</v>
      </c>
      <c r="B53" s="2">
        <v>45777.68462962963</v>
      </c>
      <c r="C53" s="1" t="s">
        <v>105</v>
      </c>
      <c r="D53" s="1">
        <v>1.0</v>
      </c>
      <c r="E53" s="1" t="s">
        <v>78</v>
      </c>
      <c r="F53" s="1" t="s">
        <v>12</v>
      </c>
      <c r="G53" s="1" t="s">
        <v>20</v>
      </c>
      <c r="H53" s="1">
        <v>6000.0</v>
      </c>
      <c r="I53" s="1" t="s">
        <v>14</v>
      </c>
      <c r="J53" s="1" t="s">
        <v>106</v>
      </c>
    </row>
    <row r="54">
      <c r="A54" s="1">
        <v>62.0</v>
      </c>
      <c r="B54" s="2">
        <v>45779.75373842593</v>
      </c>
      <c r="C54" s="1" t="s">
        <v>107</v>
      </c>
      <c r="D54" s="1">
        <v>2.0</v>
      </c>
      <c r="E54" s="1" t="s">
        <v>94</v>
      </c>
      <c r="F54" s="1" t="s">
        <v>12</v>
      </c>
      <c r="G54" s="1" t="s">
        <v>38</v>
      </c>
      <c r="H54" s="1">
        <v>598000.0</v>
      </c>
      <c r="I54" s="1" t="s">
        <v>14</v>
      </c>
      <c r="J54" s="1" t="s">
        <v>108</v>
      </c>
    </row>
    <row r="55">
      <c r="A55" s="1">
        <v>63.0</v>
      </c>
      <c r="B55" s="2">
        <v>45779.77630787037</v>
      </c>
      <c r="C55" s="1" t="s">
        <v>109</v>
      </c>
      <c r="D55" s="1">
        <v>2.0</v>
      </c>
      <c r="E55" s="1" t="s">
        <v>94</v>
      </c>
      <c r="F55" s="1" t="s">
        <v>12</v>
      </c>
      <c r="G55" s="1" t="s">
        <v>13</v>
      </c>
      <c r="H55" s="1">
        <v>710000.0</v>
      </c>
      <c r="I55" s="1" t="s">
        <v>14</v>
      </c>
      <c r="J55" s="1" t="s">
        <v>110</v>
      </c>
    </row>
    <row r="56">
      <c r="A56" s="1">
        <v>64.0</v>
      </c>
      <c r="B56" s="2">
        <v>45779.77715277778</v>
      </c>
      <c r="C56" s="1" t="s">
        <v>109</v>
      </c>
      <c r="D56" s="1">
        <v>2.0</v>
      </c>
      <c r="E56" s="1" t="s">
        <v>94</v>
      </c>
      <c r="F56" s="1" t="s">
        <v>12</v>
      </c>
      <c r="G56" s="1" t="s">
        <v>13</v>
      </c>
      <c r="H56" s="1">
        <v>0.0</v>
      </c>
      <c r="I56" s="1" t="s">
        <v>14</v>
      </c>
      <c r="J56" s="1" t="s">
        <v>111</v>
      </c>
    </row>
    <row r="57">
      <c r="A57" s="1">
        <v>65.0</v>
      </c>
      <c r="B57" s="2">
        <v>45782.79216435185</v>
      </c>
      <c r="C57" s="1" t="s">
        <v>112</v>
      </c>
      <c r="D57" s="1">
        <v>2.0</v>
      </c>
      <c r="E57" s="1" t="s">
        <v>78</v>
      </c>
      <c r="F57" s="1" t="s">
        <v>12</v>
      </c>
      <c r="G57" s="1" t="s">
        <v>13</v>
      </c>
      <c r="H57" s="1">
        <v>288715.95</v>
      </c>
      <c r="I57" s="1" t="s">
        <v>14</v>
      </c>
      <c r="J57" s="1" t="s">
        <v>25</v>
      </c>
    </row>
    <row r="58">
      <c r="A58" s="1">
        <v>66.0</v>
      </c>
      <c r="B58" s="2">
        <v>45783.69123842593</v>
      </c>
      <c r="C58" s="1" t="s">
        <v>113</v>
      </c>
      <c r="D58" s="1">
        <v>2.0</v>
      </c>
      <c r="E58" s="1" t="s">
        <v>89</v>
      </c>
      <c r="F58" s="1" t="s">
        <v>12</v>
      </c>
      <c r="G58" s="1" t="s">
        <v>20</v>
      </c>
      <c r="H58" s="1">
        <v>171968.56</v>
      </c>
      <c r="I58" s="1" t="s">
        <v>60</v>
      </c>
      <c r="J58" s="1" t="s">
        <v>25</v>
      </c>
    </row>
    <row r="59">
      <c r="A59" s="1">
        <v>67.0</v>
      </c>
      <c r="B59" s="2">
        <v>45784.728425925925</v>
      </c>
      <c r="C59" s="1" t="s">
        <v>114</v>
      </c>
      <c r="D59" s="1">
        <v>2.0</v>
      </c>
      <c r="E59" s="1" t="s">
        <v>83</v>
      </c>
      <c r="F59" s="1" t="s">
        <v>12</v>
      </c>
      <c r="G59" s="1" t="s">
        <v>28</v>
      </c>
      <c r="H59" s="1">
        <v>130000.0</v>
      </c>
      <c r="I59" s="1" t="s">
        <v>14</v>
      </c>
      <c r="J59" s="1" t="s">
        <v>115</v>
      </c>
    </row>
    <row r="60">
      <c r="A60" s="1">
        <v>68.0</v>
      </c>
      <c r="B60" s="2">
        <v>45784.73554398148</v>
      </c>
      <c r="C60" s="1" t="s">
        <v>116</v>
      </c>
      <c r="D60" s="1">
        <v>2.0</v>
      </c>
      <c r="E60" s="1" t="s">
        <v>89</v>
      </c>
      <c r="F60" s="1" t="s">
        <v>12</v>
      </c>
      <c r="G60" s="1" t="s">
        <v>117</v>
      </c>
      <c r="H60" s="1">
        <v>104818.56</v>
      </c>
      <c r="I60" s="1" t="s">
        <v>60</v>
      </c>
      <c r="J60" s="1" t="s">
        <v>25</v>
      </c>
    </row>
    <row r="61">
      <c r="A61" s="1">
        <v>69.0</v>
      </c>
      <c r="B61" s="2">
        <v>45789.42983796296</v>
      </c>
      <c r="C61" s="1" t="s">
        <v>118</v>
      </c>
      <c r="D61" s="1">
        <v>1.0</v>
      </c>
      <c r="E61" s="1" t="s">
        <v>119</v>
      </c>
      <c r="F61" s="1" t="s">
        <v>12</v>
      </c>
      <c r="G61" s="1" t="s">
        <v>20</v>
      </c>
      <c r="H61" s="1">
        <v>5000.0</v>
      </c>
      <c r="I61" s="1" t="s">
        <v>14</v>
      </c>
      <c r="J61" s="1" t="s">
        <v>25</v>
      </c>
    </row>
    <row r="62">
      <c r="A62" s="1">
        <v>70.0</v>
      </c>
      <c r="B62" s="2">
        <v>45789.46071759259</v>
      </c>
      <c r="C62" s="1" t="s">
        <v>120</v>
      </c>
      <c r="D62" s="1">
        <v>2.0</v>
      </c>
      <c r="E62" s="1" t="s">
        <v>78</v>
      </c>
      <c r="F62" s="1" t="s">
        <v>12</v>
      </c>
      <c r="G62" s="1" t="s">
        <v>38</v>
      </c>
      <c r="H62" s="1">
        <v>776037.6</v>
      </c>
      <c r="I62" s="1" t="s">
        <v>14</v>
      </c>
      <c r="J62" s="1" t="s">
        <v>121</v>
      </c>
    </row>
    <row r="63">
      <c r="A63" s="1">
        <v>71.0</v>
      </c>
      <c r="B63" s="2">
        <v>45789.46916666667</v>
      </c>
      <c r="C63" s="1" t="s">
        <v>120</v>
      </c>
      <c r="D63" s="1">
        <v>2.0</v>
      </c>
      <c r="E63" s="1" t="s">
        <v>78</v>
      </c>
      <c r="F63" s="1" t="s">
        <v>12</v>
      </c>
      <c r="G63" s="1" t="s">
        <v>38</v>
      </c>
      <c r="H63" s="1">
        <v>159961.0</v>
      </c>
      <c r="I63" s="1" t="s">
        <v>14</v>
      </c>
      <c r="J63" s="1" t="s">
        <v>122</v>
      </c>
    </row>
    <row r="64">
      <c r="A64" s="1">
        <v>72.0</v>
      </c>
      <c r="B64" s="2">
        <v>45789.55278935185</v>
      </c>
      <c r="C64" s="1" t="s">
        <v>123</v>
      </c>
      <c r="D64" s="1">
        <v>2.0</v>
      </c>
      <c r="E64" s="1" t="s">
        <v>94</v>
      </c>
      <c r="F64" s="1" t="s">
        <v>12</v>
      </c>
      <c r="G64" s="1" t="s">
        <v>13</v>
      </c>
      <c r="H64" s="1">
        <v>369319.9</v>
      </c>
      <c r="I64" s="1" t="s">
        <v>14</v>
      </c>
      <c r="J64" s="1" t="s">
        <v>124</v>
      </c>
    </row>
    <row r="65">
      <c r="A65" s="1">
        <v>73.0</v>
      </c>
      <c r="B65" s="2">
        <v>45790.5190162037</v>
      </c>
      <c r="C65" s="1" t="s">
        <v>125</v>
      </c>
      <c r="D65" s="1">
        <v>2.0</v>
      </c>
      <c r="E65" s="1" t="s">
        <v>89</v>
      </c>
      <c r="F65" s="1" t="s">
        <v>12</v>
      </c>
      <c r="G65" s="1" t="s">
        <v>20</v>
      </c>
      <c r="H65" s="1">
        <v>220915.35</v>
      </c>
      <c r="I65" s="1" t="s">
        <v>14</v>
      </c>
      <c r="J65" s="1" t="s">
        <v>25</v>
      </c>
    </row>
    <row r="66">
      <c r="A66" s="1">
        <v>74.0</v>
      </c>
      <c r="B66" s="2">
        <v>45790.54959490741</v>
      </c>
      <c r="C66" s="1" t="s">
        <v>126</v>
      </c>
      <c r="D66" s="1">
        <v>2.0</v>
      </c>
      <c r="E66" s="1" t="s">
        <v>119</v>
      </c>
      <c r="F66" s="1" t="s">
        <v>12</v>
      </c>
      <c r="G66" s="1" t="s">
        <v>20</v>
      </c>
      <c r="H66" s="1">
        <v>63329.85</v>
      </c>
      <c r="I66" s="1" t="s">
        <v>31</v>
      </c>
      <c r="J66" s="1" t="s">
        <v>25</v>
      </c>
    </row>
    <row r="67">
      <c r="A67" s="1">
        <v>75.0</v>
      </c>
      <c r="B67" s="2">
        <v>45790.74737268518</v>
      </c>
      <c r="C67" s="1" t="s">
        <v>127</v>
      </c>
      <c r="D67" s="1">
        <v>2.0</v>
      </c>
      <c r="E67" s="1" t="s">
        <v>78</v>
      </c>
      <c r="F67" s="1" t="s">
        <v>12</v>
      </c>
      <c r="G67" s="1" t="s">
        <v>20</v>
      </c>
      <c r="H67" s="1">
        <v>135000.0</v>
      </c>
      <c r="I67" s="1" t="s">
        <v>43</v>
      </c>
      <c r="J67" s="1" t="s">
        <v>25</v>
      </c>
    </row>
    <row r="68">
      <c r="A68" s="1">
        <v>76.0</v>
      </c>
      <c r="B68" s="2">
        <v>45790.75115740741</v>
      </c>
      <c r="C68" s="1" t="s">
        <v>128</v>
      </c>
      <c r="D68" s="1">
        <v>2.0</v>
      </c>
      <c r="E68" s="1" t="s">
        <v>129</v>
      </c>
      <c r="F68" s="1" t="s">
        <v>12</v>
      </c>
      <c r="G68" s="1" t="s">
        <v>20</v>
      </c>
      <c r="H68" s="1">
        <v>179660.15</v>
      </c>
      <c r="I68" s="1" t="s">
        <v>48</v>
      </c>
      <c r="J68" s="1" t="s">
        <v>130</v>
      </c>
    </row>
    <row r="69">
      <c r="A69" s="1">
        <v>77.0</v>
      </c>
      <c r="B69" s="2">
        <v>45790.75515046297</v>
      </c>
      <c r="C69" s="1" t="s">
        <v>113</v>
      </c>
      <c r="D69" s="1">
        <v>2.0</v>
      </c>
      <c r="E69" s="1" t="s">
        <v>119</v>
      </c>
      <c r="F69" s="1" t="s">
        <v>12</v>
      </c>
      <c r="G69" s="1" t="s">
        <v>131</v>
      </c>
      <c r="H69" s="1">
        <v>62500.0</v>
      </c>
      <c r="I69" s="1" t="s">
        <v>14</v>
      </c>
      <c r="J69" s="1" t="s">
        <v>132</v>
      </c>
    </row>
    <row r="70">
      <c r="A70" s="1">
        <v>78.0</v>
      </c>
      <c r="B70" s="2">
        <v>45790.76482638889</v>
      </c>
      <c r="C70" s="1" t="s">
        <v>133</v>
      </c>
      <c r="D70" s="1">
        <v>2.0</v>
      </c>
      <c r="E70" s="1" t="s">
        <v>83</v>
      </c>
      <c r="F70" s="1" t="s">
        <v>12</v>
      </c>
      <c r="G70" s="1" t="s">
        <v>20</v>
      </c>
      <c r="H70" s="1">
        <v>322415.95</v>
      </c>
      <c r="I70" s="1" t="s">
        <v>14</v>
      </c>
      <c r="J70" s="1" t="s">
        <v>25</v>
      </c>
    </row>
    <row r="71">
      <c r="A71" s="1">
        <v>79.0</v>
      </c>
      <c r="B71" s="2">
        <v>45792.428935185184</v>
      </c>
      <c r="C71" s="1" t="s">
        <v>134</v>
      </c>
      <c r="D71" s="1">
        <v>2.0</v>
      </c>
      <c r="E71" s="1" t="s">
        <v>83</v>
      </c>
      <c r="F71" s="1" t="s">
        <v>23</v>
      </c>
      <c r="G71" s="1" t="s">
        <v>131</v>
      </c>
      <c r="H71" s="1">
        <v>1305000.0</v>
      </c>
      <c r="I71" s="1" t="s">
        <v>14</v>
      </c>
      <c r="J71" s="1" t="s">
        <v>135</v>
      </c>
    </row>
    <row r="72">
      <c r="A72" s="1">
        <v>80.0</v>
      </c>
      <c r="B72" s="2">
        <v>45793.69112268519</v>
      </c>
      <c r="C72" s="1" t="s">
        <v>136</v>
      </c>
      <c r="D72" s="1">
        <v>2.0</v>
      </c>
      <c r="E72" s="1" t="s">
        <v>83</v>
      </c>
      <c r="F72" s="1" t="s">
        <v>12</v>
      </c>
      <c r="G72" s="1" t="s">
        <v>38</v>
      </c>
      <c r="H72" s="1">
        <v>145900.0</v>
      </c>
      <c r="I72" s="1" t="s">
        <v>14</v>
      </c>
      <c r="J72" s="1" t="s">
        <v>25</v>
      </c>
    </row>
    <row r="73">
      <c r="A73" s="1">
        <v>81.0</v>
      </c>
      <c r="B73" s="2">
        <v>45793.80163194444</v>
      </c>
      <c r="C73" s="1" t="s">
        <v>137</v>
      </c>
      <c r="D73" s="1">
        <v>2.0</v>
      </c>
      <c r="E73" s="1" t="s">
        <v>78</v>
      </c>
      <c r="F73" s="1" t="s">
        <v>12</v>
      </c>
      <c r="G73" s="1" t="s">
        <v>131</v>
      </c>
      <c r="H73" s="1">
        <v>30000.0</v>
      </c>
      <c r="I73" s="1" t="s">
        <v>14</v>
      </c>
      <c r="J73" s="1" t="s">
        <v>138</v>
      </c>
    </row>
    <row r="74">
      <c r="A74" s="1">
        <v>82.0</v>
      </c>
      <c r="B74" s="2">
        <v>45794.54553240741</v>
      </c>
      <c r="C74" s="1" t="s">
        <v>139</v>
      </c>
      <c r="D74" s="1">
        <v>2.0</v>
      </c>
      <c r="E74" s="1" t="s">
        <v>129</v>
      </c>
      <c r="F74" s="1" t="s">
        <v>12</v>
      </c>
      <c r="G74" s="1" t="s">
        <v>13</v>
      </c>
      <c r="H74" s="1">
        <v>351200.0</v>
      </c>
      <c r="I74" s="1" t="s">
        <v>14</v>
      </c>
      <c r="J74" s="1" t="s">
        <v>140</v>
      </c>
    </row>
    <row r="75">
      <c r="A75" s="1">
        <v>83.0</v>
      </c>
      <c r="B75" s="2">
        <v>45796.83721064815</v>
      </c>
      <c r="C75" s="1" t="s">
        <v>141</v>
      </c>
      <c r="D75" s="1">
        <v>2.0</v>
      </c>
      <c r="E75" s="1" t="s">
        <v>83</v>
      </c>
      <c r="F75" s="1" t="s">
        <v>12</v>
      </c>
      <c r="G75" s="1" t="s">
        <v>131</v>
      </c>
      <c r="H75" s="1">
        <v>152651.87</v>
      </c>
      <c r="I75" s="1" t="s">
        <v>60</v>
      </c>
      <c r="J75" s="1" t="s">
        <v>25</v>
      </c>
    </row>
    <row r="76">
      <c r="A76" s="1">
        <v>84.0</v>
      </c>
      <c r="B76" s="2">
        <v>45798.392905092594</v>
      </c>
      <c r="C76" s="1" t="s">
        <v>142</v>
      </c>
      <c r="D76" s="1">
        <v>1.0</v>
      </c>
      <c r="E76" s="1" t="s">
        <v>119</v>
      </c>
      <c r="F76" s="1" t="s">
        <v>12</v>
      </c>
      <c r="G76" s="1" t="s">
        <v>13</v>
      </c>
      <c r="H76" s="1">
        <v>283392.0</v>
      </c>
      <c r="I76" s="1" t="s">
        <v>14</v>
      </c>
      <c r="J76" s="1" t="s">
        <v>25</v>
      </c>
    </row>
    <row r="77">
      <c r="A77" s="1">
        <v>85.0</v>
      </c>
      <c r="B77" s="2">
        <v>45798.40012731482</v>
      </c>
      <c r="C77" s="1" t="s">
        <v>143</v>
      </c>
      <c r="D77" s="1">
        <v>2.0</v>
      </c>
      <c r="E77" s="1" t="s">
        <v>89</v>
      </c>
      <c r="F77" s="1" t="s">
        <v>12</v>
      </c>
      <c r="G77" s="1" t="s">
        <v>13</v>
      </c>
      <c r="H77" s="1">
        <v>650000.0</v>
      </c>
      <c r="I77" s="1" t="s">
        <v>14</v>
      </c>
      <c r="J77" s="1" t="s">
        <v>144</v>
      </c>
    </row>
    <row r="78">
      <c r="A78" s="1">
        <v>86.0</v>
      </c>
      <c r="B78" s="2">
        <v>45798.405625</v>
      </c>
      <c r="C78" s="1" t="s">
        <v>143</v>
      </c>
      <c r="D78" s="1">
        <v>2.0</v>
      </c>
      <c r="E78" s="1" t="s">
        <v>89</v>
      </c>
      <c r="F78" s="1" t="s">
        <v>12</v>
      </c>
      <c r="G78" s="1" t="s">
        <v>13</v>
      </c>
      <c r="H78" s="1">
        <v>30000.0</v>
      </c>
      <c r="I78" s="1" t="s">
        <v>14</v>
      </c>
      <c r="J78" s="1" t="s">
        <v>145</v>
      </c>
    </row>
    <row r="79">
      <c r="A79" s="1">
        <v>87.0</v>
      </c>
      <c r="B79" s="2">
        <v>45798.71952546296</v>
      </c>
      <c r="C79" s="1" t="s">
        <v>146</v>
      </c>
      <c r="D79" s="1">
        <v>2.0</v>
      </c>
      <c r="E79" s="1" t="s">
        <v>89</v>
      </c>
      <c r="F79" s="1" t="s">
        <v>12</v>
      </c>
      <c r="G79" s="1" t="s">
        <v>131</v>
      </c>
      <c r="H79" s="1">
        <v>170000.0</v>
      </c>
      <c r="I79" s="1" t="s">
        <v>14</v>
      </c>
      <c r="J79" s="1" t="s">
        <v>25</v>
      </c>
    </row>
    <row r="80">
      <c r="A80" s="1">
        <v>88.0</v>
      </c>
      <c r="B80" s="2">
        <v>45798.802453703705</v>
      </c>
      <c r="C80" s="1" t="s">
        <v>147</v>
      </c>
      <c r="D80" s="1">
        <v>2.0</v>
      </c>
      <c r="E80" s="1" t="s">
        <v>89</v>
      </c>
      <c r="F80" s="1" t="s">
        <v>12</v>
      </c>
      <c r="G80" s="1" t="s">
        <v>20</v>
      </c>
      <c r="H80" s="1">
        <v>149586.89</v>
      </c>
      <c r="I80" s="1" t="s">
        <v>14</v>
      </c>
      <c r="J80" s="1" t="s">
        <v>25</v>
      </c>
    </row>
    <row r="81">
      <c r="A81" s="1">
        <v>89.0</v>
      </c>
      <c r="B81" s="2">
        <v>45799.7665162037</v>
      </c>
      <c r="C81" s="1" t="s">
        <v>148</v>
      </c>
      <c r="D81" s="1">
        <v>2.0</v>
      </c>
      <c r="E81" s="1" t="s">
        <v>78</v>
      </c>
      <c r="F81" s="1" t="s">
        <v>23</v>
      </c>
      <c r="G81" s="1" t="s">
        <v>20</v>
      </c>
      <c r="H81" s="1">
        <v>220314.0</v>
      </c>
      <c r="I81" s="1" t="s">
        <v>14</v>
      </c>
      <c r="J81" s="1" t="s">
        <v>149</v>
      </c>
    </row>
    <row r="82">
      <c r="A82" s="1">
        <v>90.0</v>
      </c>
      <c r="B82" s="2">
        <v>45800.668703703705</v>
      </c>
      <c r="C82" s="1" t="s">
        <v>137</v>
      </c>
      <c r="D82" s="1">
        <v>2.0</v>
      </c>
      <c r="E82" s="1" t="s">
        <v>78</v>
      </c>
      <c r="F82" s="1" t="s">
        <v>12</v>
      </c>
      <c r="G82" s="1" t="s">
        <v>13</v>
      </c>
      <c r="H82" s="1">
        <v>614037.6</v>
      </c>
      <c r="I82" s="1" t="s">
        <v>14</v>
      </c>
      <c r="J82" s="1" t="s">
        <v>150</v>
      </c>
    </row>
    <row r="83">
      <c r="A83" s="1">
        <v>91.0</v>
      </c>
      <c r="B83" s="2">
        <v>45800.66943287037</v>
      </c>
      <c r="C83" s="1" t="s">
        <v>137</v>
      </c>
      <c r="D83" s="1">
        <v>2.0</v>
      </c>
      <c r="E83" s="1" t="s">
        <v>78</v>
      </c>
      <c r="F83" s="1" t="s">
        <v>12</v>
      </c>
      <c r="G83" s="1" t="s">
        <v>20</v>
      </c>
      <c r="H83" s="1">
        <v>0.0</v>
      </c>
      <c r="I83" s="1" t="s">
        <v>14</v>
      </c>
      <c r="J83" s="1" t="s">
        <v>25</v>
      </c>
    </row>
    <row r="84">
      <c r="A84" s="1">
        <v>92.0</v>
      </c>
      <c r="B84" s="2">
        <v>45800.670902777776</v>
      </c>
      <c r="C84" s="1" t="s">
        <v>134</v>
      </c>
      <c r="D84" s="1">
        <v>1.0</v>
      </c>
      <c r="E84" s="1" t="s">
        <v>83</v>
      </c>
      <c r="F84" s="1" t="s">
        <v>12</v>
      </c>
      <c r="G84" s="1" t="s">
        <v>20</v>
      </c>
      <c r="H84" s="1">
        <v>143640.0</v>
      </c>
      <c r="I84" s="1" t="s">
        <v>14</v>
      </c>
      <c r="J84" s="1" t="s">
        <v>25</v>
      </c>
    </row>
    <row r="85">
      <c r="A85" s="1">
        <v>93.0</v>
      </c>
      <c r="B85" s="2">
        <v>45800.6775</v>
      </c>
      <c r="C85" s="1" t="s">
        <v>151</v>
      </c>
      <c r="D85" s="1">
        <v>2.0</v>
      </c>
      <c r="E85" s="1" t="s">
        <v>78</v>
      </c>
      <c r="F85" s="1" t="s">
        <v>12</v>
      </c>
      <c r="G85" s="1" t="s">
        <v>80</v>
      </c>
      <c r="H85" s="1">
        <v>212500.28</v>
      </c>
      <c r="I85" s="1" t="s">
        <v>14</v>
      </c>
      <c r="J85" s="1" t="s">
        <v>152</v>
      </c>
    </row>
    <row r="86">
      <c r="A86" s="1">
        <v>94.0</v>
      </c>
      <c r="B86" s="2">
        <v>45800.68425925926</v>
      </c>
      <c r="C86" s="1" t="s">
        <v>153</v>
      </c>
      <c r="D86" s="1">
        <v>2.0</v>
      </c>
      <c r="E86" s="1" t="s">
        <v>97</v>
      </c>
      <c r="F86" s="1" t="s">
        <v>12</v>
      </c>
      <c r="G86" s="1" t="s">
        <v>20</v>
      </c>
      <c r="H86" s="1">
        <v>623640.0</v>
      </c>
      <c r="I86" s="1" t="s">
        <v>14</v>
      </c>
      <c r="J86" s="1" t="s">
        <v>154</v>
      </c>
    </row>
    <row r="87">
      <c r="A87" s="1">
        <v>95.0</v>
      </c>
      <c r="B87" s="2">
        <v>45800.68702546296</v>
      </c>
      <c r="C87" s="1" t="s">
        <v>153</v>
      </c>
      <c r="D87" s="1">
        <v>2.0</v>
      </c>
      <c r="E87" s="1" t="s">
        <v>97</v>
      </c>
      <c r="F87" s="1" t="s">
        <v>12</v>
      </c>
      <c r="G87" s="1" t="s">
        <v>13</v>
      </c>
      <c r="H87" s="1">
        <v>143640.0</v>
      </c>
      <c r="I87" s="1" t="s">
        <v>14</v>
      </c>
      <c r="J87" s="1" t="s">
        <v>155</v>
      </c>
    </row>
    <row r="88">
      <c r="A88" s="1">
        <v>96.0</v>
      </c>
      <c r="B88" s="2">
        <v>45800.69414351852</v>
      </c>
      <c r="C88" s="1" t="s">
        <v>156</v>
      </c>
      <c r="D88" s="1">
        <v>2.0</v>
      </c>
      <c r="E88" s="1" t="s">
        <v>89</v>
      </c>
      <c r="F88" s="1" t="s">
        <v>12</v>
      </c>
      <c r="G88" s="1" t="s">
        <v>28</v>
      </c>
      <c r="H88" s="1">
        <v>130315.95</v>
      </c>
      <c r="I88" s="1" t="s">
        <v>14</v>
      </c>
      <c r="J88" s="1" t="s">
        <v>25</v>
      </c>
    </row>
    <row r="89">
      <c r="A89" s="1">
        <v>97.0</v>
      </c>
      <c r="B89" s="2">
        <v>45800.83131944444</v>
      </c>
      <c r="C89" s="1" t="s">
        <v>157</v>
      </c>
      <c r="D89" s="1">
        <v>2.0</v>
      </c>
      <c r="E89" s="1" t="s">
        <v>78</v>
      </c>
      <c r="F89" s="1" t="s">
        <v>12</v>
      </c>
      <c r="G89" s="1" t="s">
        <v>13</v>
      </c>
      <c r="H89" s="1">
        <v>205357.95</v>
      </c>
      <c r="I89" s="1" t="s">
        <v>14</v>
      </c>
      <c r="J89" s="1" t="s">
        <v>25</v>
      </c>
    </row>
    <row r="90">
      <c r="A90" s="1">
        <v>98.0</v>
      </c>
      <c r="B90" s="2">
        <v>45800.83325231481</v>
      </c>
      <c r="C90" s="1" t="s">
        <v>157</v>
      </c>
      <c r="D90" s="1">
        <v>2.0</v>
      </c>
      <c r="E90" s="1" t="s">
        <v>78</v>
      </c>
      <c r="F90" s="1" t="s">
        <v>12</v>
      </c>
      <c r="G90" s="1" t="s">
        <v>13</v>
      </c>
      <c r="H90" s="1">
        <v>150819.73</v>
      </c>
      <c r="I90" s="1" t="s">
        <v>14</v>
      </c>
      <c r="J90" s="1" t="s">
        <v>25</v>
      </c>
    </row>
    <row r="91">
      <c r="A91" s="1">
        <v>99.0</v>
      </c>
      <c r="B91" s="2">
        <v>45801.5340162037</v>
      </c>
      <c r="C91" s="1" t="s">
        <v>99</v>
      </c>
      <c r="D91" s="1">
        <v>1.0</v>
      </c>
      <c r="E91" s="1" t="s">
        <v>78</v>
      </c>
      <c r="F91" s="1" t="s">
        <v>12</v>
      </c>
      <c r="G91" s="1" t="s">
        <v>20</v>
      </c>
      <c r="H91" s="1">
        <v>214200.0</v>
      </c>
      <c r="I91" s="1" t="s">
        <v>60</v>
      </c>
      <c r="J91" s="1" t="s">
        <v>158</v>
      </c>
    </row>
    <row r="92">
      <c r="A92" s="1">
        <v>100.0</v>
      </c>
      <c r="B92" s="2">
        <v>45801.564479166664</v>
      </c>
      <c r="C92" s="1" t="s">
        <v>99</v>
      </c>
      <c r="D92" s="1">
        <v>1.0</v>
      </c>
      <c r="E92" s="1" t="s">
        <v>78</v>
      </c>
      <c r="F92" s="1" t="s">
        <v>12</v>
      </c>
      <c r="G92" s="1" t="s">
        <v>20</v>
      </c>
      <c r="H92" s="1">
        <v>78000.0</v>
      </c>
      <c r="I92" s="1" t="s">
        <v>14</v>
      </c>
      <c r="J92" s="1" t="s">
        <v>159</v>
      </c>
    </row>
    <row r="93">
      <c r="A93" s="1">
        <v>101.0</v>
      </c>
      <c r="B93" s="2">
        <v>45803.73048611111</v>
      </c>
      <c r="C93" s="1" t="s">
        <v>160</v>
      </c>
      <c r="D93" s="1">
        <v>2.0</v>
      </c>
      <c r="E93" s="1" t="s">
        <v>78</v>
      </c>
      <c r="F93" s="1" t="s">
        <v>12</v>
      </c>
      <c r="G93" s="1" t="s">
        <v>38</v>
      </c>
      <c r="H93" s="1">
        <v>99000.0</v>
      </c>
      <c r="I93" s="1" t="s">
        <v>14</v>
      </c>
      <c r="J93" s="1" t="s">
        <v>161</v>
      </c>
    </row>
    <row r="94">
      <c r="A94" s="1">
        <v>102.0</v>
      </c>
      <c r="B94" s="2">
        <v>45803.81</v>
      </c>
      <c r="C94" s="1" t="s">
        <v>162</v>
      </c>
      <c r="D94" s="1">
        <v>2.0</v>
      </c>
      <c r="E94" s="1" t="s">
        <v>94</v>
      </c>
      <c r="F94" s="1" t="s">
        <v>12</v>
      </c>
      <c r="G94" s="1" t="s">
        <v>20</v>
      </c>
      <c r="H94" s="1">
        <v>173420.0</v>
      </c>
      <c r="I94" s="1" t="s">
        <v>14</v>
      </c>
      <c r="J94" s="1" t="s">
        <v>163</v>
      </c>
    </row>
    <row r="95">
      <c r="A95" s="1">
        <v>103.0</v>
      </c>
      <c r="B95" s="2">
        <v>45803.82635416667</v>
      </c>
      <c r="C95" s="1" t="s">
        <v>164</v>
      </c>
      <c r="D95" s="1">
        <v>2.0</v>
      </c>
      <c r="E95" s="1" t="s">
        <v>94</v>
      </c>
      <c r="F95" s="1" t="s">
        <v>12</v>
      </c>
      <c r="G95" s="1" t="s">
        <v>20</v>
      </c>
      <c r="H95" s="1">
        <v>184000.0</v>
      </c>
      <c r="I95" s="1" t="s">
        <v>14</v>
      </c>
      <c r="J95" s="1" t="s">
        <v>165</v>
      </c>
    </row>
    <row r="96">
      <c r="A96" s="1">
        <v>104.0</v>
      </c>
      <c r="B96" s="2">
        <v>45805.49296296296</v>
      </c>
      <c r="C96" s="1" t="s">
        <v>166</v>
      </c>
      <c r="D96" s="1">
        <v>2.0</v>
      </c>
      <c r="E96" s="1" t="s">
        <v>89</v>
      </c>
      <c r="F96" s="1" t="s">
        <v>12</v>
      </c>
      <c r="G96" s="1" t="s">
        <v>13</v>
      </c>
      <c r="H96" s="1">
        <v>0.0</v>
      </c>
      <c r="I96" s="1" t="s">
        <v>14</v>
      </c>
      <c r="J96" s="1" t="s">
        <v>167</v>
      </c>
    </row>
    <row r="97">
      <c r="A97" s="1">
        <v>105.0</v>
      </c>
      <c r="B97" s="2">
        <v>45806.79127314815</v>
      </c>
      <c r="C97" s="1" t="s">
        <v>168</v>
      </c>
      <c r="D97" s="1">
        <v>2.0</v>
      </c>
      <c r="E97" s="1" t="s">
        <v>89</v>
      </c>
      <c r="F97" s="1" t="s">
        <v>12</v>
      </c>
      <c r="G97" s="1" t="s">
        <v>13</v>
      </c>
      <c r="H97" s="1">
        <v>258000.0</v>
      </c>
      <c r="I97" s="1" t="s">
        <v>14</v>
      </c>
      <c r="J97" s="1" t="s">
        <v>169</v>
      </c>
    </row>
    <row r="98">
      <c r="A98" s="1">
        <v>106.0</v>
      </c>
      <c r="B98" s="2">
        <v>45806.80025462963</v>
      </c>
      <c r="C98" s="1" t="s">
        <v>170</v>
      </c>
      <c r="D98" s="1">
        <v>2.0</v>
      </c>
      <c r="E98" s="1" t="s">
        <v>78</v>
      </c>
      <c r="F98" s="1" t="s">
        <v>12</v>
      </c>
      <c r="G98" s="1" t="s">
        <v>13</v>
      </c>
      <c r="H98" s="1">
        <v>99.0</v>
      </c>
      <c r="I98" s="1" t="s">
        <v>14</v>
      </c>
      <c r="J98" s="1" t="s">
        <v>25</v>
      </c>
    </row>
    <row r="99">
      <c r="A99" s="1">
        <v>107.0</v>
      </c>
      <c r="B99" s="2">
        <v>45806.81056712963</v>
      </c>
      <c r="C99" s="1" t="s">
        <v>171</v>
      </c>
      <c r="D99" s="1">
        <v>2.0</v>
      </c>
      <c r="E99" s="1" t="s">
        <v>89</v>
      </c>
      <c r="F99" s="1" t="s">
        <v>23</v>
      </c>
      <c r="G99" s="1" t="s">
        <v>131</v>
      </c>
      <c r="H99" s="1">
        <v>225260.03</v>
      </c>
      <c r="I99" s="1" t="s">
        <v>14</v>
      </c>
      <c r="J99" s="1" t="s">
        <v>25</v>
      </c>
    </row>
    <row r="100">
      <c r="A100" s="1">
        <v>108.0</v>
      </c>
      <c r="B100" s="2">
        <v>45806.81684027778</v>
      </c>
      <c r="C100" s="1" t="s">
        <v>171</v>
      </c>
      <c r="D100" s="1">
        <v>2.0</v>
      </c>
      <c r="E100" s="1" t="s">
        <v>89</v>
      </c>
      <c r="F100" s="1" t="s">
        <v>12</v>
      </c>
      <c r="G100" s="1" t="s">
        <v>131</v>
      </c>
      <c r="H100" s="1">
        <v>225539.0</v>
      </c>
      <c r="I100" s="1" t="s">
        <v>14</v>
      </c>
      <c r="J100" s="1" t="s">
        <v>172</v>
      </c>
    </row>
    <row r="101">
      <c r="A101" s="1">
        <v>109.0</v>
      </c>
      <c r="B101" s="2">
        <v>45808.54993055556</v>
      </c>
      <c r="C101" s="1" t="s">
        <v>173</v>
      </c>
      <c r="D101" s="1">
        <v>2.0</v>
      </c>
      <c r="E101" s="1" t="s">
        <v>89</v>
      </c>
      <c r="F101" s="1" t="s">
        <v>23</v>
      </c>
      <c r="G101" s="1" t="s">
        <v>13</v>
      </c>
      <c r="H101" s="1">
        <v>485574.0</v>
      </c>
      <c r="I101" s="1" t="s">
        <v>14</v>
      </c>
      <c r="J101" s="1" t="s">
        <v>25</v>
      </c>
    </row>
    <row r="102">
      <c r="A102" s="1">
        <v>110.0</v>
      </c>
      <c r="B102" s="2">
        <v>45808.55899305556</v>
      </c>
      <c r="C102" s="1" t="s">
        <v>173</v>
      </c>
      <c r="D102" s="1">
        <v>2.0</v>
      </c>
      <c r="E102" s="1" t="s">
        <v>89</v>
      </c>
      <c r="F102" s="1" t="s">
        <v>12</v>
      </c>
      <c r="G102" s="1" t="s">
        <v>13</v>
      </c>
      <c r="H102" s="1">
        <v>242596.0</v>
      </c>
      <c r="I102" s="1" t="s">
        <v>14</v>
      </c>
      <c r="J102" s="1" t="s">
        <v>174</v>
      </c>
    </row>
    <row r="103">
      <c r="A103" s="1">
        <v>111.0</v>
      </c>
      <c r="B103" s="2">
        <v>45808.58212962963</v>
      </c>
      <c r="C103" s="1" t="s">
        <v>175</v>
      </c>
      <c r="D103" s="1">
        <v>2.0</v>
      </c>
      <c r="E103" s="1" t="s">
        <v>94</v>
      </c>
      <c r="F103" s="1" t="s">
        <v>12</v>
      </c>
      <c r="G103" s="1" t="s">
        <v>20</v>
      </c>
      <c r="H103" s="1">
        <v>84000.0</v>
      </c>
      <c r="I103" s="1" t="s">
        <v>14</v>
      </c>
      <c r="J103" s="1" t="s">
        <v>176</v>
      </c>
    </row>
    <row r="104">
      <c r="A104" s="1">
        <v>112.0</v>
      </c>
      <c r="B104" s="2">
        <v>45808.60408564815</v>
      </c>
      <c r="C104" s="1" t="s">
        <v>175</v>
      </c>
      <c r="D104" s="1">
        <v>2.0</v>
      </c>
      <c r="E104" s="1" t="s">
        <v>94</v>
      </c>
      <c r="F104" s="1" t="s">
        <v>12</v>
      </c>
      <c r="G104" s="1" t="s">
        <v>20</v>
      </c>
      <c r="H104" s="1">
        <v>67000.0</v>
      </c>
      <c r="I104" s="1" t="s">
        <v>14</v>
      </c>
      <c r="J104" s="1" t="s">
        <v>25</v>
      </c>
    </row>
    <row r="105">
      <c r="A105" s="1">
        <v>113.0</v>
      </c>
      <c r="B105" s="2">
        <v>45808.63266203704</v>
      </c>
      <c r="C105" s="1" t="s">
        <v>177</v>
      </c>
      <c r="D105" s="1">
        <v>2.0</v>
      </c>
      <c r="E105" s="1" t="s">
        <v>119</v>
      </c>
      <c r="F105" s="1" t="s">
        <v>12</v>
      </c>
      <c r="G105" s="1" t="s">
        <v>20</v>
      </c>
      <c r="H105" s="1">
        <v>0.0</v>
      </c>
      <c r="I105" s="1" t="s">
        <v>14</v>
      </c>
      <c r="J105" s="1" t="s">
        <v>178</v>
      </c>
    </row>
    <row r="106">
      <c r="A106" s="1">
        <v>114.0</v>
      </c>
      <c r="B106" s="2">
        <v>45812.774375</v>
      </c>
      <c r="C106" s="1" t="s">
        <v>179</v>
      </c>
      <c r="D106" s="1">
        <v>2.0</v>
      </c>
      <c r="E106" s="1" t="s">
        <v>89</v>
      </c>
      <c r="F106" s="1" t="s">
        <v>12</v>
      </c>
      <c r="G106" s="1" t="s">
        <v>13</v>
      </c>
      <c r="H106" s="1">
        <v>362000.0</v>
      </c>
      <c r="I106" s="1" t="s">
        <v>14</v>
      </c>
      <c r="J106" s="1" t="s">
        <v>180</v>
      </c>
    </row>
    <row r="107">
      <c r="A107" s="1">
        <v>115.0</v>
      </c>
      <c r="B107" s="2">
        <v>45813.4903125</v>
      </c>
      <c r="C107" s="1" t="s">
        <v>181</v>
      </c>
      <c r="D107" s="1">
        <v>2.0</v>
      </c>
      <c r="E107" s="1" t="s">
        <v>83</v>
      </c>
      <c r="F107" s="1" t="s">
        <v>12</v>
      </c>
      <c r="G107" s="1" t="s">
        <v>13</v>
      </c>
      <c r="H107" s="1">
        <v>58315.95</v>
      </c>
      <c r="I107" s="1" t="s">
        <v>14</v>
      </c>
      <c r="J107" s="1" t="s">
        <v>25</v>
      </c>
    </row>
    <row r="108">
      <c r="A108" s="1">
        <v>116.0</v>
      </c>
      <c r="B108" s="2">
        <v>45814.49560185185</v>
      </c>
      <c r="C108" s="1" t="s">
        <v>182</v>
      </c>
      <c r="D108" s="1">
        <v>2.0</v>
      </c>
      <c r="E108" s="1" t="s">
        <v>94</v>
      </c>
      <c r="F108" s="1" t="s">
        <v>12</v>
      </c>
      <c r="G108" s="1" t="s">
        <v>20</v>
      </c>
      <c r="H108" s="1">
        <v>137773.91</v>
      </c>
      <c r="I108" s="1" t="s">
        <v>60</v>
      </c>
      <c r="J108" s="1" t="s">
        <v>183</v>
      </c>
    </row>
    <row r="109">
      <c r="A109" s="1">
        <v>117.0</v>
      </c>
      <c r="B109" s="2">
        <v>45817.51008101852</v>
      </c>
      <c r="C109" s="1" t="s">
        <v>184</v>
      </c>
      <c r="D109" s="1">
        <v>2.0</v>
      </c>
      <c r="E109" s="1" t="s">
        <v>83</v>
      </c>
      <c r="F109" s="1" t="s">
        <v>12</v>
      </c>
      <c r="G109" s="1" t="s">
        <v>13</v>
      </c>
      <c r="H109" s="1">
        <v>130315.95</v>
      </c>
      <c r="I109" s="1" t="s">
        <v>14</v>
      </c>
      <c r="J109" s="1" t="s">
        <v>25</v>
      </c>
    </row>
    <row r="110">
      <c r="A110" s="1">
        <v>118.0</v>
      </c>
      <c r="B110" s="2">
        <v>45817.518055555556</v>
      </c>
      <c r="C110" s="1" t="s">
        <v>185</v>
      </c>
      <c r="D110" s="1">
        <v>2.0</v>
      </c>
      <c r="E110" s="1" t="s">
        <v>97</v>
      </c>
      <c r="F110" s="1" t="s">
        <v>12</v>
      </c>
      <c r="G110" s="1" t="s">
        <v>13</v>
      </c>
      <c r="H110" s="1">
        <v>613037.6</v>
      </c>
      <c r="I110" s="1" t="s">
        <v>14</v>
      </c>
      <c r="J110" s="1" t="s">
        <v>186</v>
      </c>
    </row>
    <row r="111">
      <c r="A111" s="1">
        <v>119.0</v>
      </c>
      <c r="B111" s="2">
        <v>45817.524513888886</v>
      </c>
      <c r="C111" s="1" t="s">
        <v>187</v>
      </c>
      <c r="D111" s="1">
        <v>1.0</v>
      </c>
      <c r="E111" s="1" t="s">
        <v>97</v>
      </c>
      <c r="F111" s="1" t="s">
        <v>12</v>
      </c>
      <c r="G111" s="1" t="s">
        <v>13</v>
      </c>
      <c r="H111" s="1">
        <v>956000.0</v>
      </c>
      <c r="I111" s="1" t="s">
        <v>14</v>
      </c>
      <c r="J111" s="1" t="s">
        <v>25</v>
      </c>
    </row>
    <row r="112">
      <c r="A112" s="1">
        <v>120.0</v>
      </c>
      <c r="B112" s="2">
        <v>45817.539039351854</v>
      </c>
      <c r="C112" s="1" t="s">
        <v>188</v>
      </c>
      <c r="D112" s="1">
        <v>2.0</v>
      </c>
      <c r="E112" s="1" t="s">
        <v>97</v>
      </c>
      <c r="F112" s="1" t="s">
        <v>12</v>
      </c>
      <c r="G112" s="1" t="s">
        <v>28</v>
      </c>
      <c r="H112" s="1">
        <v>365000.0</v>
      </c>
      <c r="I112" s="1" t="s">
        <v>14</v>
      </c>
      <c r="J112" s="1" t="s">
        <v>25</v>
      </c>
    </row>
    <row r="113">
      <c r="A113" s="1">
        <v>121.0</v>
      </c>
      <c r="B113" s="2">
        <v>45817.723275462966</v>
      </c>
      <c r="C113" s="1" t="s">
        <v>189</v>
      </c>
      <c r="D113" s="1">
        <v>2.0</v>
      </c>
      <c r="E113" s="1" t="s">
        <v>78</v>
      </c>
      <c r="F113" s="1" t="s">
        <v>12</v>
      </c>
      <c r="G113" s="1" t="s">
        <v>20</v>
      </c>
      <c r="H113" s="1">
        <v>651950.0</v>
      </c>
      <c r="I113" s="1" t="s">
        <v>60</v>
      </c>
      <c r="J113" s="1" t="s">
        <v>25</v>
      </c>
    </row>
    <row r="114">
      <c r="A114" s="1">
        <v>122.0</v>
      </c>
      <c r="B114" s="2">
        <v>45817.726168981484</v>
      </c>
      <c r="C114" s="1" t="s">
        <v>189</v>
      </c>
      <c r="D114" s="1">
        <v>2.0</v>
      </c>
      <c r="E114" s="1" t="s">
        <v>78</v>
      </c>
      <c r="F114" s="1" t="s">
        <v>12</v>
      </c>
      <c r="G114" s="1" t="s">
        <v>20</v>
      </c>
      <c r="H114" s="1">
        <v>34000.0</v>
      </c>
      <c r="I114" s="1" t="s">
        <v>60</v>
      </c>
      <c r="J114" s="1" t="s">
        <v>190</v>
      </c>
    </row>
    <row r="115">
      <c r="A115" s="1">
        <v>123.0</v>
      </c>
      <c r="B115" s="2">
        <v>45817.811319444445</v>
      </c>
      <c r="C115" s="1" t="s">
        <v>191</v>
      </c>
      <c r="D115" s="1">
        <v>2.0</v>
      </c>
      <c r="E115" s="1" t="s">
        <v>89</v>
      </c>
      <c r="F115" s="1" t="s">
        <v>12</v>
      </c>
      <c r="G115" s="1" t="s">
        <v>13</v>
      </c>
      <c r="H115" s="1">
        <v>214782.97</v>
      </c>
      <c r="I115" s="1" t="s">
        <v>14</v>
      </c>
      <c r="J115" s="1" t="s">
        <v>25</v>
      </c>
    </row>
    <row r="116">
      <c r="A116" s="1">
        <v>124.0</v>
      </c>
      <c r="B116" s="2">
        <v>45818.78513888889</v>
      </c>
      <c r="C116" s="1" t="s">
        <v>192</v>
      </c>
      <c r="D116" s="1">
        <v>2.0</v>
      </c>
      <c r="E116" s="1" t="s">
        <v>89</v>
      </c>
      <c r="F116" s="1" t="s">
        <v>12</v>
      </c>
      <c r="G116" s="1" t="s">
        <v>20</v>
      </c>
      <c r="H116" s="1">
        <v>136340.0</v>
      </c>
      <c r="I116" s="1" t="s">
        <v>60</v>
      </c>
      <c r="J116" s="1" t="s">
        <v>25</v>
      </c>
    </row>
    <row r="117">
      <c r="A117" s="1">
        <v>125.0</v>
      </c>
      <c r="B117" s="2">
        <v>45818.80322916667</v>
      </c>
      <c r="C117" s="1" t="s">
        <v>193</v>
      </c>
      <c r="D117" s="1">
        <v>2.0</v>
      </c>
      <c r="E117" s="1" t="s">
        <v>89</v>
      </c>
      <c r="F117" s="1" t="s">
        <v>23</v>
      </c>
      <c r="G117" s="1" t="s">
        <v>20</v>
      </c>
      <c r="H117" s="1">
        <v>654120.0</v>
      </c>
      <c r="I117" s="1" t="s">
        <v>43</v>
      </c>
      <c r="J117" s="1" t="s">
        <v>194</v>
      </c>
    </row>
    <row r="118">
      <c r="A118" s="1">
        <v>126.0</v>
      </c>
      <c r="B118" s="2">
        <v>45818.81215277778</v>
      </c>
      <c r="C118" s="1" t="s">
        <v>193</v>
      </c>
      <c r="D118" s="1">
        <v>2.0</v>
      </c>
      <c r="E118" s="1" t="s">
        <v>89</v>
      </c>
      <c r="F118" s="1" t="s">
        <v>23</v>
      </c>
      <c r="G118" s="1" t="s">
        <v>20</v>
      </c>
      <c r="H118" s="1">
        <v>66800.0</v>
      </c>
      <c r="I118" s="1" t="s">
        <v>14</v>
      </c>
      <c r="J118" s="1" t="s">
        <v>25</v>
      </c>
    </row>
    <row r="119">
      <c r="A119" s="1">
        <v>127.0</v>
      </c>
      <c r="B119" s="2">
        <v>45821.727002314816</v>
      </c>
      <c r="C119" s="1" t="s">
        <v>195</v>
      </c>
      <c r="D119" s="1">
        <v>2.0</v>
      </c>
      <c r="E119" s="1" t="s">
        <v>89</v>
      </c>
      <c r="F119" s="1" t="s">
        <v>12</v>
      </c>
      <c r="G119" s="1" t="s">
        <v>20</v>
      </c>
      <c r="H119" s="1">
        <v>233826.15</v>
      </c>
      <c r="I119" s="1" t="s">
        <v>43</v>
      </c>
      <c r="J119" s="1" t="s">
        <v>196</v>
      </c>
    </row>
    <row r="120">
      <c r="A120" s="1">
        <v>128.0</v>
      </c>
      <c r="B120" s="2">
        <v>45821.75342592593</v>
      </c>
      <c r="C120" s="1" t="s">
        <v>197</v>
      </c>
      <c r="D120" s="1">
        <v>2.0</v>
      </c>
      <c r="E120" s="1" t="s">
        <v>78</v>
      </c>
      <c r="F120" s="1" t="s">
        <v>12</v>
      </c>
      <c r="G120" s="1" t="s">
        <v>131</v>
      </c>
      <c r="H120" s="1">
        <v>439485.16</v>
      </c>
      <c r="I120" s="1" t="s">
        <v>60</v>
      </c>
      <c r="J120" s="1" t="s">
        <v>198</v>
      </c>
    </row>
    <row r="121">
      <c r="A121" s="1">
        <v>129.0</v>
      </c>
      <c r="B121" s="2">
        <v>45821.78991898148</v>
      </c>
      <c r="C121" s="1" t="s">
        <v>199</v>
      </c>
      <c r="D121" s="1">
        <v>1.0</v>
      </c>
      <c r="E121" s="1" t="s">
        <v>78</v>
      </c>
      <c r="F121" s="1" t="s">
        <v>12</v>
      </c>
      <c r="G121" s="1" t="s">
        <v>20</v>
      </c>
      <c r="H121" s="1">
        <v>107100.0</v>
      </c>
      <c r="I121" s="1" t="s">
        <v>60</v>
      </c>
      <c r="J121" s="1" t="s">
        <v>25</v>
      </c>
    </row>
    <row r="122">
      <c r="A122" s="1">
        <v>130.0</v>
      </c>
      <c r="B122" s="2">
        <v>45825.53236111111</v>
      </c>
      <c r="C122" s="1" t="s">
        <v>200</v>
      </c>
      <c r="D122" s="1">
        <v>2.0</v>
      </c>
      <c r="E122" s="1" t="s">
        <v>201</v>
      </c>
      <c r="F122" s="1" t="s">
        <v>12</v>
      </c>
      <c r="G122" s="1" t="s">
        <v>13</v>
      </c>
      <c r="H122" s="1">
        <v>145585.8</v>
      </c>
      <c r="I122" s="1" t="s">
        <v>14</v>
      </c>
      <c r="J122" s="1" t="s">
        <v>25</v>
      </c>
    </row>
    <row r="123">
      <c r="A123" s="1">
        <v>131.0</v>
      </c>
      <c r="B123" s="2">
        <v>45827.39800925926</v>
      </c>
      <c r="C123" s="1" t="s">
        <v>202</v>
      </c>
      <c r="D123" s="1">
        <v>2.0</v>
      </c>
      <c r="E123" s="1" t="s">
        <v>119</v>
      </c>
      <c r="F123" s="1" t="s">
        <v>12</v>
      </c>
      <c r="G123" s="1" t="s">
        <v>20</v>
      </c>
      <c r="H123" s="1">
        <v>218000.0</v>
      </c>
      <c r="I123" s="1" t="s">
        <v>14</v>
      </c>
      <c r="J123" s="1" t="s">
        <v>25</v>
      </c>
    </row>
    <row r="124">
      <c r="A124" s="1">
        <v>132.0</v>
      </c>
      <c r="B124" s="2">
        <v>45829.554872685185</v>
      </c>
      <c r="C124" s="1" t="s">
        <v>203</v>
      </c>
      <c r="D124" s="1">
        <v>2.0</v>
      </c>
      <c r="E124" s="1" t="s">
        <v>97</v>
      </c>
      <c r="F124" s="1" t="s">
        <v>12</v>
      </c>
      <c r="G124" s="1" t="s">
        <v>13</v>
      </c>
      <c r="H124" s="1">
        <v>212000.0</v>
      </c>
      <c r="I124" s="1" t="s">
        <v>14</v>
      </c>
      <c r="J124" s="1" t="s">
        <v>204</v>
      </c>
    </row>
    <row r="125">
      <c r="A125" s="1">
        <v>133.0</v>
      </c>
      <c r="B125" s="2">
        <v>45832.52784722222</v>
      </c>
      <c r="C125" s="1" t="s">
        <v>205</v>
      </c>
      <c r="D125" s="1">
        <v>2.0</v>
      </c>
      <c r="E125" s="1" t="s">
        <v>119</v>
      </c>
      <c r="F125" s="1" t="s">
        <v>12</v>
      </c>
      <c r="G125" s="1" t="s">
        <v>131</v>
      </c>
      <c r="H125" s="1">
        <v>747420.0</v>
      </c>
      <c r="I125" s="1" t="s">
        <v>14</v>
      </c>
      <c r="J125" s="1" t="s">
        <v>206</v>
      </c>
    </row>
    <row r="126">
      <c r="A126" s="1">
        <v>134.0</v>
      </c>
      <c r="B126" s="2">
        <v>45834.739282407405</v>
      </c>
      <c r="C126" s="1" t="s">
        <v>207</v>
      </c>
      <c r="D126" s="1">
        <v>2.0</v>
      </c>
      <c r="E126" s="1" t="s">
        <v>89</v>
      </c>
      <c r="F126" s="1" t="s">
        <v>12</v>
      </c>
      <c r="G126" s="1" t="s">
        <v>20</v>
      </c>
      <c r="H126" s="1">
        <v>621000.0</v>
      </c>
      <c r="I126" s="1" t="s">
        <v>14</v>
      </c>
      <c r="J126" s="1" t="s">
        <v>208</v>
      </c>
    </row>
    <row r="127">
      <c r="A127" s="1">
        <v>135.0</v>
      </c>
      <c r="B127" s="2">
        <v>45834.80028935185</v>
      </c>
      <c r="C127" s="1" t="s">
        <v>209</v>
      </c>
      <c r="D127" s="1">
        <v>1.0</v>
      </c>
      <c r="E127" s="1" t="s">
        <v>119</v>
      </c>
      <c r="F127" s="1" t="s">
        <v>12</v>
      </c>
      <c r="G127" s="1" t="s">
        <v>13</v>
      </c>
      <c r="H127" s="1">
        <v>96000.0</v>
      </c>
      <c r="I127" s="1" t="s">
        <v>14</v>
      </c>
      <c r="J127" s="1" t="s">
        <v>25</v>
      </c>
    </row>
    <row r="128">
      <c r="A128" s="1">
        <v>136.0</v>
      </c>
      <c r="B128" s="2">
        <v>45834.80431712963</v>
      </c>
      <c r="C128" s="1" t="s">
        <v>210</v>
      </c>
      <c r="D128" s="1">
        <v>2.0</v>
      </c>
      <c r="E128" s="1" t="s">
        <v>89</v>
      </c>
      <c r="F128" s="1" t="s">
        <v>12</v>
      </c>
      <c r="G128" s="1" t="s">
        <v>13</v>
      </c>
      <c r="H128" s="1">
        <v>190000.0</v>
      </c>
      <c r="I128" s="1" t="s">
        <v>14</v>
      </c>
      <c r="J128" s="1" t="s">
        <v>25</v>
      </c>
    </row>
    <row r="129">
      <c r="A129" s="1">
        <v>137.0</v>
      </c>
      <c r="B129" s="2">
        <v>45834.80668981482</v>
      </c>
      <c r="C129" s="1" t="s">
        <v>211</v>
      </c>
      <c r="D129" s="1">
        <v>2.0</v>
      </c>
      <c r="E129" s="1" t="s">
        <v>89</v>
      </c>
      <c r="F129" s="1" t="s">
        <v>12</v>
      </c>
      <c r="G129" s="1" t="s">
        <v>13</v>
      </c>
      <c r="H129" s="1">
        <v>138000.0</v>
      </c>
      <c r="I129" s="1" t="s">
        <v>14</v>
      </c>
      <c r="J129" s="1" t="s">
        <v>25</v>
      </c>
    </row>
    <row r="130">
      <c r="A130" s="1">
        <v>138.0</v>
      </c>
      <c r="B130" s="2">
        <v>45834.811435185184</v>
      </c>
      <c r="C130" s="1" t="s">
        <v>212</v>
      </c>
      <c r="D130" s="1">
        <v>2.0</v>
      </c>
      <c r="E130" s="1" t="s">
        <v>89</v>
      </c>
      <c r="F130" s="1" t="s">
        <v>12</v>
      </c>
      <c r="G130" s="1" t="s">
        <v>13</v>
      </c>
      <c r="H130" s="1">
        <v>208000.0</v>
      </c>
      <c r="I130" s="1" t="s">
        <v>14</v>
      </c>
      <c r="J130" s="1" t="s">
        <v>25</v>
      </c>
    </row>
    <row r="131">
      <c r="A131" s="1">
        <v>139.0</v>
      </c>
      <c r="B131" s="2">
        <v>45834.81489583333</v>
      </c>
      <c r="C131" s="1" t="s">
        <v>213</v>
      </c>
      <c r="D131" s="1">
        <v>2.0</v>
      </c>
      <c r="E131" s="1" t="s">
        <v>94</v>
      </c>
      <c r="F131" s="1" t="s">
        <v>12</v>
      </c>
      <c r="G131" s="1" t="s">
        <v>13</v>
      </c>
      <c r="H131" s="1">
        <v>91000.0</v>
      </c>
      <c r="I131" s="1" t="s">
        <v>14</v>
      </c>
      <c r="J131" s="1" t="s">
        <v>25</v>
      </c>
    </row>
    <row r="132">
      <c r="A132" s="1">
        <v>140.0</v>
      </c>
      <c r="B132" s="2">
        <v>45834.87357638889</v>
      </c>
      <c r="C132" s="1" t="s">
        <v>214</v>
      </c>
      <c r="D132" s="1">
        <v>2.0</v>
      </c>
      <c r="E132" s="1" t="s">
        <v>89</v>
      </c>
      <c r="F132" s="1" t="s">
        <v>12</v>
      </c>
      <c r="G132" s="1" t="s">
        <v>131</v>
      </c>
      <c r="H132" s="1">
        <v>80750.0</v>
      </c>
      <c r="I132" s="1" t="s">
        <v>60</v>
      </c>
      <c r="J132" s="1" t="s">
        <v>25</v>
      </c>
    </row>
    <row r="133">
      <c r="A133" s="1">
        <v>141.0</v>
      </c>
      <c r="B133" s="2">
        <v>45834.87637731482</v>
      </c>
      <c r="C133" s="1" t="s">
        <v>215</v>
      </c>
      <c r="D133" s="1">
        <v>2.0</v>
      </c>
      <c r="E133" s="1" t="s">
        <v>89</v>
      </c>
      <c r="F133" s="1" t="s">
        <v>12</v>
      </c>
      <c r="G133" s="1" t="s">
        <v>131</v>
      </c>
      <c r="H133" s="1">
        <v>80750.0</v>
      </c>
      <c r="I133" s="1" t="s">
        <v>60</v>
      </c>
      <c r="J133" s="1" t="s">
        <v>25</v>
      </c>
    </row>
    <row r="134">
      <c r="A134" s="1">
        <v>142.0</v>
      </c>
      <c r="B134" s="2">
        <v>45834.87767361111</v>
      </c>
      <c r="C134" s="1" t="s">
        <v>216</v>
      </c>
      <c r="D134" s="1">
        <v>2.0</v>
      </c>
      <c r="E134" s="1" t="s">
        <v>89</v>
      </c>
      <c r="F134" s="1" t="s">
        <v>12</v>
      </c>
      <c r="G134" s="1" t="s">
        <v>20</v>
      </c>
      <c r="H134" s="1">
        <v>127500.0</v>
      </c>
      <c r="I134" s="1" t="s">
        <v>60</v>
      </c>
      <c r="J134" s="1" t="s">
        <v>25</v>
      </c>
    </row>
    <row r="135">
      <c r="A135" s="1">
        <v>143.0</v>
      </c>
      <c r="B135" s="2">
        <v>45834.88291666667</v>
      </c>
      <c r="C135" s="1" t="s">
        <v>217</v>
      </c>
      <c r="D135" s="1">
        <v>2.0</v>
      </c>
      <c r="E135" s="1" t="s">
        <v>201</v>
      </c>
      <c r="F135" s="1" t="s">
        <v>12</v>
      </c>
      <c r="G135" s="1" t="s">
        <v>13</v>
      </c>
      <c r="H135" s="1">
        <v>410000.0</v>
      </c>
      <c r="I135" s="1" t="s">
        <v>14</v>
      </c>
      <c r="J135" s="1" t="s">
        <v>218</v>
      </c>
    </row>
    <row r="136">
      <c r="A136" s="1">
        <v>144.0</v>
      </c>
      <c r="B136" s="2">
        <v>45836.561319444445</v>
      </c>
      <c r="C136" s="1" t="s">
        <v>219</v>
      </c>
      <c r="D136" s="1">
        <v>2.0</v>
      </c>
      <c r="E136" s="1" t="s">
        <v>83</v>
      </c>
      <c r="F136" s="1" t="s">
        <v>12</v>
      </c>
      <c r="G136" s="1" t="s">
        <v>13</v>
      </c>
      <c r="H136" s="1">
        <v>220000.0</v>
      </c>
      <c r="I136" s="1" t="s">
        <v>14</v>
      </c>
      <c r="J136" s="1" t="s">
        <v>220</v>
      </c>
    </row>
    <row r="137">
      <c r="A137" s="1">
        <v>145.0</v>
      </c>
      <c r="B137" s="2">
        <v>45836.563206018516</v>
      </c>
      <c r="C137" s="1" t="s">
        <v>221</v>
      </c>
      <c r="D137" s="1">
        <v>2.0</v>
      </c>
      <c r="E137" s="1" t="s">
        <v>83</v>
      </c>
      <c r="F137" s="1" t="s">
        <v>12</v>
      </c>
      <c r="G137" s="1" t="s">
        <v>13</v>
      </c>
      <c r="H137" s="1">
        <v>220000.0</v>
      </c>
      <c r="I137" s="1" t="s">
        <v>14</v>
      </c>
      <c r="J137" s="1" t="s">
        <v>222</v>
      </c>
    </row>
    <row r="138">
      <c r="A138" s="1">
        <v>146.0</v>
      </c>
      <c r="B138" s="2">
        <v>45836.5646875</v>
      </c>
      <c r="C138" s="1" t="s">
        <v>223</v>
      </c>
      <c r="D138" s="1">
        <v>2.0</v>
      </c>
      <c r="E138" s="1" t="s">
        <v>83</v>
      </c>
      <c r="F138" s="1" t="s">
        <v>12</v>
      </c>
      <c r="G138" s="1" t="s">
        <v>13</v>
      </c>
      <c r="H138" s="1">
        <v>220000.0</v>
      </c>
      <c r="I138" s="1" t="s">
        <v>14</v>
      </c>
      <c r="J138" s="1" t="s">
        <v>224</v>
      </c>
    </row>
    <row r="139">
      <c r="A139" s="1">
        <v>147.0</v>
      </c>
      <c r="B139" s="2">
        <v>45836.56600694444</v>
      </c>
      <c r="C139" s="1" t="s">
        <v>225</v>
      </c>
      <c r="D139" s="1">
        <v>2.0</v>
      </c>
      <c r="E139" s="1" t="s">
        <v>83</v>
      </c>
      <c r="F139" s="1" t="s">
        <v>12</v>
      </c>
      <c r="G139" s="1" t="s">
        <v>13</v>
      </c>
      <c r="H139" s="1">
        <v>220000.0</v>
      </c>
      <c r="I139" s="1" t="s">
        <v>14</v>
      </c>
      <c r="J139" s="1" t="s">
        <v>226</v>
      </c>
    </row>
    <row r="140">
      <c r="A140" s="1">
        <v>148.0</v>
      </c>
      <c r="B140" s="2">
        <v>45836.567025462966</v>
      </c>
      <c r="C140" s="1" t="s">
        <v>205</v>
      </c>
      <c r="D140" s="1">
        <v>2.0</v>
      </c>
      <c r="E140" s="1" t="s">
        <v>119</v>
      </c>
      <c r="F140" s="1" t="s">
        <v>12</v>
      </c>
      <c r="G140" s="1" t="s">
        <v>20</v>
      </c>
      <c r="H140" s="1">
        <v>0.0</v>
      </c>
      <c r="I140" s="1" t="s">
        <v>14</v>
      </c>
      <c r="J140" s="1" t="s">
        <v>227</v>
      </c>
    </row>
    <row r="141">
      <c r="A141" s="1">
        <v>149.0</v>
      </c>
      <c r="B141" s="2">
        <v>45836.57796296296</v>
      </c>
      <c r="C141" s="1" t="s">
        <v>228</v>
      </c>
      <c r="D141" s="1">
        <v>2.0</v>
      </c>
      <c r="E141" s="1" t="s">
        <v>89</v>
      </c>
      <c r="F141" s="1" t="s">
        <v>12</v>
      </c>
      <c r="G141" s="1" t="s">
        <v>13</v>
      </c>
      <c r="H141" s="1">
        <v>1018000.0</v>
      </c>
      <c r="I141" s="1" t="s">
        <v>14</v>
      </c>
      <c r="J141" s="1" t="s">
        <v>229</v>
      </c>
    </row>
    <row r="142">
      <c r="A142" s="1">
        <v>150.0</v>
      </c>
      <c r="B142" s="2">
        <v>45836.5787037037</v>
      </c>
      <c r="C142" s="1" t="s">
        <v>228</v>
      </c>
      <c r="D142" s="1">
        <v>2.0</v>
      </c>
      <c r="E142" s="1" t="s">
        <v>89</v>
      </c>
      <c r="F142" s="1" t="s">
        <v>12</v>
      </c>
      <c r="G142" s="1" t="s">
        <v>20</v>
      </c>
      <c r="H142" s="1">
        <v>0.0</v>
      </c>
      <c r="I142" s="1" t="s">
        <v>14</v>
      </c>
      <c r="J142" s="1" t="s">
        <v>230</v>
      </c>
    </row>
    <row r="143">
      <c r="A143" s="1">
        <v>151.0</v>
      </c>
      <c r="B143" s="2">
        <v>45836.57957175926</v>
      </c>
      <c r="C143" s="1" t="s">
        <v>228</v>
      </c>
      <c r="D143" s="1">
        <v>2.0</v>
      </c>
      <c r="E143" s="1" t="s">
        <v>89</v>
      </c>
      <c r="F143" s="1" t="s">
        <v>12</v>
      </c>
      <c r="G143" s="1" t="s">
        <v>20</v>
      </c>
      <c r="H143" s="1">
        <v>0.0</v>
      </c>
      <c r="I143" s="1" t="s">
        <v>14</v>
      </c>
      <c r="J143" s="1" t="s">
        <v>25</v>
      </c>
    </row>
    <row r="144">
      <c r="A144" s="1">
        <v>152.0</v>
      </c>
      <c r="B144" s="2">
        <v>45836.58247685185</v>
      </c>
      <c r="C144" s="1" t="s">
        <v>231</v>
      </c>
      <c r="D144" s="1">
        <v>2.0</v>
      </c>
      <c r="E144" s="1" t="s">
        <v>89</v>
      </c>
      <c r="F144" s="1" t="s">
        <v>23</v>
      </c>
      <c r="G144" s="1" t="s">
        <v>20</v>
      </c>
      <c r="H144" s="1">
        <v>1000000.0</v>
      </c>
      <c r="I144" s="1" t="s">
        <v>14</v>
      </c>
      <c r="J144" s="3" t="str">
        <f>+2.50 +0.25 180 ADD +3.75
+1.75 +0.25 180  +3.00</f>
        <v>#ERROR!</v>
      </c>
    </row>
    <row r="145">
      <c r="A145" s="1">
        <v>153.0</v>
      </c>
      <c r="B145" s="2">
        <v>45836.58331018518</v>
      </c>
      <c r="C145" s="1" t="s">
        <v>231</v>
      </c>
      <c r="D145" s="1">
        <v>2.0</v>
      </c>
      <c r="E145" s="1" t="s">
        <v>89</v>
      </c>
      <c r="F145" s="1" t="s">
        <v>12</v>
      </c>
      <c r="G145" s="1" t="s">
        <v>20</v>
      </c>
      <c r="H145" s="1">
        <v>0.0</v>
      </c>
      <c r="I145" s="1" t="s">
        <v>14</v>
      </c>
      <c r="J145" s="1" t="s">
        <v>232</v>
      </c>
    </row>
    <row r="146">
      <c r="A146" s="1">
        <v>154.0</v>
      </c>
      <c r="B146" s="2">
        <v>45836.58849537037</v>
      </c>
      <c r="C146" s="1" t="s">
        <v>233</v>
      </c>
      <c r="D146" s="1">
        <v>2.0</v>
      </c>
      <c r="E146" s="1" t="s">
        <v>89</v>
      </c>
      <c r="F146" s="1" t="s">
        <v>23</v>
      </c>
      <c r="G146" s="1" t="s">
        <v>20</v>
      </c>
      <c r="H146" s="1">
        <v>210000.0</v>
      </c>
      <c r="I146" s="1" t="s">
        <v>14</v>
      </c>
      <c r="J146" s="1" t="s">
        <v>25</v>
      </c>
    </row>
    <row r="147">
      <c r="A147" s="1">
        <v>155.0</v>
      </c>
      <c r="B147" s="2">
        <v>45836.58949074074</v>
      </c>
      <c r="C147" s="1" t="s">
        <v>233</v>
      </c>
      <c r="D147" s="1">
        <v>2.0</v>
      </c>
      <c r="E147" s="1" t="s">
        <v>89</v>
      </c>
      <c r="F147" s="1" t="s">
        <v>12</v>
      </c>
      <c r="G147" s="1" t="s">
        <v>13</v>
      </c>
      <c r="H147" s="1">
        <v>210000.0</v>
      </c>
      <c r="I147" s="1" t="s">
        <v>14</v>
      </c>
      <c r="J147" s="1" t="s">
        <v>25</v>
      </c>
    </row>
    <row r="148">
      <c r="A148" s="1">
        <v>156.0</v>
      </c>
      <c r="B148" s="2">
        <v>45838.48976851852</v>
      </c>
      <c r="C148" s="1" t="s">
        <v>234</v>
      </c>
      <c r="D148" s="1">
        <v>2.0</v>
      </c>
      <c r="E148" s="1" t="s">
        <v>83</v>
      </c>
      <c r="F148" s="1" t="s">
        <v>12</v>
      </c>
      <c r="G148" s="1" t="s">
        <v>13</v>
      </c>
      <c r="H148" s="1">
        <v>227800.0</v>
      </c>
      <c r="I148" s="1" t="s">
        <v>14</v>
      </c>
      <c r="J148" s="1" t="s">
        <v>235</v>
      </c>
    </row>
    <row r="149">
      <c r="A149" s="1">
        <v>157.0</v>
      </c>
      <c r="B149" s="2">
        <v>45838.53603009259</v>
      </c>
      <c r="C149" s="1" t="s">
        <v>236</v>
      </c>
      <c r="D149" s="1">
        <v>2.0</v>
      </c>
      <c r="E149" s="1" t="s">
        <v>119</v>
      </c>
      <c r="F149" s="1" t="s">
        <v>12</v>
      </c>
      <c r="G149" s="1" t="s">
        <v>20</v>
      </c>
      <c r="H149" s="1">
        <v>292000.0</v>
      </c>
      <c r="I149" s="1" t="s">
        <v>14</v>
      </c>
      <c r="J149" s="1" t="s">
        <v>237</v>
      </c>
    </row>
    <row r="150">
      <c r="A150" s="1">
        <v>158.0</v>
      </c>
      <c r="B150" s="2">
        <v>45838.93195601852</v>
      </c>
      <c r="C150" s="1" t="s">
        <v>215</v>
      </c>
      <c r="D150" s="1">
        <v>2.0</v>
      </c>
      <c r="E150" s="1" t="s">
        <v>119</v>
      </c>
      <c r="F150" s="1" t="s">
        <v>12</v>
      </c>
      <c r="G150" s="1" t="s">
        <v>131</v>
      </c>
      <c r="H150" s="1">
        <v>79900.85</v>
      </c>
      <c r="I150" s="1" t="s">
        <v>60</v>
      </c>
      <c r="J150" s="1" t="s">
        <v>25</v>
      </c>
    </row>
    <row r="151">
      <c r="A151" s="1">
        <v>159.0</v>
      </c>
      <c r="B151" s="2">
        <v>45838.93311342593</v>
      </c>
      <c r="C151" s="1" t="s">
        <v>214</v>
      </c>
      <c r="D151" s="1">
        <v>2.0</v>
      </c>
      <c r="E151" s="1" t="s">
        <v>119</v>
      </c>
      <c r="F151" s="1" t="s">
        <v>12</v>
      </c>
      <c r="G151" s="1" t="s">
        <v>131</v>
      </c>
      <c r="H151" s="1">
        <v>79900.85</v>
      </c>
      <c r="I151" s="1" t="s">
        <v>60</v>
      </c>
      <c r="J151" s="1" t="s">
        <v>25</v>
      </c>
    </row>
    <row r="152">
      <c r="A152" s="1">
        <v>160.0</v>
      </c>
      <c r="B152" s="2">
        <v>45838.96040509259</v>
      </c>
      <c r="C152" s="1" t="s">
        <v>238</v>
      </c>
      <c r="D152" s="1">
        <v>2.0</v>
      </c>
      <c r="E152" s="1" t="s">
        <v>89</v>
      </c>
      <c r="F152" s="1" t="s">
        <v>12</v>
      </c>
      <c r="G152" s="1" t="s">
        <v>131</v>
      </c>
      <c r="H152" s="1">
        <v>169001.0</v>
      </c>
      <c r="I152" s="1" t="s">
        <v>14</v>
      </c>
      <c r="J152" s="1" t="s">
        <v>25</v>
      </c>
    </row>
    <row r="153">
      <c r="A153" s="1">
        <v>161.0</v>
      </c>
      <c r="B153" s="2">
        <v>45838.96346064815</v>
      </c>
      <c r="C153" s="1" t="s">
        <v>239</v>
      </c>
      <c r="D153" s="1">
        <v>2.0</v>
      </c>
      <c r="E153" s="1" t="s">
        <v>89</v>
      </c>
      <c r="F153" s="1" t="s">
        <v>12</v>
      </c>
      <c r="G153" s="1" t="s">
        <v>13</v>
      </c>
      <c r="H153" s="1">
        <v>160466.2</v>
      </c>
      <c r="I153" s="1" t="s">
        <v>14</v>
      </c>
      <c r="J153" s="1" t="s">
        <v>25</v>
      </c>
    </row>
    <row r="154">
      <c r="A154" s="1">
        <v>162.0</v>
      </c>
      <c r="B154" s="2">
        <v>45839.47769675926</v>
      </c>
      <c r="C154" s="1" t="s">
        <v>240</v>
      </c>
      <c r="D154" s="1">
        <v>2.0</v>
      </c>
      <c r="E154" s="1" t="s">
        <v>78</v>
      </c>
      <c r="F154" s="1" t="s">
        <v>12</v>
      </c>
      <c r="G154" s="1" t="s">
        <v>20</v>
      </c>
      <c r="H154" s="1">
        <v>60000.0</v>
      </c>
      <c r="I154" s="1" t="s">
        <v>14</v>
      </c>
      <c r="J154" s="1" t="s">
        <v>241</v>
      </c>
    </row>
    <row r="155">
      <c r="A155" s="1">
        <v>163.0</v>
      </c>
      <c r="B155" s="2">
        <v>45839.67359953704</v>
      </c>
      <c r="C155" s="1" t="s">
        <v>54</v>
      </c>
      <c r="D155" s="1">
        <v>2.0</v>
      </c>
      <c r="E155" s="1" t="s">
        <v>119</v>
      </c>
      <c r="F155" s="1" t="s">
        <v>12</v>
      </c>
      <c r="G155" s="1" t="s">
        <v>13</v>
      </c>
      <c r="H155" s="1">
        <v>355537.48</v>
      </c>
      <c r="I155" s="1" t="s">
        <v>14</v>
      </c>
      <c r="J155" s="1" t="s">
        <v>242</v>
      </c>
    </row>
    <row r="156">
      <c r="A156" s="1">
        <v>164.0</v>
      </c>
      <c r="B156" s="2">
        <v>45840.71844907408</v>
      </c>
      <c r="C156" s="1" t="s">
        <v>243</v>
      </c>
      <c r="D156" s="1">
        <v>1.0</v>
      </c>
      <c r="E156" s="1" t="s">
        <v>83</v>
      </c>
      <c r="F156" s="1" t="s">
        <v>12</v>
      </c>
      <c r="G156" s="1" t="s">
        <v>20</v>
      </c>
      <c r="H156" s="1">
        <v>130000.0</v>
      </c>
      <c r="I156" s="1" t="s">
        <v>14</v>
      </c>
      <c r="J156" s="1" t="s">
        <v>244</v>
      </c>
    </row>
    <row r="157">
      <c r="A157" s="1">
        <v>165.0</v>
      </c>
      <c r="B157" s="2">
        <v>45841.55915509259</v>
      </c>
      <c r="C157" s="1" t="s">
        <v>245</v>
      </c>
      <c r="D157" s="1">
        <v>2.0</v>
      </c>
      <c r="E157" s="1" t="s">
        <v>89</v>
      </c>
      <c r="F157" s="1" t="s">
        <v>12</v>
      </c>
      <c r="G157" s="1" t="s">
        <v>131</v>
      </c>
      <c r="H157" s="1">
        <v>217350.09</v>
      </c>
      <c r="I157" s="1" t="s">
        <v>60</v>
      </c>
      <c r="J157" s="1" t="s">
        <v>25</v>
      </c>
    </row>
    <row r="158">
      <c r="A158" s="1">
        <v>166.0</v>
      </c>
      <c r="B158" s="2">
        <v>45841.597916666666</v>
      </c>
      <c r="C158" s="1" t="s">
        <v>246</v>
      </c>
      <c r="D158" s="1">
        <v>2.0</v>
      </c>
      <c r="E158" s="1" t="s">
        <v>83</v>
      </c>
      <c r="F158" s="1" t="s">
        <v>12</v>
      </c>
      <c r="G158" s="1" t="s">
        <v>20</v>
      </c>
      <c r="H158" s="1">
        <v>62000.0</v>
      </c>
      <c r="I158" s="1" t="s">
        <v>14</v>
      </c>
      <c r="J158" s="1" t="s">
        <v>247</v>
      </c>
    </row>
    <row r="159">
      <c r="A159" s="1">
        <v>167.0</v>
      </c>
      <c r="B159" s="2">
        <v>45841.608923611115</v>
      </c>
      <c r="C159" s="1" t="s">
        <v>248</v>
      </c>
      <c r="D159" s="1">
        <v>2.0</v>
      </c>
      <c r="E159" s="1" t="s">
        <v>119</v>
      </c>
      <c r="F159" s="1" t="s">
        <v>12</v>
      </c>
      <c r="G159" s="1" t="s">
        <v>20</v>
      </c>
      <c r="H159" s="1">
        <v>0.0</v>
      </c>
      <c r="I159" s="1" t="s">
        <v>14</v>
      </c>
      <c r="J159" s="1" t="s">
        <v>249</v>
      </c>
    </row>
    <row r="160">
      <c r="A160" s="1">
        <v>168.0</v>
      </c>
      <c r="B160" s="2">
        <v>45841.704976851855</v>
      </c>
      <c r="C160" s="1" t="s">
        <v>250</v>
      </c>
      <c r="D160" s="1">
        <v>2.0</v>
      </c>
      <c r="E160" s="1" t="s">
        <v>89</v>
      </c>
      <c r="F160" s="1" t="s">
        <v>12</v>
      </c>
      <c r="G160" s="1" t="s">
        <v>13</v>
      </c>
      <c r="H160" s="1">
        <v>302000.0</v>
      </c>
      <c r="I160" s="1" t="s">
        <v>14</v>
      </c>
      <c r="J160" s="1" t="s">
        <v>25</v>
      </c>
    </row>
    <row r="161">
      <c r="A161" s="1">
        <v>169.0</v>
      </c>
      <c r="B161" s="2">
        <v>45841.721180555556</v>
      </c>
      <c r="C161" s="1" t="s">
        <v>251</v>
      </c>
      <c r="D161" s="1">
        <v>1.0</v>
      </c>
      <c r="E161" s="1" t="s">
        <v>119</v>
      </c>
      <c r="F161" s="1" t="s">
        <v>12</v>
      </c>
      <c r="G161" s="1" t="s">
        <v>13</v>
      </c>
      <c r="H161" s="1">
        <v>160000.0</v>
      </c>
      <c r="I161" s="1" t="s">
        <v>14</v>
      </c>
      <c r="J161" s="1" t="s">
        <v>25</v>
      </c>
    </row>
    <row r="162">
      <c r="A162" s="1">
        <v>170.0</v>
      </c>
      <c r="B162" s="2">
        <v>45845.52422453704</v>
      </c>
      <c r="C162" s="1" t="s">
        <v>252</v>
      </c>
      <c r="D162" s="1">
        <v>2.0</v>
      </c>
      <c r="E162" s="1" t="s">
        <v>119</v>
      </c>
      <c r="F162" s="1" t="s">
        <v>12</v>
      </c>
      <c r="G162" s="1" t="s">
        <v>20</v>
      </c>
      <c r="H162" s="1">
        <v>30000.0</v>
      </c>
      <c r="I162" s="1" t="s">
        <v>14</v>
      </c>
      <c r="J162" s="1" t="s">
        <v>25</v>
      </c>
    </row>
    <row r="163">
      <c r="A163" s="1">
        <v>171.0</v>
      </c>
      <c r="B163" s="2">
        <v>45845.72248842593</v>
      </c>
      <c r="C163" s="1" t="s">
        <v>253</v>
      </c>
      <c r="D163" s="1">
        <v>2.0</v>
      </c>
      <c r="E163" s="1" t="s">
        <v>78</v>
      </c>
      <c r="F163" s="1" t="s">
        <v>12</v>
      </c>
      <c r="G163" s="1" t="s">
        <v>20</v>
      </c>
      <c r="H163" s="1">
        <v>210000.0</v>
      </c>
      <c r="I163" s="1" t="s">
        <v>14</v>
      </c>
      <c r="J163" s="1" t="s">
        <v>25</v>
      </c>
    </row>
    <row r="164">
      <c r="A164" s="1">
        <v>172.0</v>
      </c>
      <c r="B164" s="2">
        <v>45846.3996875</v>
      </c>
      <c r="C164" s="1" t="s">
        <v>254</v>
      </c>
      <c r="D164" s="1">
        <v>2.0</v>
      </c>
      <c r="E164" s="1" t="s">
        <v>119</v>
      </c>
      <c r="F164" s="1" t="s">
        <v>12</v>
      </c>
      <c r="G164" s="1" t="s">
        <v>131</v>
      </c>
      <c r="H164" s="1">
        <v>88600.0</v>
      </c>
      <c r="I164" s="1" t="s">
        <v>14</v>
      </c>
      <c r="J164" s="1" t="s">
        <v>25</v>
      </c>
    </row>
    <row r="165">
      <c r="A165" s="1">
        <v>173.0</v>
      </c>
      <c r="B165" s="2">
        <v>45846.47708333333</v>
      </c>
      <c r="C165" s="1" t="s">
        <v>254</v>
      </c>
      <c r="D165" s="1">
        <v>2.0</v>
      </c>
      <c r="E165" s="1" t="s">
        <v>119</v>
      </c>
      <c r="F165" s="1" t="s">
        <v>12</v>
      </c>
      <c r="G165" s="1" t="s">
        <v>28</v>
      </c>
      <c r="H165" s="1">
        <v>151000.0</v>
      </c>
      <c r="I165" s="1" t="s">
        <v>48</v>
      </c>
      <c r="J165" s="1" t="s">
        <v>25</v>
      </c>
    </row>
    <row r="166">
      <c r="A166" s="1">
        <v>174.0</v>
      </c>
      <c r="B166" s="2">
        <v>45846.480787037035</v>
      </c>
      <c r="C166" s="1" t="s">
        <v>255</v>
      </c>
      <c r="D166" s="1">
        <v>1.0</v>
      </c>
      <c r="E166" s="1" t="s">
        <v>78</v>
      </c>
      <c r="F166" s="1" t="s">
        <v>12</v>
      </c>
      <c r="G166" s="1" t="s">
        <v>80</v>
      </c>
      <c r="H166" s="1">
        <v>144000.0</v>
      </c>
      <c r="I166" s="1" t="s">
        <v>14</v>
      </c>
      <c r="J166" s="1" t="s">
        <v>25</v>
      </c>
    </row>
    <row r="167">
      <c r="A167" s="1">
        <v>175.0</v>
      </c>
      <c r="B167" s="2">
        <v>45846.543657407405</v>
      </c>
      <c r="C167" s="1" t="s">
        <v>256</v>
      </c>
      <c r="D167" s="1">
        <v>2.0</v>
      </c>
      <c r="E167" s="1" t="s">
        <v>83</v>
      </c>
      <c r="F167" s="1" t="s">
        <v>12</v>
      </c>
      <c r="G167" s="1" t="s">
        <v>20</v>
      </c>
      <c r="H167" s="1">
        <v>49400.0</v>
      </c>
      <c r="I167" s="1" t="s">
        <v>48</v>
      </c>
      <c r="J167" s="1" t="s">
        <v>25</v>
      </c>
    </row>
    <row r="168">
      <c r="A168" s="1">
        <v>176.0</v>
      </c>
      <c r="B168" s="2">
        <v>45848.386469907404</v>
      </c>
      <c r="C168" s="1" t="s">
        <v>257</v>
      </c>
      <c r="D168" s="1">
        <v>2.0</v>
      </c>
      <c r="E168" s="1" t="s">
        <v>89</v>
      </c>
      <c r="F168" s="1" t="s">
        <v>12</v>
      </c>
      <c r="G168" s="1" t="s">
        <v>20</v>
      </c>
      <c r="H168" s="1">
        <v>130446.27</v>
      </c>
      <c r="I168" s="1" t="s">
        <v>60</v>
      </c>
      <c r="J168" s="1" t="s">
        <v>25</v>
      </c>
    </row>
    <row r="169">
      <c r="A169" s="1">
        <v>177.0</v>
      </c>
      <c r="B169" s="2">
        <v>45848.50996527778</v>
      </c>
      <c r="C169" s="1" t="s">
        <v>258</v>
      </c>
      <c r="D169" s="1">
        <v>2.0</v>
      </c>
      <c r="E169" s="1" t="s">
        <v>78</v>
      </c>
      <c r="F169" s="1" t="s">
        <v>12</v>
      </c>
      <c r="G169" s="1" t="s">
        <v>20</v>
      </c>
      <c r="H169" s="1">
        <v>207705.99</v>
      </c>
      <c r="I169" s="1" t="s">
        <v>14</v>
      </c>
      <c r="J169" s="1" t="s">
        <v>25</v>
      </c>
    </row>
    <row r="170">
      <c r="A170" s="1">
        <v>178.0</v>
      </c>
      <c r="B170" s="2">
        <v>45848.76390046296</v>
      </c>
      <c r="C170" s="1" t="s">
        <v>231</v>
      </c>
      <c r="D170" s="1">
        <v>2.0</v>
      </c>
      <c r="E170" s="1" t="s">
        <v>89</v>
      </c>
      <c r="F170" s="1" t="s">
        <v>23</v>
      </c>
      <c r="G170" s="1" t="s">
        <v>20</v>
      </c>
      <c r="H170" s="1">
        <v>900000.0</v>
      </c>
      <c r="I170" s="1" t="s">
        <v>14</v>
      </c>
      <c r="J170" s="1" t="s">
        <v>25</v>
      </c>
    </row>
    <row r="171">
      <c r="A171" s="1">
        <v>179.0</v>
      </c>
      <c r="B171" s="2">
        <v>45848.76484953704</v>
      </c>
      <c r="C171" s="1" t="s">
        <v>231</v>
      </c>
      <c r="D171" s="1">
        <v>2.0</v>
      </c>
      <c r="E171" s="1" t="s">
        <v>89</v>
      </c>
      <c r="F171" s="1" t="s">
        <v>12</v>
      </c>
      <c r="G171" s="1" t="s">
        <v>13</v>
      </c>
      <c r="H171" s="1">
        <v>900000.0</v>
      </c>
      <c r="I171" s="1" t="s">
        <v>14</v>
      </c>
      <c r="J171" s="1" t="s">
        <v>25</v>
      </c>
    </row>
    <row r="172">
      <c r="A172" s="1">
        <v>180.0</v>
      </c>
      <c r="B172" s="2">
        <v>45849.74193287037</v>
      </c>
      <c r="C172" s="1" t="s">
        <v>259</v>
      </c>
      <c r="D172" s="1">
        <v>2.0</v>
      </c>
      <c r="E172" s="1" t="s">
        <v>78</v>
      </c>
      <c r="F172" s="1" t="s">
        <v>12</v>
      </c>
      <c r="G172" s="1" t="s">
        <v>13</v>
      </c>
      <c r="H172" s="1">
        <v>277192.0</v>
      </c>
      <c r="I172" s="1" t="s">
        <v>14</v>
      </c>
      <c r="J172" s="1" t="s">
        <v>260</v>
      </c>
    </row>
    <row r="173">
      <c r="A173" s="1">
        <v>181.0</v>
      </c>
      <c r="B173" s="2">
        <v>45850.52887731481</v>
      </c>
      <c r="C173" s="1" t="s">
        <v>261</v>
      </c>
      <c r="D173" s="1">
        <v>2.0</v>
      </c>
      <c r="E173" s="1" t="s">
        <v>119</v>
      </c>
      <c r="F173" s="1" t="s">
        <v>12</v>
      </c>
      <c r="G173" s="1" t="s">
        <v>13</v>
      </c>
      <c r="H173" s="1">
        <v>124000.0</v>
      </c>
      <c r="I173" s="1" t="s">
        <v>14</v>
      </c>
      <c r="J173" s="1" t="s">
        <v>262</v>
      </c>
    </row>
    <row r="174">
      <c r="A174" s="1">
        <v>182.0</v>
      </c>
      <c r="B174" s="2">
        <v>45850.558912037035</v>
      </c>
      <c r="C174" s="1" t="s">
        <v>263</v>
      </c>
      <c r="D174" s="1">
        <v>1.0</v>
      </c>
      <c r="E174" s="1" t="s">
        <v>78</v>
      </c>
      <c r="F174" s="1" t="s">
        <v>12</v>
      </c>
      <c r="G174" s="1" t="s">
        <v>20</v>
      </c>
      <c r="H174" s="1">
        <v>123000.0</v>
      </c>
      <c r="I174" s="1" t="s">
        <v>14</v>
      </c>
      <c r="J174" s="1" t="s">
        <v>264</v>
      </c>
    </row>
    <row r="175">
      <c r="A175" s="1">
        <v>183.0</v>
      </c>
      <c r="B175" s="2">
        <v>45852.75665509259</v>
      </c>
      <c r="C175" s="1" t="s">
        <v>77</v>
      </c>
      <c r="D175" s="1">
        <v>2.0</v>
      </c>
      <c r="E175" s="1" t="s">
        <v>119</v>
      </c>
      <c r="F175" s="1" t="s">
        <v>12</v>
      </c>
      <c r="G175" s="1" t="s">
        <v>13</v>
      </c>
      <c r="H175" s="1">
        <v>61231.81</v>
      </c>
      <c r="I175" s="1" t="s">
        <v>14</v>
      </c>
      <c r="J175" s="1" t="s">
        <v>25</v>
      </c>
    </row>
    <row r="176">
      <c r="A176" s="1">
        <v>184.0</v>
      </c>
      <c r="B176" s="2">
        <v>45853.42581018519</v>
      </c>
      <c r="C176" s="1" t="s">
        <v>265</v>
      </c>
      <c r="D176" s="1">
        <v>2.0</v>
      </c>
      <c r="E176" s="1" t="s">
        <v>78</v>
      </c>
      <c r="F176" s="1" t="s">
        <v>12</v>
      </c>
      <c r="G176" s="1" t="s">
        <v>13</v>
      </c>
      <c r="H176" s="1">
        <v>217000.0</v>
      </c>
      <c r="I176" s="1" t="s">
        <v>14</v>
      </c>
      <c r="J176" s="1" t="s">
        <v>25</v>
      </c>
    </row>
    <row r="177">
      <c r="A177" s="1">
        <v>185.0</v>
      </c>
      <c r="B177" s="2">
        <v>45853.4291087963</v>
      </c>
      <c r="C177" s="1" t="s">
        <v>265</v>
      </c>
      <c r="D177" s="1">
        <v>2.0</v>
      </c>
      <c r="E177" s="1" t="s">
        <v>119</v>
      </c>
      <c r="F177" s="1" t="s">
        <v>12</v>
      </c>
      <c r="G177" s="1" t="s">
        <v>13</v>
      </c>
      <c r="H177" s="1">
        <v>105000.0</v>
      </c>
      <c r="I177" s="1" t="s">
        <v>14</v>
      </c>
      <c r="J177" s="1" t="s">
        <v>25</v>
      </c>
    </row>
    <row r="178">
      <c r="A178" s="1">
        <v>186.0</v>
      </c>
      <c r="B178" s="2">
        <v>45853.68770833333</v>
      </c>
      <c r="C178" s="1" t="s">
        <v>266</v>
      </c>
      <c r="D178" s="1">
        <v>2.0</v>
      </c>
      <c r="E178" s="1" t="s">
        <v>119</v>
      </c>
      <c r="F178" s="1" t="s">
        <v>12</v>
      </c>
      <c r="G178" s="1" t="s">
        <v>20</v>
      </c>
      <c r="H178" s="1">
        <v>92000.0</v>
      </c>
      <c r="I178" s="1" t="s">
        <v>14</v>
      </c>
      <c r="J178" s="1" t="s">
        <v>25</v>
      </c>
    </row>
    <row r="179">
      <c r="A179" s="1">
        <v>187.0</v>
      </c>
      <c r="B179" s="2">
        <v>45853.711747685185</v>
      </c>
      <c r="C179" s="1" t="s">
        <v>267</v>
      </c>
      <c r="D179" s="1">
        <v>2.0</v>
      </c>
      <c r="E179" s="1" t="s">
        <v>89</v>
      </c>
      <c r="F179" s="1" t="s">
        <v>12</v>
      </c>
      <c r="G179" s="1" t="s">
        <v>13</v>
      </c>
      <c r="H179" s="1">
        <v>92000.0</v>
      </c>
      <c r="I179" s="1" t="s">
        <v>14</v>
      </c>
      <c r="J179" s="1" t="s">
        <v>268</v>
      </c>
    </row>
    <row r="180">
      <c r="A180" s="1">
        <v>188.0</v>
      </c>
      <c r="B180" s="2">
        <v>45853.7171875</v>
      </c>
      <c r="C180" s="1" t="s">
        <v>269</v>
      </c>
      <c r="D180" s="1">
        <v>2.0</v>
      </c>
      <c r="E180" s="1" t="s">
        <v>78</v>
      </c>
      <c r="F180" s="1" t="s">
        <v>12</v>
      </c>
      <c r="G180" s="1" t="s">
        <v>28</v>
      </c>
      <c r="H180" s="1">
        <v>126231.81</v>
      </c>
      <c r="I180" s="1" t="s">
        <v>14</v>
      </c>
      <c r="J180" s="1" t="s">
        <v>25</v>
      </c>
    </row>
    <row r="181">
      <c r="A181" s="1">
        <v>189.0</v>
      </c>
      <c r="B181" s="2">
        <v>45853.74791666667</v>
      </c>
      <c r="C181" s="1" t="s">
        <v>270</v>
      </c>
      <c r="D181" s="1">
        <v>2.0</v>
      </c>
      <c r="E181" s="1" t="s">
        <v>94</v>
      </c>
      <c r="F181" s="1" t="s">
        <v>12</v>
      </c>
      <c r="G181" s="1" t="s">
        <v>20</v>
      </c>
      <c r="H181" s="1">
        <v>175221.0</v>
      </c>
      <c r="I181" s="1" t="s">
        <v>43</v>
      </c>
      <c r="J181" s="1" t="s">
        <v>25</v>
      </c>
    </row>
    <row r="182">
      <c r="A182" s="1">
        <v>190.0</v>
      </c>
      <c r="B182" s="2">
        <v>45855.401724537034</v>
      </c>
      <c r="C182" s="1" t="s">
        <v>271</v>
      </c>
      <c r="D182" s="1">
        <v>2.0</v>
      </c>
      <c r="E182" s="1" t="s">
        <v>78</v>
      </c>
      <c r="F182" s="1" t="s">
        <v>12</v>
      </c>
      <c r="G182" s="1" t="s">
        <v>80</v>
      </c>
      <c r="H182" s="1">
        <v>187000.0</v>
      </c>
      <c r="I182" s="1" t="s">
        <v>14</v>
      </c>
      <c r="J182" s="1" t="s">
        <v>25</v>
      </c>
    </row>
    <row r="183">
      <c r="A183" s="1">
        <v>191.0</v>
      </c>
      <c r="B183" s="2">
        <v>45857.46047453704</v>
      </c>
      <c r="C183" s="1" t="s">
        <v>272</v>
      </c>
      <c r="D183" s="1">
        <v>2.0</v>
      </c>
      <c r="E183" s="1" t="s">
        <v>89</v>
      </c>
      <c r="F183" s="1" t="s">
        <v>12</v>
      </c>
      <c r="G183" s="1" t="s">
        <v>13</v>
      </c>
      <c r="H183" s="1">
        <v>141508.63</v>
      </c>
      <c r="I183" s="1" t="s">
        <v>43</v>
      </c>
      <c r="J183" s="1" t="s">
        <v>273</v>
      </c>
    </row>
    <row r="184">
      <c r="A184" s="1">
        <v>192.0</v>
      </c>
      <c r="B184" s="2">
        <v>45857.46530092593</v>
      </c>
      <c r="C184" s="1" t="s">
        <v>274</v>
      </c>
      <c r="D184" s="1">
        <v>2.0</v>
      </c>
      <c r="E184" s="1" t="s">
        <v>89</v>
      </c>
      <c r="F184" s="1" t="s">
        <v>12</v>
      </c>
      <c r="G184" s="1" t="s">
        <v>13</v>
      </c>
      <c r="H184" s="1">
        <v>720000.0</v>
      </c>
      <c r="I184" s="1" t="s">
        <v>14</v>
      </c>
      <c r="J184" s="1" t="s">
        <v>275</v>
      </c>
    </row>
    <row r="185">
      <c r="A185" s="1">
        <v>193.0</v>
      </c>
      <c r="B185" s="2">
        <v>45857.46603009259</v>
      </c>
      <c r="C185" s="1" t="s">
        <v>274</v>
      </c>
      <c r="D185" s="1">
        <v>2.0</v>
      </c>
      <c r="E185" s="1" t="s">
        <v>89</v>
      </c>
      <c r="F185" s="1" t="s">
        <v>12</v>
      </c>
      <c r="G185" s="1" t="s">
        <v>13</v>
      </c>
      <c r="H185" s="1">
        <v>0.0</v>
      </c>
      <c r="I185" s="1" t="s">
        <v>14</v>
      </c>
      <c r="J185" s="1" t="s">
        <v>276</v>
      </c>
    </row>
    <row r="186">
      <c r="A186" s="1">
        <v>194.0</v>
      </c>
      <c r="B186" s="2">
        <v>45857.473715277774</v>
      </c>
      <c r="C186" s="1" t="s">
        <v>277</v>
      </c>
      <c r="D186" s="1">
        <v>2.0</v>
      </c>
      <c r="E186" s="1" t="s">
        <v>78</v>
      </c>
      <c r="F186" s="1" t="s">
        <v>12</v>
      </c>
      <c r="G186" s="1" t="s">
        <v>13</v>
      </c>
      <c r="H186" s="1">
        <v>960000.0</v>
      </c>
      <c r="I186" s="1" t="s">
        <v>14</v>
      </c>
      <c r="J186" s="1" t="s">
        <v>278</v>
      </c>
    </row>
    <row r="187">
      <c r="A187" s="1">
        <v>195.0</v>
      </c>
      <c r="B187" s="2">
        <v>45857.47431712963</v>
      </c>
      <c r="C187" s="1" t="s">
        <v>277</v>
      </c>
      <c r="D187" s="1">
        <v>2.0</v>
      </c>
      <c r="E187" s="1" t="s">
        <v>78</v>
      </c>
      <c r="F187" s="1" t="s">
        <v>12</v>
      </c>
      <c r="G187" s="1" t="s">
        <v>13</v>
      </c>
      <c r="H187" s="1">
        <v>0.0</v>
      </c>
      <c r="I187" s="1" t="s">
        <v>14</v>
      </c>
      <c r="J187" s="1" t="s">
        <v>276</v>
      </c>
    </row>
    <row r="188">
      <c r="A188" s="1">
        <v>196.0</v>
      </c>
      <c r="B188" s="2">
        <v>45857.48142361111</v>
      </c>
      <c r="C188" s="1" t="s">
        <v>279</v>
      </c>
      <c r="D188" s="1">
        <v>1.0</v>
      </c>
      <c r="E188" s="1" t="s">
        <v>89</v>
      </c>
      <c r="F188" s="1" t="s">
        <v>23</v>
      </c>
      <c r="G188" s="1" t="s">
        <v>131</v>
      </c>
      <c r="H188" s="1">
        <v>170610.0</v>
      </c>
      <c r="I188" s="1" t="s">
        <v>14</v>
      </c>
      <c r="J188" s="1" t="s">
        <v>280</v>
      </c>
    </row>
    <row r="189">
      <c r="A189" s="1">
        <v>197.0</v>
      </c>
      <c r="B189" s="2">
        <v>45857.48234953704</v>
      </c>
      <c r="C189" s="1" t="s">
        <v>279</v>
      </c>
      <c r="D189" s="1">
        <v>1.0</v>
      </c>
      <c r="E189" s="1" t="s">
        <v>89</v>
      </c>
      <c r="F189" s="1" t="s">
        <v>12</v>
      </c>
      <c r="G189" s="1" t="s">
        <v>131</v>
      </c>
      <c r="H189" s="1">
        <v>25000.0</v>
      </c>
      <c r="I189" s="1" t="s">
        <v>14</v>
      </c>
      <c r="J189" s="1" t="s">
        <v>281</v>
      </c>
    </row>
    <row r="190">
      <c r="A190" s="1">
        <v>198.0</v>
      </c>
      <c r="B190" s="2">
        <v>45857.49805555555</v>
      </c>
      <c r="C190" s="1" t="s">
        <v>282</v>
      </c>
      <c r="D190" s="1">
        <v>2.0</v>
      </c>
      <c r="E190" s="1" t="s">
        <v>97</v>
      </c>
      <c r="F190" s="1" t="s">
        <v>12</v>
      </c>
      <c r="G190" s="1" t="s">
        <v>20</v>
      </c>
      <c r="H190" s="1">
        <v>527000.0</v>
      </c>
      <c r="I190" s="1" t="s">
        <v>60</v>
      </c>
      <c r="J190" s="1" t="s">
        <v>25</v>
      </c>
    </row>
    <row r="191">
      <c r="A191" s="1">
        <v>199.0</v>
      </c>
      <c r="B191" s="2">
        <v>45857.51180555556</v>
      </c>
      <c r="C191" s="1" t="s">
        <v>283</v>
      </c>
      <c r="D191" s="1">
        <v>2.0</v>
      </c>
      <c r="E191" s="1" t="s">
        <v>119</v>
      </c>
      <c r="F191" s="1" t="s">
        <v>12</v>
      </c>
      <c r="G191" s="1" t="s">
        <v>13</v>
      </c>
      <c r="H191" s="1">
        <v>82000.0</v>
      </c>
      <c r="I191" s="1" t="s">
        <v>14</v>
      </c>
      <c r="J191" s="1" t="s">
        <v>25</v>
      </c>
    </row>
    <row r="192">
      <c r="A192" s="1">
        <v>200.0</v>
      </c>
      <c r="B192" s="2">
        <v>45857.51855324074</v>
      </c>
      <c r="C192" s="1" t="s">
        <v>284</v>
      </c>
      <c r="D192" s="1">
        <v>2.0</v>
      </c>
      <c r="E192" s="1" t="s">
        <v>97</v>
      </c>
      <c r="F192" s="1" t="s">
        <v>12</v>
      </c>
      <c r="G192" s="1" t="s">
        <v>13</v>
      </c>
      <c r="H192" s="1">
        <v>451000.0</v>
      </c>
      <c r="I192" s="1" t="s">
        <v>14</v>
      </c>
      <c r="J192" s="1" t="s">
        <v>285</v>
      </c>
    </row>
    <row r="193">
      <c r="A193" s="1">
        <v>201.0</v>
      </c>
      <c r="B193" s="2">
        <v>45857.52087962963</v>
      </c>
      <c r="C193" s="1" t="s">
        <v>286</v>
      </c>
      <c r="D193" s="1">
        <v>2.0</v>
      </c>
      <c r="E193" s="1" t="s">
        <v>78</v>
      </c>
      <c r="F193" s="1" t="s">
        <v>12</v>
      </c>
      <c r="G193" s="1" t="s">
        <v>13</v>
      </c>
      <c r="H193" s="1">
        <v>176000.0</v>
      </c>
      <c r="I193" s="1" t="s">
        <v>14</v>
      </c>
      <c r="J193" s="1" t="s">
        <v>287</v>
      </c>
    </row>
    <row r="194">
      <c r="A194" s="1">
        <v>202.0</v>
      </c>
      <c r="B194" s="2">
        <v>45857.524305555555</v>
      </c>
      <c r="C194" s="1" t="s">
        <v>288</v>
      </c>
      <c r="D194" s="1">
        <v>2.0</v>
      </c>
      <c r="E194" s="1" t="s">
        <v>97</v>
      </c>
      <c r="F194" s="1" t="s">
        <v>12</v>
      </c>
      <c r="G194" s="1" t="s">
        <v>131</v>
      </c>
      <c r="H194" s="1">
        <v>126836.96</v>
      </c>
      <c r="I194" s="1" t="s">
        <v>43</v>
      </c>
      <c r="J194" s="1" t="s">
        <v>25</v>
      </c>
    </row>
    <row r="195">
      <c r="A195" s="1">
        <v>203.0</v>
      </c>
      <c r="B195" s="2">
        <v>45857.52653935185</v>
      </c>
      <c r="C195" s="1" t="s">
        <v>289</v>
      </c>
      <c r="D195" s="1">
        <v>2.0</v>
      </c>
      <c r="E195" s="1" t="s">
        <v>78</v>
      </c>
      <c r="F195" s="1" t="s">
        <v>12</v>
      </c>
      <c r="G195" s="1" t="s">
        <v>20</v>
      </c>
      <c r="H195" s="1">
        <v>206130.09</v>
      </c>
      <c r="I195" s="1" t="s">
        <v>60</v>
      </c>
      <c r="J195" s="1" t="s">
        <v>25</v>
      </c>
    </row>
    <row r="196">
      <c r="A196" s="1">
        <v>204.0</v>
      </c>
      <c r="B196" s="2">
        <v>45857.528136574074</v>
      </c>
      <c r="C196" s="1" t="s">
        <v>153</v>
      </c>
      <c r="D196" s="1">
        <v>2.0</v>
      </c>
      <c r="E196" s="1" t="s">
        <v>119</v>
      </c>
      <c r="F196" s="1" t="s">
        <v>12</v>
      </c>
      <c r="G196" s="1" t="s">
        <v>13</v>
      </c>
      <c r="H196" s="1">
        <v>903000.0</v>
      </c>
      <c r="I196" s="1" t="s">
        <v>14</v>
      </c>
      <c r="J196" s="1" t="s">
        <v>290</v>
      </c>
    </row>
    <row r="197">
      <c r="A197" s="1">
        <v>205.0</v>
      </c>
      <c r="B197" s="2">
        <v>45857.53056712963</v>
      </c>
      <c r="C197" s="1" t="s">
        <v>291</v>
      </c>
      <c r="D197" s="1">
        <v>2.0</v>
      </c>
      <c r="E197" s="1" t="s">
        <v>97</v>
      </c>
      <c r="F197" s="1" t="s">
        <v>12</v>
      </c>
      <c r="G197" s="1" t="s">
        <v>131</v>
      </c>
      <c r="H197" s="1">
        <v>185231.81</v>
      </c>
      <c r="I197" s="1" t="s">
        <v>14</v>
      </c>
      <c r="J197" s="1" t="s">
        <v>25</v>
      </c>
    </row>
    <row r="198">
      <c r="A198" s="1">
        <v>206.0</v>
      </c>
      <c r="B198" s="2">
        <v>45857.56046296296</v>
      </c>
      <c r="C198" s="1" t="s">
        <v>292</v>
      </c>
      <c r="D198" s="1">
        <v>2.0</v>
      </c>
      <c r="E198" s="1" t="s">
        <v>83</v>
      </c>
      <c r="F198" s="1" t="s">
        <v>12</v>
      </c>
      <c r="G198" s="1" t="s">
        <v>131</v>
      </c>
      <c r="H198" s="1">
        <v>210493.96</v>
      </c>
      <c r="I198" s="1" t="s">
        <v>14</v>
      </c>
      <c r="J198" s="1" t="s">
        <v>25</v>
      </c>
    </row>
    <row r="199">
      <c r="A199" s="1">
        <v>207.0</v>
      </c>
      <c r="B199" s="2">
        <v>45860.51466435185</v>
      </c>
      <c r="C199" s="1" t="s">
        <v>293</v>
      </c>
      <c r="D199" s="1">
        <v>2.0</v>
      </c>
      <c r="E199" s="1" t="s">
        <v>89</v>
      </c>
      <c r="F199" s="1" t="s">
        <v>12</v>
      </c>
      <c r="G199" s="1" t="s">
        <v>13</v>
      </c>
      <c r="H199" s="1">
        <v>345663.62</v>
      </c>
      <c r="I199" s="1" t="s">
        <v>14</v>
      </c>
      <c r="J199" s="1" t="s">
        <v>25</v>
      </c>
    </row>
    <row r="200">
      <c r="A200" s="1">
        <v>208.0</v>
      </c>
      <c r="B200" s="2">
        <v>45860.723958333336</v>
      </c>
      <c r="C200" s="1" t="s">
        <v>294</v>
      </c>
      <c r="D200" s="1">
        <v>2.0</v>
      </c>
      <c r="E200" s="1" t="s">
        <v>89</v>
      </c>
      <c r="F200" s="1" t="s">
        <v>12</v>
      </c>
      <c r="G200" s="1" t="s">
        <v>13</v>
      </c>
      <c r="H200" s="1">
        <v>211000.0</v>
      </c>
      <c r="I200" s="1" t="s">
        <v>14</v>
      </c>
      <c r="J200" s="1" t="s">
        <v>25</v>
      </c>
    </row>
    <row r="201">
      <c r="A201" s="1">
        <v>209.0</v>
      </c>
      <c r="B201" s="2">
        <v>45860.79075231482</v>
      </c>
      <c r="C201" s="1" t="s">
        <v>295</v>
      </c>
      <c r="D201" s="1">
        <v>2.0</v>
      </c>
      <c r="E201" s="1" t="s">
        <v>201</v>
      </c>
      <c r="F201" s="1" t="s">
        <v>12</v>
      </c>
      <c r="G201" s="1" t="s">
        <v>13</v>
      </c>
      <c r="H201" s="1">
        <v>170000.0</v>
      </c>
      <c r="I201" s="1" t="s">
        <v>14</v>
      </c>
      <c r="J201" s="1" t="s">
        <v>296</v>
      </c>
    </row>
    <row r="202">
      <c r="A202" s="1">
        <v>210.0</v>
      </c>
      <c r="B202" s="2">
        <v>45860.823333333334</v>
      </c>
      <c r="C202" s="1" t="s">
        <v>297</v>
      </c>
      <c r="D202" s="1">
        <v>2.0</v>
      </c>
      <c r="E202" s="1" t="s">
        <v>78</v>
      </c>
      <c r="F202" s="1" t="s">
        <v>12</v>
      </c>
      <c r="G202" s="1" t="s">
        <v>13</v>
      </c>
      <c r="H202" s="1">
        <v>228000.0</v>
      </c>
      <c r="I202" s="1" t="s">
        <v>14</v>
      </c>
      <c r="J202" s="1" t="s">
        <v>25</v>
      </c>
    </row>
    <row r="203">
      <c r="A203" s="1">
        <v>211.0</v>
      </c>
      <c r="B203" s="2">
        <v>45861.708703703705</v>
      </c>
      <c r="C203" s="1" t="s">
        <v>298</v>
      </c>
      <c r="D203" s="1">
        <v>2.0</v>
      </c>
      <c r="E203" s="1" t="s">
        <v>89</v>
      </c>
      <c r="F203" s="1" t="s">
        <v>12</v>
      </c>
      <c r="G203" s="1" t="s">
        <v>13</v>
      </c>
      <c r="H203" s="1">
        <v>180000.0</v>
      </c>
      <c r="I203" s="1" t="s">
        <v>14</v>
      </c>
      <c r="J203" s="1" t="s">
        <v>299</v>
      </c>
    </row>
    <row r="204">
      <c r="A204" s="1">
        <v>212.0</v>
      </c>
      <c r="B204" s="2">
        <v>45861.79047453704</v>
      </c>
      <c r="C204" s="1" t="s">
        <v>300</v>
      </c>
      <c r="D204" s="1">
        <v>2.0</v>
      </c>
      <c r="E204" s="1" t="s">
        <v>119</v>
      </c>
      <c r="F204" s="1" t="s">
        <v>12</v>
      </c>
      <c r="G204" s="1" t="s">
        <v>131</v>
      </c>
      <c r="H204" s="1">
        <v>81900.0</v>
      </c>
      <c r="I204" s="1" t="s">
        <v>43</v>
      </c>
      <c r="J204" s="1" t="s">
        <v>25</v>
      </c>
    </row>
    <row r="205">
      <c r="A205" s="1">
        <v>213.0</v>
      </c>
      <c r="B205" s="2">
        <v>45862.81543981482</v>
      </c>
      <c r="C205" s="1" t="s">
        <v>301</v>
      </c>
      <c r="D205" s="1">
        <v>2.0</v>
      </c>
      <c r="E205" s="1" t="s">
        <v>89</v>
      </c>
      <c r="F205" s="1" t="s">
        <v>12</v>
      </c>
      <c r="G205" s="1" t="s">
        <v>38</v>
      </c>
      <c r="H205" s="1">
        <v>170000.0</v>
      </c>
      <c r="I205" s="1" t="s">
        <v>14</v>
      </c>
      <c r="J205" s="1" t="s">
        <v>25</v>
      </c>
    </row>
    <row r="206">
      <c r="A206" s="1">
        <v>214.0</v>
      </c>
      <c r="B206" s="2">
        <v>45863.70228009259</v>
      </c>
      <c r="C206" s="1" t="s">
        <v>302</v>
      </c>
      <c r="D206" s="1">
        <v>2.0</v>
      </c>
      <c r="E206" s="1" t="s">
        <v>89</v>
      </c>
      <c r="F206" s="1" t="s">
        <v>12</v>
      </c>
      <c r="G206" s="1" t="s">
        <v>13</v>
      </c>
      <c r="H206" s="1">
        <v>553400.0</v>
      </c>
      <c r="I206" s="1" t="s">
        <v>14</v>
      </c>
      <c r="J206" s="1" t="s">
        <v>25</v>
      </c>
    </row>
    <row r="207">
      <c r="A207" s="1">
        <v>215.0</v>
      </c>
      <c r="B207" s="2">
        <v>45864.44364583334</v>
      </c>
      <c r="C207" s="1" t="s">
        <v>303</v>
      </c>
      <c r="D207" s="1">
        <v>2.0</v>
      </c>
      <c r="E207" s="1" t="s">
        <v>83</v>
      </c>
      <c r="F207" s="1" t="s">
        <v>23</v>
      </c>
      <c r="G207" s="1" t="s">
        <v>13</v>
      </c>
      <c r="H207" s="1">
        <v>91000.0</v>
      </c>
      <c r="I207" s="1" t="s">
        <v>14</v>
      </c>
      <c r="J207" s="1" t="s">
        <v>25</v>
      </c>
    </row>
    <row r="208">
      <c r="A208" s="1">
        <v>216.0</v>
      </c>
      <c r="B208" s="2">
        <v>45864.444768518515</v>
      </c>
      <c r="C208" s="1" t="s">
        <v>303</v>
      </c>
      <c r="D208" s="1">
        <v>2.0</v>
      </c>
      <c r="E208" s="1" t="s">
        <v>83</v>
      </c>
      <c r="F208" s="1" t="s">
        <v>12</v>
      </c>
      <c r="G208" s="1" t="s">
        <v>13</v>
      </c>
      <c r="H208" s="1">
        <v>189000.0</v>
      </c>
      <c r="I208" s="1" t="s">
        <v>14</v>
      </c>
      <c r="J208" s="1" t="s">
        <v>25</v>
      </c>
    </row>
    <row r="209">
      <c r="A209" s="1">
        <v>217.0</v>
      </c>
      <c r="B209" s="2">
        <v>45864.52716435185</v>
      </c>
      <c r="C209" s="1" t="s">
        <v>304</v>
      </c>
      <c r="D209" s="1">
        <v>2.0</v>
      </c>
      <c r="E209" s="1" t="s">
        <v>78</v>
      </c>
      <c r="F209" s="1" t="s">
        <v>12</v>
      </c>
      <c r="G209" s="1" t="s">
        <v>13</v>
      </c>
      <c r="H209" s="1">
        <v>383400.0</v>
      </c>
      <c r="I209" s="1" t="s">
        <v>14</v>
      </c>
      <c r="J209" s="1" t="s">
        <v>25</v>
      </c>
    </row>
    <row r="210">
      <c r="A210" s="1">
        <v>218.0</v>
      </c>
      <c r="B210" s="2">
        <v>45864.52880787037</v>
      </c>
      <c r="C210" s="1" t="s">
        <v>305</v>
      </c>
      <c r="D210" s="1">
        <v>2.0</v>
      </c>
      <c r="E210" s="1" t="s">
        <v>89</v>
      </c>
      <c r="F210" s="1" t="s">
        <v>12</v>
      </c>
      <c r="G210" s="1" t="s">
        <v>20</v>
      </c>
      <c r="H210" s="1">
        <v>69000.0</v>
      </c>
      <c r="I210" s="1" t="s">
        <v>14</v>
      </c>
      <c r="J210" s="1" t="s">
        <v>25</v>
      </c>
    </row>
    <row r="211">
      <c r="A211" s="1">
        <v>219.0</v>
      </c>
      <c r="B211" s="2">
        <v>45867.713217592594</v>
      </c>
      <c r="C211" s="1" t="s">
        <v>77</v>
      </c>
      <c r="D211" s="1">
        <v>2.0</v>
      </c>
      <c r="E211" s="1" t="s">
        <v>119</v>
      </c>
      <c r="F211" s="1" t="s">
        <v>12</v>
      </c>
      <c r="G211" s="1" t="s">
        <v>13</v>
      </c>
      <c r="H211" s="1">
        <v>128000.0</v>
      </c>
      <c r="I211" s="1" t="s">
        <v>14</v>
      </c>
      <c r="J211" s="1" t="s">
        <v>25</v>
      </c>
    </row>
    <row r="212">
      <c r="A212" s="1">
        <v>220.0</v>
      </c>
      <c r="B212" s="2">
        <v>45867.7221875</v>
      </c>
      <c r="C212" s="1" t="s">
        <v>306</v>
      </c>
      <c r="D212" s="1">
        <v>2.0</v>
      </c>
      <c r="E212" s="1" t="s">
        <v>201</v>
      </c>
      <c r="F212" s="1" t="s">
        <v>12</v>
      </c>
      <c r="G212" s="1" t="s">
        <v>131</v>
      </c>
      <c r="H212" s="1">
        <v>90000.0</v>
      </c>
      <c r="I212" s="1" t="s">
        <v>14</v>
      </c>
      <c r="J212" s="1" t="s">
        <v>25</v>
      </c>
    </row>
    <row r="213">
      <c r="A213" s="1">
        <v>221.0</v>
      </c>
      <c r="B213" s="2">
        <v>45867.75274305556</v>
      </c>
      <c r="C213" s="1" t="s">
        <v>307</v>
      </c>
      <c r="D213" s="1">
        <v>2.0</v>
      </c>
      <c r="E213" s="1" t="s">
        <v>89</v>
      </c>
      <c r="F213" s="1" t="s">
        <v>12</v>
      </c>
      <c r="G213" s="1" t="s">
        <v>20</v>
      </c>
      <c r="H213" s="1">
        <v>189000.0</v>
      </c>
      <c r="I213" s="1" t="s">
        <v>14</v>
      </c>
      <c r="J213" s="1" t="s">
        <v>25</v>
      </c>
    </row>
    <row r="214">
      <c r="A214" s="1">
        <v>222.0</v>
      </c>
      <c r="B214" s="2">
        <v>45867.82597222222</v>
      </c>
      <c r="C214" s="1" t="s">
        <v>308</v>
      </c>
      <c r="D214" s="1">
        <v>2.0</v>
      </c>
      <c r="E214" s="1" t="s">
        <v>78</v>
      </c>
      <c r="F214" s="1" t="s">
        <v>12</v>
      </c>
      <c r="G214" s="1" t="s">
        <v>13</v>
      </c>
      <c r="H214" s="1">
        <v>268000.0</v>
      </c>
      <c r="I214" s="1" t="s">
        <v>14</v>
      </c>
      <c r="J214" s="1" t="s">
        <v>25</v>
      </c>
    </row>
    <row r="215">
      <c r="A215" s="1">
        <v>223.0</v>
      </c>
      <c r="B215" s="2">
        <v>45868.57064814815</v>
      </c>
      <c r="C215" s="1" t="s">
        <v>309</v>
      </c>
      <c r="D215" s="1">
        <v>2.0</v>
      </c>
      <c r="E215" s="1" t="s">
        <v>83</v>
      </c>
      <c r="F215" s="1" t="s">
        <v>12</v>
      </c>
      <c r="G215" s="1" t="s">
        <v>13</v>
      </c>
      <c r="H215" s="1">
        <v>1028000.0</v>
      </c>
      <c r="I215" s="1" t="s">
        <v>14</v>
      </c>
      <c r="J215" s="1" t="s">
        <v>310</v>
      </c>
    </row>
    <row r="216">
      <c r="A216" s="1">
        <v>224.0</v>
      </c>
      <c r="B216" s="2">
        <v>45868.577210648145</v>
      </c>
      <c r="C216" s="1" t="s">
        <v>311</v>
      </c>
      <c r="D216" s="1">
        <v>2.0</v>
      </c>
      <c r="E216" s="1" t="s">
        <v>83</v>
      </c>
      <c r="F216" s="1" t="s">
        <v>12</v>
      </c>
      <c r="G216" s="1" t="s">
        <v>13</v>
      </c>
      <c r="H216" s="1">
        <v>266000.0</v>
      </c>
      <c r="I216" s="1" t="s">
        <v>14</v>
      </c>
      <c r="J216" s="1" t="s">
        <v>312</v>
      </c>
    </row>
    <row r="217">
      <c r="A217" s="1">
        <v>225.0</v>
      </c>
      <c r="B217" s="2">
        <v>45868.729780092595</v>
      </c>
      <c r="C217" s="1" t="s">
        <v>313</v>
      </c>
      <c r="D217" s="1">
        <v>2.0</v>
      </c>
      <c r="E217" s="1" t="s">
        <v>78</v>
      </c>
      <c r="F217" s="1" t="s">
        <v>12</v>
      </c>
      <c r="G217" s="1" t="s">
        <v>20</v>
      </c>
      <c r="H217" s="1">
        <v>130000.0</v>
      </c>
      <c r="I217" s="1" t="s">
        <v>14</v>
      </c>
      <c r="J217" s="1" t="s">
        <v>314</v>
      </c>
    </row>
    <row r="218">
      <c r="A218" s="1">
        <v>226.0</v>
      </c>
      <c r="B218" s="2">
        <v>45868.76483796296</v>
      </c>
      <c r="C218" s="1" t="s">
        <v>315</v>
      </c>
      <c r="D218" s="1">
        <v>1.0</v>
      </c>
      <c r="E218" s="1" t="s">
        <v>83</v>
      </c>
      <c r="F218" s="1" t="s">
        <v>12</v>
      </c>
      <c r="G218" s="1" t="s">
        <v>28</v>
      </c>
      <c r="H218" s="1">
        <v>120000.0</v>
      </c>
      <c r="I218" s="1" t="s">
        <v>14</v>
      </c>
      <c r="J218" s="1" t="s">
        <v>316</v>
      </c>
    </row>
    <row r="219">
      <c r="A219" s="1">
        <v>227.0</v>
      </c>
      <c r="B219" s="2">
        <v>45869.436898148146</v>
      </c>
      <c r="C219" s="1" t="s">
        <v>317</v>
      </c>
      <c r="D219" s="1">
        <v>2.0</v>
      </c>
      <c r="E219" s="1" t="s">
        <v>94</v>
      </c>
      <c r="F219" s="1" t="s">
        <v>12</v>
      </c>
      <c r="G219" s="1" t="s">
        <v>131</v>
      </c>
      <c r="H219" s="1">
        <v>149000.0</v>
      </c>
      <c r="I219" s="1" t="s">
        <v>14</v>
      </c>
      <c r="J219" s="1" t="s">
        <v>25</v>
      </c>
    </row>
    <row r="220">
      <c r="A220" s="1">
        <v>228.0</v>
      </c>
      <c r="B220" s="2">
        <v>45869.77961805555</v>
      </c>
      <c r="C220" s="1" t="s">
        <v>318</v>
      </c>
      <c r="D220" s="1">
        <v>1.0</v>
      </c>
      <c r="E220" s="1" t="s">
        <v>89</v>
      </c>
      <c r="F220" s="1" t="s">
        <v>12</v>
      </c>
      <c r="G220" s="1" t="s">
        <v>20</v>
      </c>
      <c r="H220" s="1">
        <v>107100.0</v>
      </c>
      <c r="I220" s="1" t="s">
        <v>60</v>
      </c>
      <c r="J220" s="1" t="s">
        <v>25</v>
      </c>
    </row>
    <row r="221">
      <c r="A221" s="1">
        <v>229.0</v>
      </c>
      <c r="B221" s="2">
        <v>45870.77545138889</v>
      </c>
      <c r="C221" s="1" t="s">
        <v>319</v>
      </c>
      <c r="D221" s="1">
        <v>2.0</v>
      </c>
      <c r="E221" s="1" t="s">
        <v>97</v>
      </c>
      <c r="F221" s="1" t="s">
        <v>12</v>
      </c>
      <c r="G221" s="1" t="s">
        <v>13</v>
      </c>
      <c r="H221" s="1">
        <v>241000.0</v>
      </c>
      <c r="I221" s="1" t="s">
        <v>14</v>
      </c>
      <c r="J221" s="1" t="s">
        <v>320</v>
      </c>
    </row>
    <row r="222">
      <c r="A222" s="1">
        <v>230.0</v>
      </c>
      <c r="B222" s="2">
        <v>45874.71494212963</v>
      </c>
      <c r="C222" s="1" t="s">
        <v>321</v>
      </c>
      <c r="D222" s="1">
        <v>2.0</v>
      </c>
      <c r="E222" s="1" t="s">
        <v>119</v>
      </c>
      <c r="F222" s="1" t="s">
        <v>12</v>
      </c>
      <c r="G222" s="1" t="s">
        <v>13</v>
      </c>
      <c r="H222" s="1">
        <v>159200.0</v>
      </c>
      <c r="I222" s="1" t="s">
        <v>14</v>
      </c>
      <c r="J222" s="1" t="s">
        <v>25</v>
      </c>
    </row>
    <row r="223">
      <c r="A223" s="1">
        <v>231.0</v>
      </c>
      <c r="B223" s="2">
        <v>45875.539351851854</v>
      </c>
      <c r="C223" s="1" t="s">
        <v>322</v>
      </c>
      <c r="D223" s="1">
        <v>2.0</v>
      </c>
      <c r="E223" s="1" t="s">
        <v>78</v>
      </c>
      <c r="F223" s="1" t="s">
        <v>12</v>
      </c>
      <c r="G223" s="1" t="s">
        <v>38</v>
      </c>
      <c r="H223" s="1">
        <v>170000.0</v>
      </c>
      <c r="I223" s="1" t="s">
        <v>14</v>
      </c>
      <c r="J223" s="1" t="s">
        <v>25</v>
      </c>
    </row>
    <row r="224">
      <c r="A224" s="1">
        <v>232.0</v>
      </c>
      <c r="B224" s="2">
        <v>45876.78219907408</v>
      </c>
      <c r="C224" s="1" t="s">
        <v>323</v>
      </c>
      <c r="D224" s="1">
        <v>2.0</v>
      </c>
      <c r="E224" s="1" t="s">
        <v>89</v>
      </c>
      <c r="F224" s="1" t="s">
        <v>12</v>
      </c>
      <c r="G224" s="1" t="s">
        <v>13</v>
      </c>
      <c r="H224" s="1">
        <v>178750.0</v>
      </c>
      <c r="I224" s="1" t="s">
        <v>14</v>
      </c>
      <c r="J224" s="1" t="s">
        <v>25</v>
      </c>
    </row>
    <row r="225">
      <c r="A225" s="1">
        <v>233.0</v>
      </c>
      <c r="B225" s="2">
        <v>45876.80266203704</v>
      </c>
      <c r="C225" s="1" t="s">
        <v>324</v>
      </c>
      <c r="D225" s="1">
        <v>2.0</v>
      </c>
      <c r="E225" s="1" t="s">
        <v>97</v>
      </c>
      <c r="F225" s="1" t="s">
        <v>12</v>
      </c>
      <c r="G225" s="1" t="s">
        <v>20</v>
      </c>
      <c r="H225" s="1">
        <v>416473.39</v>
      </c>
      <c r="I225" s="1" t="s">
        <v>14</v>
      </c>
      <c r="J225" s="1" t="s">
        <v>325</v>
      </c>
    </row>
    <row r="226">
      <c r="A226" s="1">
        <v>234.0</v>
      </c>
      <c r="B226" s="2">
        <v>45877.522511574076</v>
      </c>
      <c r="C226" s="1" t="s">
        <v>326</v>
      </c>
      <c r="D226" s="1">
        <v>2.0</v>
      </c>
      <c r="E226" s="1" t="s">
        <v>83</v>
      </c>
      <c r="F226" s="1" t="s">
        <v>12</v>
      </c>
      <c r="G226" s="1" t="s">
        <v>13</v>
      </c>
      <c r="H226" s="1">
        <v>173100.0</v>
      </c>
      <c r="I226" s="1" t="s">
        <v>14</v>
      </c>
      <c r="J226" s="1" t="s">
        <v>25</v>
      </c>
    </row>
    <row r="227">
      <c r="A227" s="1">
        <v>235.0</v>
      </c>
      <c r="B227" s="2">
        <v>45877.55430555555</v>
      </c>
      <c r="C227" s="1" t="s">
        <v>327</v>
      </c>
      <c r="D227" s="1">
        <v>2.0</v>
      </c>
      <c r="E227" s="1" t="s">
        <v>83</v>
      </c>
      <c r="F227" s="1" t="s">
        <v>12</v>
      </c>
      <c r="G227" s="1" t="s">
        <v>80</v>
      </c>
      <c r="H227" s="1">
        <v>138000.0</v>
      </c>
      <c r="I227" s="1" t="s">
        <v>14</v>
      </c>
      <c r="J227" s="1" t="s">
        <v>328</v>
      </c>
    </row>
    <row r="228">
      <c r="A228" s="1">
        <v>236.0</v>
      </c>
      <c r="B228" s="2">
        <v>45877.71020833333</v>
      </c>
      <c r="C228" s="1" t="s">
        <v>329</v>
      </c>
      <c r="D228" s="1">
        <v>2.0</v>
      </c>
      <c r="E228" s="1" t="s">
        <v>97</v>
      </c>
      <c r="F228" s="1" t="s">
        <v>12</v>
      </c>
      <c r="G228" s="1" t="s">
        <v>38</v>
      </c>
      <c r="H228" s="1">
        <v>287000.0</v>
      </c>
      <c r="I228" s="1" t="s">
        <v>14</v>
      </c>
      <c r="J228" s="1" t="s">
        <v>25</v>
      </c>
    </row>
    <row r="229">
      <c r="A229" s="1">
        <v>237.0</v>
      </c>
      <c r="B229" s="2">
        <v>45877.73092592593</v>
      </c>
      <c r="C229" s="1" t="s">
        <v>330</v>
      </c>
      <c r="D229" s="1">
        <v>2.0</v>
      </c>
      <c r="E229" s="1" t="s">
        <v>89</v>
      </c>
      <c r="F229" s="1" t="s">
        <v>12</v>
      </c>
      <c r="G229" s="1" t="s">
        <v>13</v>
      </c>
      <c r="H229" s="1">
        <v>239000.0</v>
      </c>
      <c r="I229" s="1" t="s">
        <v>14</v>
      </c>
      <c r="J229" s="1" t="s">
        <v>25</v>
      </c>
    </row>
    <row r="230">
      <c r="A230" s="1">
        <v>238.0</v>
      </c>
      <c r="B230" s="2">
        <v>45880.68181712963</v>
      </c>
      <c r="C230" s="1" t="s">
        <v>330</v>
      </c>
      <c r="D230" s="1">
        <v>1.0</v>
      </c>
      <c r="E230" s="1" t="s">
        <v>97</v>
      </c>
      <c r="F230" s="1" t="s">
        <v>12</v>
      </c>
      <c r="G230" s="1" t="s">
        <v>13</v>
      </c>
      <c r="H230" s="1">
        <v>116280.0</v>
      </c>
      <c r="I230" s="1" t="s">
        <v>60</v>
      </c>
      <c r="J230" s="1" t="s">
        <v>25</v>
      </c>
    </row>
    <row r="231">
      <c r="A231" s="1">
        <v>239.0</v>
      </c>
      <c r="B231" s="2">
        <v>45880.741215277776</v>
      </c>
      <c r="C231" s="1" t="s">
        <v>331</v>
      </c>
      <c r="D231" s="1">
        <v>1.0</v>
      </c>
      <c r="E231" s="1" t="s">
        <v>119</v>
      </c>
      <c r="F231" s="1" t="s">
        <v>12</v>
      </c>
      <c r="G231" s="1" t="s">
        <v>28</v>
      </c>
      <c r="H231" s="1">
        <v>86700.0</v>
      </c>
      <c r="I231" s="1" t="s">
        <v>60</v>
      </c>
      <c r="J231" s="1" t="s">
        <v>332</v>
      </c>
    </row>
    <row r="232">
      <c r="A232" s="1">
        <v>240.0</v>
      </c>
      <c r="B232" s="2">
        <v>45880.76828703703</v>
      </c>
      <c r="C232" s="1" t="s">
        <v>333</v>
      </c>
      <c r="D232" s="1">
        <v>2.0</v>
      </c>
      <c r="E232" s="1" t="s">
        <v>78</v>
      </c>
      <c r="F232" s="1" t="s">
        <v>12</v>
      </c>
      <c r="G232" s="1" t="s">
        <v>28</v>
      </c>
      <c r="H232" s="1">
        <v>133231.81</v>
      </c>
      <c r="I232" s="1" t="s">
        <v>14</v>
      </c>
      <c r="J232" s="1" t="s">
        <v>25</v>
      </c>
    </row>
    <row r="233">
      <c r="A233" s="1">
        <v>241.0</v>
      </c>
      <c r="B233" s="2">
        <v>45880.76950231481</v>
      </c>
      <c r="C233" s="1" t="s">
        <v>334</v>
      </c>
      <c r="D233" s="1">
        <v>2.0</v>
      </c>
      <c r="E233" s="1" t="s">
        <v>78</v>
      </c>
      <c r="F233" s="1" t="s">
        <v>12</v>
      </c>
      <c r="G233" s="1" t="s">
        <v>28</v>
      </c>
      <c r="H233" s="1">
        <v>204871.81</v>
      </c>
      <c r="I233" s="1" t="s">
        <v>14</v>
      </c>
      <c r="J233" s="1" t="s">
        <v>25</v>
      </c>
    </row>
    <row r="234">
      <c r="A234" s="1">
        <v>242.0</v>
      </c>
      <c r="B234" s="2">
        <v>45880.79684027778</v>
      </c>
      <c r="C234" s="1" t="s">
        <v>317</v>
      </c>
      <c r="D234" s="1">
        <v>1.0</v>
      </c>
      <c r="E234" s="1" t="s">
        <v>94</v>
      </c>
      <c r="F234" s="1" t="s">
        <v>12</v>
      </c>
      <c r="G234" s="1" t="s">
        <v>20</v>
      </c>
      <c r="H234" s="1">
        <v>210000.0</v>
      </c>
      <c r="I234" s="1" t="s">
        <v>14</v>
      </c>
      <c r="J234" s="1" t="s">
        <v>25</v>
      </c>
    </row>
    <row r="235">
      <c r="A235" s="1">
        <v>243.0</v>
      </c>
      <c r="B235" s="2">
        <v>45880.80401620371</v>
      </c>
      <c r="C235" s="1" t="s">
        <v>335</v>
      </c>
      <c r="D235" s="1">
        <v>2.0</v>
      </c>
      <c r="E235" s="1" t="s">
        <v>78</v>
      </c>
      <c r="F235" s="1" t="s">
        <v>12</v>
      </c>
      <c r="G235" s="1" t="s">
        <v>28</v>
      </c>
      <c r="H235" s="1">
        <v>246000.0</v>
      </c>
      <c r="I235" s="1" t="s">
        <v>14</v>
      </c>
      <c r="J235" s="1" t="s">
        <v>336</v>
      </c>
    </row>
    <row r="236">
      <c r="A236" s="1">
        <v>244.0</v>
      </c>
      <c r="B236" s="2">
        <v>45880.81023148148</v>
      </c>
      <c r="C236" s="1" t="s">
        <v>337</v>
      </c>
      <c r="D236" s="1">
        <v>1.0</v>
      </c>
      <c r="E236" s="1" t="s">
        <v>119</v>
      </c>
      <c r="F236" s="1" t="s">
        <v>12</v>
      </c>
      <c r="G236" s="1" t="s">
        <v>13</v>
      </c>
      <c r="H236" s="1">
        <v>122400.0</v>
      </c>
      <c r="I236" s="1" t="s">
        <v>14</v>
      </c>
      <c r="J236" s="1" t="s">
        <v>25</v>
      </c>
    </row>
    <row r="237">
      <c r="A237" s="1">
        <v>245.0</v>
      </c>
      <c r="B237" s="2">
        <v>45881.43981481482</v>
      </c>
      <c r="C237" s="1" t="s">
        <v>338</v>
      </c>
      <c r="D237" s="1">
        <v>2.0</v>
      </c>
      <c r="E237" s="1" t="s">
        <v>78</v>
      </c>
      <c r="F237" s="1" t="s">
        <v>12</v>
      </c>
      <c r="G237" s="1" t="s">
        <v>13</v>
      </c>
      <c r="H237" s="1">
        <v>388000.0</v>
      </c>
      <c r="I237" s="1" t="s">
        <v>14</v>
      </c>
      <c r="J237" s="1" t="s">
        <v>339</v>
      </c>
    </row>
    <row r="238">
      <c r="A238" s="1">
        <v>246.0</v>
      </c>
      <c r="B238" s="2">
        <v>45881.444548611114</v>
      </c>
      <c r="C238" s="1" t="s">
        <v>340</v>
      </c>
      <c r="D238" s="1">
        <v>2.0</v>
      </c>
      <c r="E238" s="1" t="s">
        <v>78</v>
      </c>
      <c r="F238" s="1" t="s">
        <v>12</v>
      </c>
      <c r="G238" s="1" t="s">
        <v>13</v>
      </c>
      <c r="H238" s="1">
        <v>329000.0</v>
      </c>
      <c r="I238" s="1" t="s">
        <v>14</v>
      </c>
      <c r="J238" s="1" t="s">
        <v>341</v>
      </c>
    </row>
    <row r="239">
      <c r="A239" s="1">
        <v>247.0</v>
      </c>
      <c r="B239" s="2">
        <v>45882.48403935185</v>
      </c>
      <c r="C239" s="1" t="s">
        <v>342</v>
      </c>
      <c r="D239" s="1">
        <v>2.0</v>
      </c>
      <c r="E239" s="1" t="s">
        <v>94</v>
      </c>
      <c r="F239" s="1" t="s">
        <v>12</v>
      </c>
      <c r="G239" s="1" t="s">
        <v>20</v>
      </c>
      <c r="H239" s="1">
        <v>360534.29</v>
      </c>
      <c r="I239" s="1" t="s">
        <v>60</v>
      </c>
      <c r="J239" s="1" t="s">
        <v>25</v>
      </c>
    </row>
    <row r="240">
      <c r="A240" s="1">
        <v>248.0</v>
      </c>
      <c r="B240" s="2">
        <v>45882.51321759259</v>
      </c>
      <c r="C240" s="1" t="s">
        <v>343</v>
      </c>
      <c r="D240" s="1">
        <v>2.0</v>
      </c>
      <c r="E240" s="1" t="s">
        <v>89</v>
      </c>
      <c r="F240" s="1" t="s">
        <v>12</v>
      </c>
      <c r="G240" s="1" t="s">
        <v>80</v>
      </c>
      <c r="H240" s="1">
        <v>40000.0</v>
      </c>
      <c r="I240" s="1" t="s">
        <v>14</v>
      </c>
      <c r="J240" s="1" t="s">
        <v>25</v>
      </c>
    </row>
    <row r="241">
      <c r="A241" s="1">
        <v>249.0</v>
      </c>
      <c r="B241" s="2">
        <v>45883.69872685185</v>
      </c>
      <c r="C241" s="1" t="s">
        <v>344</v>
      </c>
      <c r="D241" s="1">
        <v>2.0</v>
      </c>
      <c r="E241" s="1" t="s">
        <v>78</v>
      </c>
      <c r="F241" s="1" t="s">
        <v>12</v>
      </c>
      <c r="G241" s="1" t="s">
        <v>131</v>
      </c>
      <c r="H241" s="1">
        <v>80750.0</v>
      </c>
      <c r="I241" s="1" t="s">
        <v>60</v>
      </c>
      <c r="J241" s="1" t="s">
        <v>345</v>
      </c>
    </row>
    <row r="242">
      <c r="A242" s="1">
        <v>250.0</v>
      </c>
      <c r="B242" s="2">
        <v>45883.80668981482</v>
      </c>
      <c r="C242" s="1" t="s">
        <v>346</v>
      </c>
      <c r="D242" s="1">
        <v>2.0</v>
      </c>
      <c r="E242" s="1" t="s">
        <v>89</v>
      </c>
      <c r="F242" s="1" t="s">
        <v>12</v>
      </c>
      <c r="G242" s="1" t="s">
        <v>20</v>
      </c>
      <c r="H242" s="1">
        <v>118855.47</v>
      </c>
      <c r="I242" s="1" t="s">
        <v>60</v>
      </c>
      <c r="J242" s="1" t="s">
        <v>25</v>
      </c>
    </row>
    <row r="243">
      <c r="A243" s="1">
        <v>251.0</v>
      </c>
      <c r="B243" s="2">
        <v>45884.48353009259</v>
      </c>
      <c r="C243" s="1" t="s">
        <v>347</v>
      </c>
      <c r="D243" s="1">
        <v>2.0</v>
      </c>
      <c r="E243" s="1" t="s">
        <v>94</v>
      </c>
      <c r="F243" s="1" t="s">
        <v>23</v>
      </c>
      <c r="G243" s="1" t="s">
        <v>80</v>
      </c>
      <c r="H243" s="1">
        <v>51000.0</v>
      </c>
      <c r="I243" s="1" t="s">
        <v>14</v>
      </c>
      <c r="J243" s="1" t="s">
        <v>25</v>
      </c>
    </row>
    <row r="244">
      <c r="A244" s="1">
        <v>252.0</v>
      </c>
      <c r="B244" s="2">
        <v>45885.579722222225</v>
      </c>
      <c r="C244" s="1" t="s">
        <v>348</v>
      </c>
      <c r="D244" s="1">
        <v>2.0</v>
      </c>
      <c r="E244" s="1" t="s">
        <v>78</v>
      </c>
      <c r="F244" s="1" t="s">
        <v>12</v>
      </c>
      <c r="G244" s="1" t="s">
        <v>131</v>
      </c>
      <c r="H244" s="1">
        <v>211446.0</v>
      </c>
      <c r="I244" s="1" t="s">
        <v>60</v>
      </c>
      <c r="J244" s="1" t="s">
        <v>349</v>
      </c>
    </row>
    <row r="245">
      <c r="A245" s="1">
        <v>253.0</v>
      </c>
      <c r="B245" s="2">
        <v>45887.47248842593</v>
      </c>
      <c r="C245" s="1" t="s">
        <v>350</v>
      </c>
      <c r="D245" s="1">
        <v>1.0</v>
      </c>
      <c r="E245" s="1" t="s">
        <v>83</v>
      </c>
      <c r="F245" s="1" t="s">
        <v>12</v>
      </c>
      <c r="G245" s="1" t="s">
        <v>20</v>
      </c>
      <c r="H245" s="1">
        <v>0.0</v>
      </c>
      <c r="I245" s="1" t="s">
        <v>14</v>
      </c>
      <c r="J245" s="1" t="s">
        <v>25</v>
      </c>
    </row>
    <row r="246">
      <c r="A246" s="1">
        <v>254.0</v>
      </c>
      <c r="B246" s="2">
        <v>45887.47386574074</v>
      </c>
      <c r="C246" s="1" t="s">
        <v>351</v>
      </c>
      <c r="D246" s="1">
        <v>1.0</v>
      </c>
      <c r="E246" s="1" t="s">
        <v>83</v>
      </c>
      <c r="F246" s="1" t="s">
        <v>12</v>
      </c>
      <c r="G246" s="1" t="s">
        <v>20</v>
      </c>
      <c r="H246" s="1">
        <v>0.0</v>
      </c>
      <c r="I246" s="1" t="s">
        <v>14</v>
      </c>
      <c r="J246" s="1" t="s">
        <v>25</v>
      </c>
    </row>
    <row r="247">
      <c r="A247" s="1">
        <v>255.0</v>
      </c>
      <c r="B247" s="2">
        <v>45887.51600694445</v>
      </c>
      <c r="C247" s="1" t="s">
        <v>352</v>
      </c>
      <c r="D247" s="1">
        <v>2.0</v>
      </c>
      <c r="E247" s="1" t="s">
        <v>83</v>
      </c>
      <c r="F247" s="1" t="s">
        <v>12</v>
      </c>
      <c r="G247" s="1" t="s">
        <v>13</v>
      </c>
      <c r="H247" s="1">
        <v>177000.0</v>
      </c>
      <c r="I247" s="1" t="s">
        <v>14</v>
      </c>
      <c r="J247" s="1" t="s">
        <v>25</v>
      </c>
    </row>
    <row r="248">
      <c r="A248" s="1">
        <v>256.0</v>
      </c>
      <c r="B248" s="2">
        <v>45887.76832175926</v>
      </c>
      <c r="C248" s="1" t="s">
        <v>353</v>
      </c>
      <c r="D248" s="1">
        <v>2.0</v>
      </c>
      <c r="E248" s="1" t="s">
        <v>94</v>
      </c>
      <c r="F248" s="1" t="s">
        <v>12</v>
      </c>
      <c r="G248" s="1" t="s">
        <v>13</v>
      </c>
      <c r="H248" s="1">
        <v>153231.81</v>
      </c>
      <c r="I248" s="1" t="s">
        <v>14</v>
      </c>
      <c r="J248" s="1" t="s">
        <v>25</v>
      </c>
    </row>
    <row r="249">
      <c r="A249" s="1">
        <v>257.0</v>
      </c>
      <c r="B249" s="2">
        <v>45887.81349537037</v>
      </c>
      <c r="C249" s="1" t="s">
        <v>354</v>
      </c>
      <c r="D249" s="1">
        <v>2.0</v>
      </c>
      <c r="E249" s="1" t="s">
        <v>94</v>
      </c>
      <c r="F249" s="1" t="s">
        <v>12</v>
      </c>
      <c r="G249" s="1" t="s">
        <v>80</v>
      </c>
      <c r="H249" s="1">
        <v>174000.0</v>
      </c>
      <c r="I249" s="1" t="s">
        <v>14</v>
      </c>
      <c r="J249" s="1" t="s">
        <v>25</v>
      </c>
    </row>
    <row r="250">
      <c r="A250" s="1">
        <v>258.0</v>
      </c>
      <c r="B250" s="2">
        <v>45887.817511574074</v>
      </c>
      <c r="C250" s="1" t="s">
        <v>355</v>
      </c>
      <c r="D250" s="1">
        <v>2.0</v>
      </c>
      <c r="E250" s="1" t="s">
        <v>83</v>
      </c>
      <c r="F250" s="1" t="s">
        <v>12</v>
      </c>
      <c r="G250" s="1" t="s">
        <v>131</v>
      </c>
      <c r="H250" s="1">
        <v>120000.0</v>
      </c>
      <c r="I250" s="1" t="s">
        <v>14</v>
      </c>
      <c r="J250" s="1" t="s">
        <v>25</v>
      </c>
    </row>
    <row r="251">
      <c r="A251" s="1">
        <v>259.0</v>
      </c>
      <c r="B251" s="2">
        <v>45888.536458333336</v>
      </c>
      <c r="C251" s="1" t="s">
        <v>356</v>
      </c>
      <c r="D251" s="1">
        <v>2.0</v>
      </c>
      <c r="E251" s="1" t="s">
        <v>78</v>
      </c>
      <c r="F251" s="1" t="s">
        <v>12</v>
      </c>
      <c r="G251" s="1" t="s">
        <v>131</v>
      </c>
      <c r="H251" s="1">
        <v>383350.0</v>
      </c>
      <c r="I251" s="1" t="s">
        <v>60</v>
      </c>
      <c r="J251" s="1" t="s">
        <v>357</v>
      </c>
    </row>
    <row r="252">
      <c r="A252" s="1">
        <v>260.0</v>
      </c>
      <c r="B252" s="2">
        <v>45888.79837962963</v>
      </c>
      <c r="C252" s="1" t="s">
        <v>358</v>
      </c>
      <c r="D252" s="1">
        <v>2.0</v>
      </c>
      <c r="E252" s="1" t="s">
        <v>119</v>
      </c>
      <c r="F252" s="1" t="s">
        <v>12</v>
      </c>
      <c r="G252" s="1" t="s">
        <v>13</v>
      </c>
      <c r="H252" s="1">
        <v>201000.0</v>
      </c>
      <c r="I252" s="1" t="s">
        <v>14</v>
      </c>
      <c r="J252" s="1" t="s">
        <v>25</v>
      </c>
    </row>
    <row r="253">
      <c r="A253" s="1">
        <v>261.0</v>
      </c>
      <c r="B253" s="2">
        <v>45889.54493055555</v>
      </c>
      <c r="C253" s="1" t="s">
        <v>359</v>
      </c>
      <c r="D253" s="1">
        <v>2.0</v>
      </c>
      <c r="E253" s="1" t="s">
        <v>89</v>
      </c>
      <c r="F253" s="1" t="s">
        <v>12</v>
      </c>
      <c r="G253" s="1" t="s">
        <v>13</v>
      </c>
      <c r="H253" s="1">
        <v>61231.81</v>
      </c>
      <c r="I253" s="1" t="s">
        <v>14</v>
      </c>
      <c r="J253" s="1" t="s">
        <v>25</v>
      </c>
    </row>
    <row r="254">
      <c r="A254" s="1">
        <v>262.0</v>
      </c>
      <c r="B254" s="2">
        <v>45890.71542824074</v>
      </c>
      <c r="C254" s="1" t="s">
        <v>360</v>
      </c>
      <c r="D254" s="1">
        <v>2.0</v>
      </c>
      <c r="E254" s="1" t="s">
        <v>83</v>
      </c>
      <c r="F254" s="1" t="s">
        <v>12</v>
      </c>
      <c r="G254" s="1" t="s">
        <v>38</v>
      </c>
      <c r="H254" s="1">
        <v>200000.0</v>
      </c>
      <c r="I254" s="1" t="s">
        <v>14</v>
      </c>
      <c r="J254" s="1" t="s">
        <v>361</v>
      </c>
    </row>
    <row r="255">
      <c r="A255" s="1">
        <v>263.0</v>
      </c>
      <c r="B255" s="2">
        <v>45894.392013888886</v>
      </c>
      <c r="C255" s="1" t="s">
        <v>362</v>
      </c>
      <c r="D255" s="1">
        <v>1.0</v>
      </c>
      <c r="E255" s="1" t="s">
        <v>78</v>
      </c>
      <c r="F255" s="1" t="s">
        <v>23</v>
      </c>
      <c r="G255" s="1" t="s">
        <v>13</v>
      </c>
      <c r="H255" s="1">
        <v>170000.0</v>
      </c>
      <c r="I255" s="1" t="s">
        <v>14</v>
      </c>
      <c r="J255" s="1" t="s">
        <v>25</v>
      </c>
    </row>
    <row r="256">
      <c r="A256" s="1">
        <v>264.0</v>
      </c>
      <c r="B256" s="2">
        <v>45894.405810185184</v>
      </c>
      <c r="C256" s="1" t="s">
        <v>362</v>
      </c>
      <c r="D256" s="1">
        <v>1.0</v>
      </c>
      <c r="E256" s="1" t="s">
        <v>89</v>
      </c>
      <c r="F256" s="1" t="s">
        <v>12</v>
      </c>
      <c r="G256" s="1" t="s">
        <v>13</v>
      </c>
      <c r="H256" s="1">
        <v>161500.0</v>
      </c>
      <c r="I256" s="1" t="s">
        <v>48</v>
      </c>
      <c r="J256" s="1" t="s">
        <v>25</v>
      </c>
    </row>
    <row r="257">
      <c r="A257" s="1">
        <v>265.0</v>
      </c>
      <c r="B257" s="2">
        <v>45896.45391203704</v>
      </c>
      <c r="C257" s="1" t="s">
        <v>363</v>
      </c>
      <c r="D257" s="1">
        <v>1.0</v>
      </c>
      <c r="E257" s="1" t="s">
        <v>83</v>
      </c>
      <c r="F257" s="1" t="s">
        <v>12</v>
      </c>
      <c r="G257" s="1" t="s">
        <v>28</v>
      </c>
      <c r="H257" s="1">
        <v>476000.0</v>
      </c>
      <c r="I257" s="1" t="s">
        <v>14</v>
      </c>
      <c r="J257" s="1" t="s">
        <v>364</v>
      </c>
    </row>
    <row r="258">
      <c r="A258" s="1">
        <v>266.0</v>
      </c>
      <c r="B258" s="2">
        <v>45896.53662037037</v>
      </c>
      <c r="C258" s="1" t="s">
        <v>365</v>
      </c>
      <c r="D258" s="1">
        <v>2.0</v>
      </c>
      <c r="E258" s="1" t="s">
        <v>97</v>
      </c>
      <c r="F258" s="1" t="s">
        <v>23</v>
      </c>
      <c r="G258" s="1" t="s">
        <v>13</v>
      </c>
      <c r="H258" s="1">
        <v>1416000.0</v>
      </c>
      <c r="I258" s="1" t="s">
        <v>14</v>
      </c>
      <c r="J258" s="1" t="s">
        <v>25</v>
      </c>
    </row>
    <row r="259">
      <c r="A259" s="1">
        <v>267.0</v>
      </c>
      <c r="B259" s="2">
        <v>45897.70248842592</v>
      </c>
      <c r="C259" s="1" t="s">
        <v>366</v>
      </c>
      <c r="D259" s="1">
        <v>2.0</v>
      </c>
      <c r="E259" s="1" t="s">
        <v>89</v>
      </c>
      <c r="F259" s="1" t="s">
        <v>12</v>
      </c>
      <c r="G259" s="1" t="s">
        <v>13</v>
      </c>
      <c r="H259" s="1">
        <v>942000.0</v>
      </c>
      <c r="I259" s="1" t="s">
        <v>14</v>
      </c>
      <c r="J259" s="1" t="s">
        <v>367</v>
      </c>
    </row>
    <row r="260">
      <c r="A260" s="1">
        <v>268.0</v>
      </c>
      <c r="B260" s="2">
        <v>45897.71695601852</v>
      </c>
      <c r="C260" s="1" t="s">
        <v>368</v>
      </c>
      <c r="D260" s="1">
        <v>2.0</v>
      </c>
      <c r="E260" s="1" t="s">
        <v>89</v>
      </c>
      <c r="F260" s="1" t="s">
        <v>12</v>
      </c>
      <c r="G260" s="1" t="s">
        <v>13</v>
      </c>
      <c r="H260" s="1">
        <v>813000.0</v>
      </c>
      <c r="I260" s="1" t="s">
        <v>14</v>
      </c>
      <c r="J260" s="1" t="s">
        <v>25</v>
      </c>
    </row>
    <row r="261">
      <c r="A261" s="1">
        <v>269.0</v>
      </c>
      <c r="B261" s="2">
        <v>45897.79554398148</v>
      </c>
      <c r="C261" s="1" t="s">
        <v>369</v>
      </c>
      <c r="D261" s="1">
        <v>2.0</v>
      </c>
      <c r="E261" s="1" t="s">
        <v>201</v>
      </c>
      <c r="F261" s="1" t="s">
        <v>12</v>
      </c>
      <c r="G261" s="1" t="s">
        <v>28</v>
      </c>
      <c r="H261" s="1">
        <v>95000.0</v>
      </c>
      <c r="I261" s="1" t="s">
        <v>14</v>
      </c>
      <c r="J261" s="1" t="s">
        <v>25</v>
      </c>
    </row>
    <row r="262">
      <c r="A262" s="1">
        <v>270.0</v>
      </c>
      <c r="B262" s="2">
        <v>45899.464108796295</v>
      </c>
      <c r="C262" s="1" t="s">
        <v>370</v>
      </c>
      <c r="D262" s="1">
        <v>2.0</v>
      </c>
      <c r="E262" s="1" t="s">
        <v>83</v>
      </c>
      <c r="F262" s="1" t="s">
        <v>12</v>
      </c>
      <c r="G262" s="1" t="s">
        <v>55</v>
      </c>
      <c r="H262" s="1">
        <v>120700.0</v>
      </c>
      <c r="I262" s="1" t="s">
        <v>60</v>
      </c>
      <c r="J262" s="1" t="s">
        <v>25</v>
      </c>
    </row>
    <row r="263">
      <c r="A263" s="1">
        <v>271.0</v>
      </c>
      <c r="B263" s="2">
        <v>45899.481412037036</v>
      </c>
      <c r="C263" s="1" t="s">
        <v>371</v>
      </c>
      <c r="D263" s="1">
        <v>1.0</v>
      </c>
      <c r="E263" s="1" t="s">
        <v>78</v>
      </c>
      <c r="F263" s="1" t="s">
        <v>12</v>
      </c>
      <c r="G263" s="1" t="s">
        <v>13</v>
      </c>
      <c r="H263" s="1">
        <v>154000.0</v>
      </c>
      <c r="I263" s="1" t="s">
        <v>14</v>
      </c>
      <c r="J263" s="1" t="s">
        <v>25</v>
      </c>
    </row>
    <row r="264">
      <c r="A264" s="1">
        <v>272.0</v>
      </c>
      <c r="B264" s="2">
        <v>45899.48386574074</v>
      </c>
      <c r="C264" s="1" t="s">
        <v>372</v>
      </c>
      <c r="D264" s="1">
        <v>2.0</v>
      </c>
      <c r="E264" s="1" t="s">
        <v>83</v>
      </c>
      <c r="F264" s="1" t="s">
        <v>12</v>
      </c>
      <c r="G264" s="1" t="s">
        <v>28</v>
      </c>
      <c r="H264" s="1">
        <v>85000.0</v>
      </c>
      <c r="I264" s="1" t="s">
        <v>14</v>
      </c>
      <c r="J264" s="1" t="s">
        <v>373</v>
      </c>
    </row>
    <row r="265">
      <c r="A265" s="1">
        <v>273.0</v>
      </c>
      <c r="B265" s="2">
        <v>45899.49513888889</v>
      </c>
      <c r="C265" s="1" t="s">
        <v>374</v>
      </c>
      <c r="D265" s="1">
        <v>2.0</v>
      </c>
      <c r="E265" s="1" t="s">
        <v>78</v>
      </c>
      <c r="F265" s="1" t="s">
        <v>12</v>
      </c>
      <c r="G265" s="1" t="s">
        <v>13</v>
      </c>
      <c r="H265" s="1">
        <v>160031.81</v>
      </c>
      <c r="I265" s="1" t="s">
        <v>14</v>
      </c>
      <c r="J265" s="1" t="s">
        <v>25</v>
      </c>
    </row>
    <row r="266">
      <c r="A266" s="1">
        <v>274.0</v>
      </c>
      <c r="B266" s="2">
        <v>45899.50601851852</v>
      </c>
      <c r="C266" s="1" t="s">
        <v>375</v>
      </c>
      <c r="D266" s="1">
        <v>2.0</v>
      </c>
      <c r="E266" s="1" t="s">
        <v>89</v>
      </c>
      <c r="F266" s="1" t="s">
        <v>12</v>
      </c>
      <c r="G266" s="1" t="s">
        <v>131</v>
      </c>
      <c r="H266" s="1">
        <v>229500.0</v>
      </c>
      <c r="I266" s="1" t="s">
        <v>60</v>
      </c>
      <c r="J266" s="1" t="s">
        <v>376</v>
      </c>
    </row>
    <row r="267">
      <c r="A267" s="1">
        <v>275.0</v>
      </c>
      <c r="B267" s="2">
        <v>45899.50601851852</v>
      </c>
      <c r="C267" s="1" t="s">
        <v>377</v>
      </c>
      <c r="D267" s="1">
        <v>2.0</v>
      </c>
      <c r="E267" s="1" t="s">
        <v>119</v>
      </c>
      <c r="F267" s="1" t="s">
        <v>12</v>
      </c>
      <c r="G267" s="1" t="s">
        <v>131</v>
      </c>
      <c r="H267" s="1">
        <v>331000.0</v>
      </c>
      <c r="I267" s="1" t="s">
        <v>14</v>
      </c>
      <c r="J267" s="1" t="s">
        <v>25</v>
      </c>
    </row>
    <row r="268">
      <c r="A268" s="1">
        <v>276.0</v>
      </c>
      <c r="B268" s="2">
        <v>45899.50601851852</v>
      </c>
      <c r="C268" s="1" t="s">
        <v>346</v>
      </c>
      <c r="D268" s="1">
        <v>2.0</v>
      </c>
      <c r="E268" s="1" t="s">
        <v>119</v>
      </c>
      <c r="F268" s="1" t="s">
        <v>12</v>
      </c>
      <c r="G268" s="1" t="s">
        <v>20</v>
      </c>
      <c r="H268" s="1">
        <v>147369.43</v>
      </c>
      <c r="I268" s="1" t="s">
        <v>60</v>
      </c>
      <c r="J268" s="1" t="s">
        <v>378</v>
      </c>
    </row>
    <row r="269">
      <c r="A269" s="1">
        <v>277.0</v>
      </c>
      <c r="B269" s="2">
        <v>45899.50601851852</v>
      </c>
      <c r="C269" s="1" t="s">
        <v>347</v>
      </c>
      <c r="D269" s="1">
        <v>2.0</v>
      </c>
      <c r="E269" s="1" t="s">
        <v>89</v>
      </c>
      <c r="F269" s="1" t="s">
        <v>12</v>
      </c>
      <c r="G269" s="1" t="s">
        <v>13</v>
      </c>
      <c r="H269" s="1">
        <v>140200.0</v>
      </c>
      <c r="I269" s="1" t="s">
        <v>14</v>
      </c>
      <c r="J269" s="1" t="s">
        <v>25</v>
      </c>
    </row>
    <row r="270">
      <c r="A270" s="1">
        <v>278.0</v>
      </c>
      <c r="B270" s="2">
        <v>45899.50601851852</v>
      </c>
      <c r="C270" s="1" t="s">
        <v>352</v>
      </c>
      <c r="D270" s="1">
        <v>1.0</v>
      </c>
      <c r="E270" s="1" t="s">
        <v>119</v>
      </c>
      <c r="F270" s="1" t="s">
        <v>12</v>
      </c>
      <c r="G270" s="1" t="s">
        <v>13</v>
      </c>
      <c r="H270" s="1">
        <v>117000.0</v>
      </c>
      <c r="I270" s="1" t="s">
        <v>14</v>
      </c>
      <c r="J270" s="1" t="s">
        <v>25</v>
      </c>
    </row>
    <row r="271">
      <c r="A271" s="1">
        <v>279.0</v>
      </c>
      <c r="B271" s="2">
        <v>45899.50601851852</v>
      </c>
      <c r="C271" s="1" t="s">
        <v>379</v>
      </c>
      <c r="D271" s="1">
        <v>1.0</v>
      </c>
      <c r="E271" s="1" t="s">
        <v>78</v>
      </c>
      <c r="F271" s="1" t="s">
        <v>12</v>
      </c>
      <c r="G271" s="1" t="s">
        <v>13</v>
      </c>
      <c r="H271" s="1">
        <v>143000.0</v>
      </c>
      <c r="I271" s="1" t="s">
        <v>14</v>
      </c>
      <c r="J271" s="1" t="s">
        <v>25</v>
      </c>
    </row>
    <row r="272">
      <c r="A272" s="1">
        <v>280.0</v>
      </c>
      <c r="B272" s="2">
        <v>45899.50601851852</v>
      </c>
      <c r="C272" s="1" t="s">
        <v>372</v>
      </c>
      <c r="D272" s="1">
        <v>2.0</v>
      </c>
      <c r="E272" s="1" t="s">
        <v>78</v>
      </c>
      <c r="F272" s="1" t="s">
        <v>12</v>
      </c>
      <c r="G272" s="1" t="s">
        <v>13</v>
      </c>
      <c r="H272" s="1">
        <v>139000.0</v>
      </c>
      <c r="I272" s="1" t="s">
        <v>14</v>
      </c>
      <c r="J272" s="1" t="s">
        <v>25</v>
      </c>
    </row>
    <row r="273">
      <c r="A273" s="1">
        <v>281.0</v>
      </c>
      <c r="B273" s="2">
        <v>45899.50601851852</v>
      </c>
      <c r="C273" s="1" t="s">
        <v>380</v>
      </c>
      <c r="D273" s="1">
        <v>2.0</v>
      </c>
      <c r="E273" s="1" t="s">
        <v>83</v>
      </c>
      <c r="F273" s="1" t="s">
        <v>12</v>
      </c>
      <c r="G273" s="1" t="s">
        <v>13</v>
      </c>
      <c r="H273" s="1">
        <v>263929.96</v>
      </c>
      <c r="I273" s="1" t="s">
        <v>14</v>
      </c>
      <c r="J273" s="1" t="s">
        <v>25</v>
      </c>
    </row>
    <row r="274">
      <c r="A274" s="1">
        <v>282.0</v>
      </c>
      <c r="B274" s="2">
        <v>45899.50601851852</v>
      </c>
      <c r="C274" s="1" t="s">
        <v>381</v>
      </c>
      <c r="D274" s="1">
        <v>1.0</v>
      </c>
      <c r="E274" s="1" t="s">
        <v>83</v>
      </c>
      <c r="F274" s="1" t="s">
        <v>12</v>
      </c>
      <c r="G274" s="1" t="s">
        <v>80</v>
      </c>
      <c r="H274" s="1">
        <v>0.0</v>
      </c>
      <c r="I274" s="1" t="s">
        <v>14</v>
      </c>
      <c r="J274" s="1" t="s">
        <v>25</v>
      </c>
    </row>
    <row r="275">
      <c r="A275" s="1">
        <v>283.0</v>
      </c>
      <c r="B275" s="2">
        <v>45903.73784722222</v>
      </c>
      <c r="C275" s="1" t="s">
        <v>382</v>
      </c>
      <c r="D275" s="1">
        <v>2.0</v>
      </c>
      <c r="E275" s="1" t="s">
        <v>78</v>
      </c>
      <c r="F275" s="1" t="s">
        <v>12</v>
      </c>
      <c r="G275" s="1" t="s">
        <v>20</v>
      </c>
      <c r="H275" s="1">
        <v>218000.0</v>
      </c>
      <c r="I275" s="1" t="s">
        <v>14</v>
      </c>
      <c r="J275" s="1" t="s">
        <v>25</v>
      </c>
    </row>
    <row r="276">
      <c r="A276" s="1">
        <v>284.0</v>
      </c>
      <c r="B276" s="2">
        <v>45903.73949074074</v>
      </c>
      <c r="C276" s="1" t="s">
        <v>383</v>
      </c>
      <c r="D276" s="1">
        <v>2.0</v>
      </c>
      <c r="E276" s="1" t="s">
        <v>119</v>
      </c>
      <c r="F276" s="1" t="s">
        <v>12</v>
      </c>
      <c r="G276" s="1" t="s">
        <v>20</v>
      </c>
      <c r="H276" s="1">
        <v>107950.0</v>
      </c>
      <c r="I276" s="1" t="s">
        <v>60</v>
      </c>
      <c r="J276" s="1" t="s">
        <v>25</v>
      </c>
    </row>
    <row r="277">
      <c r="A277" s="1">
        <v>285.0</v>
      </c>
      <c r="B277" s="2">
        <v>45903.7419212963</v>
      </c>
      <c r="C277" s="1" t="s">
        <v>384</v>
      </c>
      <c r="D277" s="1">
        <v>1.0</v>
      </c>
      <c r="E277" s="1" t="s">
        <v>83</v>
      </c>
      <c r="F277" s="1" t="s">
        <v>12</v>
      </c>
      <c r="G277" s="1" t="s">
        <v>13</v>
      </c>
      <c r="H277" s="1">
        <v>105800.0</v>
      </c>
      <c r="I277" s="1" t="s">
        <v>14</v>
      </c>
      <c r="J277" s="1" t="s">
        <v>25</v>
      </c>
    </row>
    <row r="278">
      <c r="A278" s="1">
        <v>286.0</v>
      </c>
      <c r="B278" s="2">
        <v>45903.80025462963</v>
      </c>
      <c r="C278" s="1" t="s">
        <v>321</v>
      </c>
      <c r="D278" s="1">
        <v>2.0</v>
      </c>
      <c r="E278" s="1" t="s">
        <v>119</v>
      </c>
      <c r="F278" s="1" t="s">
        <v>23</v>
      </c>
      <c r="G278" s="1" t="s">
        <v>20</v>
      </c>
      <c r="H278" s="1">
        <v>152000.0</v>
      </c>
      <c r="I278" s="1" t="s">
        <v>14</v>
      </c>
      <c r="J278" s="1" t="s">
        <v>25</v>
      </c>
    </row>
    <row r="279">
      <c r="A279" s="1">
        <v>287.0</v>
      </c>
      <c r="B279" s="2">
        <v>45903.80138888889</v>
      </c>
      <c r="C279" s="1" t="s">
        <v>385</v>
      </c>
      <c r="D279" s="1">
        <v>2.0</v>
      </c>
      <c r="E279" s="1" t="s">
        <v>119</v>
      </c>
      <c r="F279" s="1" t="s">
        <v>12</v>
      </c>
      <c r="G279" s="1" t="s">
        <v>131</v>
      </c>
      <c r="H279" s="1">
        <v>152000.0</v>
      </c>
      <c r="I279" s="1" t="s">
        <v>14</v>
      </c>
      <c r="J279" s="1" t="s">
        <v>25</v>
      </c>
    </row>
    <row r="280">
      <c r="A280" s="1">
        <v>288.0</v>
      </c>
      <c r="B280" s="2">
        <v>45903.80880787037</v>
      </c>
      <c r="C280" s="1" t="s">
        <v>386</v>
      </c>
      <c r="D280" s="1">
        <v>2.0</v>
      </c>
      <c r="E280" s="1" t="s">
        <v>119</v>
      </c>
      <c r="F280" s="1" t="s">
        <v>12</v>
      </c>
      <c r="G280" s="1" t="s">
        <v>13</v>
      </c>
      <c r="H280" s="1">
        <v>195847.16</v>
      </c>
      <c r="I280" s="1" t="s">
        <v>60</v>
      </c>
      <c r="J280" s="1" t="s">
        <v>25</v>
      </c>
    </row>
    <row r="281">
      <c r="A281" s="1">
        <v>289.0</v>
      </c>
      <c r="B281" s="2">
        <v>45903.826886574076</v>
      </c>
      <c r="C281" s="1" t="s">
        <v>387</v>
      </c>
      <c r="D281" s="1">
        <v>2.0</v>
      </c>
      <c r="E281" s="1" t="s">
        <v>83</v>
      </c>
      <c r="F281" s="1" t="s">
        <v>12</v>
      </c>
      <c r="G281" s="1" t="s">
        <v>13</v>
      </c>
      <c r="H281" s="1">
        <v>342000.0</v>
      </c>
      <c r="I281" s="1" t="s">
        <v>14</v>
      </c>
      <c r="J281" s="1" t="s">
        <v>25</v>
      </c>
    </row>
    <row r="282">
      <c r="A282" s="1">
        <v>290.0</v>
      </c>
      <c r="B282" s="2">
        <v>45903.829780092594</v>
      </c>
      <c r="C282" s="1" t="s">
        <v>137</v>
      </c>
      <c r="D282" s="1">
        <v>2.0</v>
      </c>
      <c r="E282" s="1" t="s">
        <v>119</v>
      </c>
      <c r="F282" s="1" t="s">
        <v>12</v>
      </c>
      <c r="G282" s="1" t="s">
        <v>13</v>
      </c>
      <c r="H282" s="1">
        <v>92000.0</v>
      </c>
      <c r="I282" s="1" t="s">
        <v>14</v>
      </c>
      <c r="J282" s="1" t="s">
        <v>25</v>
      </c>
    </row>
    <row r="283">
      <c r="A283" s="1">
        <v>291.0</v>
      </c>
      <c r="B283" s="2">
        <v>45904.510983796295</v>
      </c>
      <c r="C283" s="1" t="s">
        <v>388</v>
      </c>
      <c r="D283" s="1">
        <v>2.0</v>
      </c>
      <c r="E283" s="1" t="s">
        <v>119</v>
      </c>
      <c r="F283" s="1" t="s">
        <v>12</v>
      </c>
      <c r="G283" s="1" t="s">
        <v>55</v>
      </c>
      <c r="H283" s="1">
        <v>134240.47</v>
      </c>
      <c r="I283" s="1" t="s">
        <v>60</v>
      </c>
      <c r="J283" s="1" t="s">
        <v>25</v>
      </c>
    </row>
    <row r="284">
      <c r="A284" s="1">
        <v>292.0</v>
      </c>
      <c r="B284" s="2">
        <v>45904.753541666665</v>
      </c>
      <c r="C284" s="1" t="s">
        <v>389</v>
      </c>
      <c r="D284" s="1">
        <v>2.0</v>
      </c>
      <c r="E284" s="1" t="s">
        <v>89</v>
      </c>
      <c r="F284" s="1" t="s">
        <v>12</v>
      </c>
      <c r="G284" s="1" t="s">
        <v>13</v>
      </c>
      <c r="H284" s="1">
        <v>1723200.0</v>
      </c>
      <c r="I284" s="1" t="s">
        <v>14</v>
      </c>
      <c r="J284" s="1" t="s">
        <v>390</v>
      </c>
    </row>
    <row r="285">
      <c r="A285" s="1">
        <v>293.0</v>
      </c>
      <c r="B285" s="2">
        <v>45908.54273148148</v>
      </c>
      <c r="C285" s="1" t="s">
        <v>391</v>
      </c>
      <c r="D285" s="1">
        <v>2.0</v>
      </c>
      <c r="E285" s="1" t="s">
        <v>119</v>
      </c>
      <c r="F285" s="1" t="s">
        <v>12</v>
      </c>
      <c r="G285" s="1" t="s">
        <v>20</v>
      </c>
      <c r="H285" s="1">
        <v>52047.04</v>
      </c>
      <c r="I285" s="1" t="s">
        <v>60</v>
      </c>
      <c r="J285" s="1" t="s">
        <v>25</v>
      </c>
    </row>
    <row r="286">
      <c r="A286" s="1">
        <v>294.0</v>
      </c>
      <c r="B286" s="2">
        <v>45908.81070601852</v>
      </c>
      <c r="C286" s="1" t="s">
        <v>392</v>
      </c>
      <c r="D286" s="1">
        <v>2.0</v>
      </c>
      <c r="E286" s="1" t="s">
        <v>78</v>
      </c>
      <c r="F286" s="1" t="s">
        <v>12</v>
      </c>
      <c r="G286" s="1" t="s">
        <v>28</v>
      </c>
      <c r="H286" s="1">
        <v>190231.81</v>
      </c>
      <c r="I286" s="1" t="s">
        <v>14</v>
      </c>
      <c r="J286" s="1" t="s">
        <v>25</v>
      </c>
    </row>
    <row r="287">
      <c r="A287" s="1">
        <v>295.0</v>
      </c>
      <c r="B287" s="2">
        <v>45908.813263888886</v>
      </c>
      <c r="C287" s="1" t="s">
        <v>393</v>
      </c>
      <c r="D287" s="1">
        <v>2.0</v>
      </c>
      <c r="E287" s="1" t="s">
        <v>89</v>
      </c>
      <c r="F287" s="1" t="s">
        <v>12</v>
      </c>
      <c r="G287" s="1" t="s">
        <v>13</v>
      </c>
      <c r="H287" s="1">
        <v>653841.36</v>
      </c>
      <c r="I287" s="1" t="s">
        <v>14</v>
      </c>
      <c r="J287" s="1" t="s">
        <v>394</v>
      </c>
    </row>
    <row r="288">
      <c r="A288" s="1">
        <v>296.0</v>
      </c>
      <c r="B288" s="2">
        <v>45908.81501157407</v>
      </c>
      <c r="C288" s="1" t="s">
        <v>393</v>
      </c>
      <c r="D288" s="1">
        <v>2.0</v>
      </c>
      <c r="E288" s="1" t="s">
        <v>119</v>
      </c>
      <c r="F288" s="1" t="s">
        <v>12</v>
      </c>
      <c r="G288" s="1" t="s">
        <v>13</v>
      </c>
      <c r="H288" s="1">
        <v>109158.0</v>
      </c>
      <c r="I288" s="1" t="s">
        <v>14</v>
      </c>
      <c r="J288" s="1" t="s">
        <v>395</v>
      </c>
    </row>
    <row r="289">
      <c r="A289" s="1">
        <v>297.0</v>
      </c>
      <c r="B289" s="2">
        <v>45909.464004629626</v>
      </c>
      <c r="C289" s="1" t="s">
        <v>396</v>
      </c>
      <c r="D289" s="1">
        <v>2.0</v>
      </c>
      <c r="E289" s="1" t="s">
        <v>78</v>
      </c>
      <c r="F289" s="1" t="s">
        <v>12</v>
      </c>
      <c r="G289" s="1" t="s">
        <v>28</v>
      </c>
      <c r="H289" s="1">
        <v>189078.97</v>
      </c>
      <c r="I289" s="1" t="s">
        <v>14</v>
      </c>
      <c r="J289" s="1" t="s">
        <v>397</v>
      </c>
    </row>
    <row r="290">
      <c r="A290" s="1">
        <v>298.0</v>
      </c>
      <c r="B290" s="2">
        <v>45910.50877314815</v>
      </c>
      <c r="C290" s="1" t="s">
        <v>398</v>
      </c>
      <c r="D290" s="1">
        <v>2.0</v>
      </c>
      <c r="E290" s="1" t="s">
        <v>89</v>
      </c>
      <c r="F290" s="1" t="s">
        <v>23</v>
      </c>
      <c r="G290" s="1" t="s">
        <v>20</v>
      </c>
      <c r="H290" s="1">
        <v>203249.81</v>
      </c>
      <c r="I290" s="1" t="s">
        <v>14</v>
      </c>
      <c r="J290" s="1" t="s">
        <v>25</v>
      </c>
    </row>
    <row r="291">
      <c r="A291" s="1">
        <v>299.0</v>
      </c>
      <c r="B291" s="2">
        <v>45910.51856481482</v>
      </c>
      <c r="C291" s="1" t="s">
        <v>398</v>
      </c>
      <c r="D291" s="1">
        <v>2.0</v>
      </c>
      <c r="E291" s="1" t="s">
        <v>89</v>
      </c>
      <c r="F291" s="1" t="s">
        <v>12</v>
      </c>
      <c r="G291" s="1" t="s">
        <v>20</v>
      </c>
      <c r="H291" s="1">
        <v>172762.34</v>
      </c>
      <c r="I291" s="1" t="s">
        <v>60</v>
      </c>
      <c r="J291" s="1" t="s">
        <v>25</v>
      </c>
    </row>
    <row r="292">
      <c r="A292" s="1">
        <v>300.0</v>
      </c>
      <c r="B292" s="2">
        <v>45911.51230324074</v>
      </c>
      <c r="C292" s="1" t="s">
        <v>399</v>
      </c>
      <c r="D292" s="1">
        <v>2.0</v>
      </c>
      <c r="E292" s="1" t="s">
        <v>89</v>
      </c>
      <c r="F292" s="1" t="s">
        <v>12</v>
      </c>
      <c r="G292" s="1" t="s">
        <v>131</v>
      </c>
      <c r="H292" s="1">
        <v>253000.0</v>
      </c>
      <c r="I292" s="1" t="s">
        <v>14</v>
      </c>
      <c r="J292" s="1" t="s">
        <v>400</v>
      </c>
    </row>
    <row r="293">
      <c r="A293" s="1">
        <v>301.0</v>
      </c>
      <c r="B293" s="2">
        <v>45911.72194444444</v>
      </c>
      <c r="C293" s="1" t="s">
        <v>401</v>
      </c>
      <c r="D293" s="1">
        <v>2.0</v>
      </c>
      <c r="E293" s="1" t="s">
        <v>94</v>
      </c>
      <c r="F293" s="1" t="s">
        <v>12</v>
      </c>
      <c r="G293" s="1" t="s">
        <v>131</v>
      </c>
      <c r="H293" s="1">
        <v>138747.04</v>
      </c>
      <c r="I293" s="1" t="s">
        <v>60</v>
      </c>
      <c r="J293" s="1" t="s">
        <v>402</v>
      </c>
    </row>
    <row r="294">
      <c r="A294" s="1">
        <v>302.0</v>
      </c>
      <c r="B294" s="2">
        <v>45913.44055555556</v>
      </c>
      <c r="C294" s="1" t="s">
        <v>403</v>
      </c>
      <c r="D294" s="1">
        <v>2.0</v>
      </c>
      <c r="E294" s="1" t="s">
        <v>119</v>
      </c>
      <c r="F294" s="1" t="s">
        <v>12</v>
      </c>
      <c r="G294" s="1" t="s">
        <v>28</v>
      </c>
      <c r="H294" s="1">
        <v>181800.0</v>
      </c>
      <c r="I294" s="1" t="s">
        <v>43</v>
      </c>
      <c r="J294" s="1" t="s">
        <v>25</v>
      </c>
    </row>
    <row r="295">
      <c r="A295" s="1">
        <v>303.0</v>
      </c>
      <c r="B295" s="2">
        <v>45913.51578703704</v>
      </c>
      <c r="C295" s="1" t="s">
        <v>404</v>
      </c>
      <c r="D295" s="1">
        <v>2.0</v>
      </c>
      <c r="E295" s="1" t="s">
        <v>201</v>
      </c>
      <c r="F295" s="1" t="s">
        <v>12</v>
      </c>
      <c r="G295" s="1" t="s">
        <v>405</v>
      </c>
      <c r="H295" s="1">
        <v>231000.0</v>
      </c>
      <c r="I295" s="1" t="s">
        <v>14</v>
      </c>
      <c r="J295" s="1" t="s">
        <v>406</v>
      </c>
    </row>
    <row r="296">
      <c r="A296" s="1">
        <v>304.0</v>
      </c>
      <c r="B296" s="2">
        <v>45913.531481481485</v>
      </c>
      <c r="C296" s="1" t="s">
        <v>407</v>
      </c>
      <c r="D296" s="1">
        <v>2.0</v>
      </c>
      <c r="E296" s="1" t="s">
        <v>83</v>
      </c>
      <c r="F296" s="1" t="s">
        <v>12</v>
      </c>
      <c r="G296" s="1" t="s">
        <v>13</v>
      </c>
      <c r="H296" s="1">
        <v>184000.0</v>
      </c>
      <c r="I296" s="1" t="s">
        <v>14</v>
      </c>
      <c r="J296" s="1" t="s">
        <v>25</v>
      </c>
    </row>
    <row r="297">
      <c r="A297" s="1">
        <v>305.0</v>
      </c>
      <c r="B297" s="2">
        <v>45913.54634259259</v>
      </c>
      <c r="C297" s="1" t="s">
        <v>408</v>
      </c>
      <c r="D297" s="1">
        <v>2.0</v>
      </c>
      <c r="E297" s="1" t="s">
        <v>89</v>
      </c>
      <c r="F297" s="1" t="s">
        <v>23</v>
      </c>
      <c r="G297" s="1" t="s">
        <v>20</v>
      </c>
      <c r="H297" s="1">
        <v>240000.0</v>
      </c>
      <c r="I297" s="1" t="s">
        <v>14</v>
      </c>
      <c r="J297" s="1" t="s">
        <v>409</v>
      </c>
    </row>
    <row r="298">
      <c r="A298" s="1">
        <v>306.0</v>
      </c>
      <c r="B298" s="2">
        <v>45913.55349537037</v>
      </c>
      <c r="C298" s="1" t="s">
        <v>408</v>
      </c>
      <c r="D298" s="1">
        <v>2.0</v>
      </c>
      <c r="E298" s="1" t="s">
        <v>89</v>
      </c>
      <c r="F298" s="1" t="s">
        <v>12</v>
      </c>
      <c r="G298" s="1" t="s">
        <v>13</v>
      </c>
      <c r="H298" s="1">
        <v>120000.0</v>
      </c>
      <c r="I298" s="1" t="s">
        <v>14</v>
      </c>
      <c r="J298" s="1" t="s">
        <v>25</v>
      </c>
    </row>
    <row r="299">
      <c r="A299" s="1">
        <v>307.0</v>
      </c>
      <c r="B299" s="2">
        <v>45913.587546296294</v>
      </c>
      <c r="C299" s="1" t="s">
        <v>410</v>
      </c>
      <c r="D299" s="1">
        <v>1.0</v>
      </c>
      <c r="E299" s="1" t="s">
        <v>78</v>
      </c>
      <c r="F299" s="1" t="s">
        <v>12</v>
      </c>
      <c r="G299" s="1" t="s">
        <v>20</v>
      </c>
      <c r="H299" s="1">
        <v>136800.0</v>
      </c>
      <c r="I299" s="1" t="s">
        <v>14</v>
      </c>
      <c r="J299" s="1" t="s">
        <v>25</v>
      </c>
    </row>
    <row r="300">
      <c r="A300" s="1">
        <v>308.0</v>
      </c>
      <c r="B300" s="2">
        <v>45913.58923611111</v>
      </c>
      <c r="C300" s="1" t="s">
        <v>411</v>
      </c>
      <c r="D300" s="1">
        <v>1.0</v>
      </c>
      <c r="E300" s="1" t="s">
        <v>78</v>
      </c>
      <c r="F300" s="1" t="s">
        <v>12</v>
      </c>
      <c r="G300" s="1" t="s">
        <v>13</v>
      </c>
      <c r="H300" s="1">
        <v>136800.0</v>
      </c>
      <c r="I300" s="1" t="s">
        <v>14</v>
      </c>
      <c r="J300" s="1" t="s">
        <v>25</v>
      </c>
    </row>
    <row r="301">
      <c r="A301" s="1">
        <v>309.0</v>
      </c>
      <c r="B301" s="2">
        <v>45913.59478009259</v>
      </c>
      <c r="C301" s="1" t="s">
        <v>412</v>
      </c>
      <c r="D301" s="1">
        <v>2.0</v>
      </c>
      <c r="E301" s="1" t="s">
        <v>89</v>
      </c>
      <c r="F301" s="1" t="s">
        <v>12</v>
      </c>
      <c r="G301" s="1" t="s">
        <v>13</v>
      </c>
      <c r="H301" s="1">
        <v>757000.0</v>
      </c>
      <c r="I301" s="1" t="s">
        <v>14</v>
      </c>
      <c r="J301" s="1" t="s">
        <v>25</v>
      </c>
    </row>
    <row r="302">
      <c r="A302" s="1">
        <v>310.0</v>
      </c>
      <c r="B302" s="2">
        <v>45913.595289351855</v>
      </c>
      <c r="C302" s="1" t="s">
        <v>412</v>
      </c>
      <c r="D302" s="1">
        <v>2.0</v>
      </c>
      <c r="E302" s="1" t="s">
        <v>119</v>
      </c>
      <c r="F302" s="1" t="s">
        <v>12</v>
      </c>
      <c r="G302" s="1" t="s">
        <v>20</v>
      </c>
      <c r="H302" s="1">
        <v>0.0</v>
      </c>
      <c r="I302" s="1" t="s">
        <v>14</v>
      </c>
      <c r="J302" s="1" t="s">
        <v>25</v>
      </c>
    </row>
    <row r="303">
      <c r="A303" s="1">
        <v>311.0</v>
      </c>
      <c r="B303" s="2">
        <v>45913.60015046296</v>
      </c>
      <c r="C303" s="1" t="s">
        <v>413</v>
      </c>
      <c r="D303" s="1">
        <v>2.0</v>
      </c>
      <c r="E303" s="1" t="s">
        <v>119</v>
      </c>
      <c r="F303" s="1" t="s">
        <v>12</v>
      </c>
      <c r="G303" s="1" t="s">
        <v>13</v>
      </c>
      <c r="H303" s="1">
        <v>453000.0</v>
      </c>
      <c r="I303" s="1" t="s">
        <v>14</v>
      </c>
      <c r="J303" s="1" t="s">
        <v>25</v>
      </c>
    </row>
    <row r="304">
      <c r="A304" s="1">
        <v>312.0</v>
      </c>
      <c r="B304" s="2">
        <v>45913.60523148148</v>
      </c>
      <c r="C304" s="1" t="s">
        <v>414</v>
      </c>
      <c r="D304" s="1">
        <v>2.0</v>
      </c>
      <c r="E304" s="1" t="s">
        <v>201</v>
      </c>
      <c r="F304" s="1" t="s">
        <v>12</v>
      </c>
      <c r="G304" s="1" t="s">
        <v>13</v>
      </c>
      <c r="H304" s="1">
        <v>223200.0</v>
      </c>
      <c r="I304" s="1" t="s">
        <v>14</v>
      </c>
      <c r="J304" s="1" t="s">
        <v>25</v>
      </c>
    </row>
    <row r="305">
      <c r="A305" s="1">
        <v>313.0</v>
      </c>
      <c r="B305" s="2">
        <v>45915.73637731482</v>
      </c>
      <c r="C305" s="1" t="s">
        <v>104</v>
      </c>
      <c r="D305" s="1">
        <v>2.0</v>
      </c>
      <c r="E305" s="1" t="s">
        <v>119</v>
      </c>
      <c r="F305" s="1" t="s">
        <v>12</v>
      </c>
      <c r="G305" s="1" t="s">
        <v>20</v>
      </c>
      <c r="H305" s="1">
        <v>53550.0</v>
      </c>
      <c r="I305" s="1" t="s">
        <v>60</v>
      </c>
      <c r="J305" s="1" t="s">
        <v>25</v>
      </c>
    </row>
    <row r="306">
      <c r="A306" s="1">
        <v>314.0</v>
      </c>
      <c r="B306" s="2">
        <v>45915.79619212963</v>
      </c>
      <c r="C306" s="1" t="s">
        <v>415</v>
      </c>
      <c r="D306" s="1">
        <v>2.0</v>
      </c>
      <c r="E306" s="1" t="s">
        <v>119</v>
      </c>
      <c r="F306" s="1" t="s">
        <v>12</v>
      </c>
      <c r="G306" s="1" t="s">
        <v>20</v>
      </c>
      <c r="H306" s="1">
        <v>0.0</v>
      </c>
      <c r="I306" s="1" t="s">
        <v>14</v>
      </c>
      <c r="J306" s="1" t="s">
        <v>416</v>
      </c>
    </row>
    <row r="307">
      <c r="A307" s="1">
        <v>315.0</v>
      </c>
      <c r="B307" s="2">
        <v>45916.55640046296</v>
      </c>
      <c r="C307" s="1" t="s">
        <v>417</v>
      </c>
      <c r="D307" s="1">
        <v>2.0</v>
      </c>
      <c r="E307" s="1" t="s">
        <v>89</v>
      </c>
      <c r="F307" s="1" t="s">
        <v>12</v>
      </c>
      <c r="G307" s="1" t="s">
        <v>13</v>
      </c>
      <c r="H307" s="1">
        <v>155000.0</v>
      </c>
      <c r="I307" s="1" t="s">
        <v>14</v>
      </c>
      <c r="J307" s="1" t="s">
        <v>25</v>
      </c>
    </row>
    <row r="308">
      <c r="A308" s="1">
        <v>316.0</v>
      </c>
      <c r="B308" s="2">
        <v>45917.46635416667</v>
      </c>
      <c r="C308" s="1" t="s">
        <v>418</v>
      </c>
      <c r="D308" s="1">
        <v>1.0</v>
      </c>
      <c r="E308" s="1" t="s">
        <v>119</v>
      </c>
      <c r="F308" s="1" t="s">
        <v>12</v>
      </c>
      <c r="G308" s="1" t="s">
        <v>405</v>
      </c>
      <c r="H308" s="1">
        <v>73600.0</v>
      </c>
      <c r="I308" s="1" t="s">
        <v>14</v>
      </c>
      <c r="J308" s="1" t="s">
        <v>25</v>
      </c>
    </row>
    <row r="309">
      <c r="A309" s="1">
        <v>317.0</v>
      </c>
      <c r="B309" s="2">
        <v>45917.78371527778</v>
      </c>
      <c r="C309" s="1" t="s">
        <v>419</v>
      </c>
      <c r="D309" s="1">
        <v>2.0</v>
      </c>
      <c r="E309" s="1" t="s">
        <v>83</v>
      </c>
      <c r="F309" s="1" t="s">
        <v>12</v>
      </c>
      <c r="G309" s="1" t="s">
        <v>13</v>
      </c>
      <c r="H309" s="1">
        <v>215000.0</v>
      </c>
      <c r="I309" s="1" t="s">
        <v>14</v>
      </c>
      <c r="J309" s="1" t="s">
        <v>25</v>
      </c>
    </row>
    <row r="310">
      <c r="A310" s="1">
        <v>318.0</v>
      </c>
      <c r="B310" s="2">
        <v>45918.51186342593</v>
      </c>
      <c r="C310" s="1" t="s">
        <v>420</v>
      </c>
      <c r="D310" s="1">
        <v>2.0</v>
      </c>
      <c r="E310" s="1" t="s">
        <v>89</v>
      </c>
      <c r="F310" s="1" t="s">
        <v>12</v>
      </c>
      <c r="G310" s="1" t="s">
        <v>13</v>
      </c>
      <c r="H310" s="1">
        <v>255000.0</v>
      </c>
      <c r="I310" s="1" t="s">
        <v>14</v>
      </c>
      <c r="J310" s="1" t="s">
        <v>25</v>
      </c>
    </row>
    <row r="311">
      <c r="A311" s="1">
        <v>319.0</v>
      </c>
      <c r="B311" s="2">
        <v>45918.695706018516</v>
      </c>
      <c r="C311" s="1" t="s">
        <v>421</v>
      </c>
      <c r="D311" s="1">
        <v>1.0</v>
      </c>
      <c r="E311" s="1" t="s">
        <v>201</v>
      </c>
      <c r="F311" s="1" t="s">
        <v>12</v>
      </c>
      <c r="G311" s="1" t="s">
        <v>13</v>
      </c>
      <c r="H311" s="1">
        <v>239000.0</v>
      </c>
      <c r="I311" s="1" t="s">
        <v>14</v>
      </c>
      <c r="J311" s="1" t="s">
        <v>25</v>
      </c>
    </row>
    <row r="312">
      <c r="A312" s="1">
        <v>320.0</v>
      </c>
      <c r="B312" s="2">
        <v>45918.754791666666</v>
      </c>
      <c r="C312" s="1" t="s">
        <v>422</v>
      </c>
      <c r="D312" s="1">
        <v>2.0</v>
      </c>
      <c r="E312" s="1" t="s">
        <v>83</v>
      </c>
      <c r="F312" s="1" t="s">
        <v>12</v>
      </c>
      <c r="G312" s="1" t="s">
        <v>13</v>
      </c>
      <c r="H312" s="1">
        <v>185000.0</v>
      </c>
      <c r="I312" s="1" t="s">
        <v>14</v>
      </c>
      <c r="J312" s="1" t="s">
        <v>25</v>
      </c>
    </row>
    <row r="313">
      <c r="A313" s="1">
        <v>321.0</v>
      </c>
      <c r="B313" s="2">
        <v>45918.778333333335</v>
      </c>
      <c r="C313" s="1" t="s">
        <v>423</v>
      </c>
      <c r="D313" s="1">
        <v>2.0</v>
      </c>
      <c r="E313" s="1" t="s">
        <v>201</v>
      </c>
      <c r="F313" s="1" t="s">
        <v>12</v>
      </c>
      <c r="G313" s="1" t="s">
        <v>13</v>
      </c>
      <c r="H313" s="1">
        <v>219445.8</v>
      </c>
      <c r="I313" s="1" t="s">
        <v>14</v>
      </c>
      <c r="J313" s="1" t="s">
        <v>424</v>
      </c>
    </row>
    <row r="314">
      <c r="A314" s="1">
        <v>322.0</v>
      </c>
      <c r="B314" s="2">
        <v>45920.457719907405</v>
      </c>
      <c r="C314" s="1" t="s">
        <v>425</v>
      </c>
      <c r="D314" s="1">
        <v>2.0</v>
      </c>
      <c r="E314" s="1" t="s">
        <v>94</v>
      </c>
      <c r="F314" s="1" t="s">
        <v>12</v>
      </c>
      <c r="G314" s="1" t="s">
        <v>20</v>
      </c>
      <c r="H314" s="1">
        <v>204935.39</v>
      </c>
      <c r="I314" s="1" t="s">
        <v>43</v>
      </c>
      <c r="J314" s="1" t="s">
        <v>25</v>
      </c>
    </row>
    <row r="315">
      <c r="A315" s="1">
        <v>323.0</v>
      </c>
      <c r="B315" s="2">
        <v>45922.4915625</v>
      </c>
      <c r="C315" s="1" t="s">
        <v>426</v>
      </c>
      <c r="D315" s="1">
        <v>2.0</v>
      </c>
      <c r="E315" s="1" t="s">
        <v>119</v>
      </c>
      <c r="F315" s="1" t="s">
        <v>12</v>
      </c>
      <c r="G315" s="1" t="s">
        <v>13</v>
      </c>
      <c r="H315" s="1">
        <v>185000.0</v>
      </c>
      <c r="I315" s="1" t="s">
        <v>14</v>
      </c>
      <c r="J315" s="1" t="s">
        <v>25</v>
      </c>
    </row>
    <row r="316">
      <c r="A316" s="1">
        <v>324.0</v>
      </c>
      <c r="B316" s="2">
        <v>45922.702361111114</v>
      </c>
      <c r="C316" s="1" t="s">
        <v>427</v>
      </c>
      <c r="D316" s="1">
        <v>1.0</v>
      </c>
      <c r="E316" s="1" t="s">
        <v>78</v>
      </c>
      <c r="F316" s="1" t="s">
        <v>12</v>
      </c>
      <c r="G316" s="1" t="s">
        <v>20</v>
      </c>
      <c r="H316" s="1">
        <v>157176.0</v>
      </c>
      <c r="I316" s="1" t="s">
        <v>31</v>
      </c>
      <c r="J316" s="1" t="s">
        <v>25</v>
      </c>
    </row>
    <row r="317">
      <c r="A317" s="1">
        <v>325.0</v>
      </c>
      <c r="B317" s="2">
        <v>45922.753900462965</v>
      </c>
      <c r="C317" s="1" t="s">
        <v>428</v>
      </c>
      <c r="D317" s="1">
        <v>2.0</v>
      </c>
      <c r="E317" s="1" t="s">
        <v>89</v>
      </c>
      <c r="F317" s="1" t="s">
        <v>12</v>
      </c>
      <c r="G317" s="1" t="s">
        <v>38</v>
      </c>
      <c r="H317" s="1">
        <v>188000.0</v>
      </c>
      <c r="I317" s="1" t="s">
        <v>14</v>
      </c>
      <c r="J317" s="1" t="s">
        <v>429</v>
      </c>
    </row>
    <row r="318">
      <c r="A318" s="1">
        <v>326.0</v>
      </c>
      <c r="B318" s="2">
        <v>45923.68785879629</v>
      </c>
      <c r="C318" s="1" t="s">
        <v>430</v>
      </c>
      <c r="D318" s="1">
        <v>2.0</v>
      </c>
      <c r="E318" s="1" t="s">
        <v>78</v>
      </c>
      <c r="F318" s="1" t="s">
        <v>12</v>
      </c>
      <c r="G318" s="1" t="s">
        <v>13</v>
      </c>
      <c r="H318" s="1">
        <v>155226.0</v>
      </c>
      <c r="I318" s="1" t="s">
        <v>14</v>
      </c>
      <c r="J318" s="1" t="s">
        <v>25</v>
      </c>
    </row>
    <row r="319">
      <c r="A319" s="1">
        <v>327.0</v>
      </c>
      <c r="B319" s="2">
        <v>45924.74438657407</v>
      </c>
      <c r="C319" s="1" t="s">
        <v>431</v>
      </c>
      <c r="D319" s="1">
        <v>2.0</v>
      </c>
      <c r="E319" s="1" t="s">
        <v>201</v>
      </c>
      <c r="F319" s="1" t="s">
        <v>12</v>
      </c>
      <c r="G319" s="1" t="s">
        <v>20</v>
      </c>
      <c r="H319" s="1">
        <v>140000.0</v>
      </c>
      <c r="I319" s="1" t="s">
        <v>14</v>
      </c>
      <c r="J319" s="1" t="s">
        <v>25</v>
      </c>
    </row>
    <row r="320">
      <c r="A320" s="1">
        <v>328.0</v>
      </c>
      <c r="B320" s="2">
        <v>45924.78916666667</v>
      </c>
      <c r="C320" s="1" t="s">
        <v>432</v>
      </c>
      <c r="D320" s="1">
        <v>2.0</v>
      </c>
      <c r="E320" s="1" t="s">
        <v>89</v>
      </c>
      <c r="F320" s="1" t="s">
        <v>12</v>
      </c>
      <c r="G320" s="1" t="s">
        <v>131</v>
      </c>
      <c r="H320" s="1">
        <v>201200.09</v>
      </c>
      <c r="I320" s="1" t="s">
        <v>60</v>
      </c>
      <c r="J320" s="1" t="s">
        <v>25</v>
      </c>
    </row>
    <row r="321">
      <c r="A321" s="1">
        <v>329.0</v>
      </c>
      <c r="B321" s="2">
        <v>45926.38476851852</v>
      </c>
      <c r="C321" s="1" t="s">
        <v>433</v>
      </c>
      <c r="D321" s="1">
        <v>2.0</v>
      </c>
      <c r="E321" s="1" t="s">
        <v>89</v>
      </c>
      <c r="F321" s="1" t="s">
        <v>12</v>
      </c>
      <c r="G321" s="1" t="s">
        <v>13</v>
      </c>
      <c r="H321" s="1">
        <v>120000.0</v>
      </c>
      <c r="I321" s="1" t="s">
        <v>14</v>
      </c>
      <c r="J321" s="1" t="s">
        <v>25</v>
      </c>
    </row>
    <row r="322">
      <c r="A322" s="1">
        <v>330.0</v>
      </c>
      <c r="B322" s="2">
        <v>45926.78944444445</v>
      </c>
      <c r="C322" s="1" t="s">
        <v>434</v>
      </c>
      <c r="D322" s="1">
        <v>2.0</v>
      </c>
      <c r="E322" s="1" t="s">
        <v>89</v>
      </c>
      <c r="F322" s="1" t="s">
        <v>12</v>
      </c>
      <c r="G322" s="1" t="s">
        <v>13</v>
      </c>
      <c r="H322" s="1">
        <v>180000.0</v>
      </c>
      <c r="I322" s="1" t="s">
        <v>14</v>
      </c>
      <c r="J322" s="1" t="s">
        <v>25</v>
      </c>
    </row>
    <row r="323">
      <c r="A323" s="1">
        <v>331.0</v>
      </c>
      <c r="B323" s="2">
        <v>45930.512974537036</v>
      </c>
      <c r="C323" s="1" t="s">
        <v>435</v>
      </c>
      <c r="D323" s="1">
        <v>2.0</v>
      </c>
      <c r="E323" s="1" t="s">
        <v>83</v>
      </c>
      <c r="F323" s="1" t="s">
        <v>12</v>
      </c>
      <c r="G323" s="1" t="s">
        <v>13</v>
      </c>
      <c r="H323" s="1">
        <v>150000.0</v>
      </c>
      <c r="I323" s="1" t="s">
        <v>14</v>
      </c>
      <c r="J323" s="1" t="s">
        <v>436</v>
      </c>
    </row>
    <row r="324">
      <c r="A324" s="1">
        <v>332.0</v>
      </c>
      <c r="B324" s="2">
        <v>45930.77667824074</v>
      </c>
      <c r="C324" s="1" t="s">
        <v>437</v>
      </c>
      <c r="D324" s="1">
        <v>2.0</v>
      </c>
      <c r="E324" s="1" t="s">
        <v>83</v>
      </c>
      <c r="F324" s="1" t="s">
        <v>12</v>
      </c>
      <c r="G324" s="1" t="s">
        <v>38</v>
      </c>
      <c r="H324" s="1">
        <v>103000.0</v>
      </c>
      <c r="I324" s="1" t="s">
        <v>14</v>
      </c>
      <c r="J324" s="1" t="s">
        <v>438</v>
      </c>
    </row>
    <row r="325">
      <c r="A325" s="1">
        <v>333.0</v>
      </c>
      <c r="B325" s="2">
        <v>45930.77921296296</v>
      </c>
      <c r="C325" s="1" t="s">
        <v>50</v>
      </c>
      <c r="D325" s="1">
        <v>2.0</v>
      </c>
      <c r="E325" s="1" t="s">
        <v>83</v>
      </c>
      <c r="F325" s="1" t="s">
        <v>12</v>
      </c>
      <c r="G325" s="1" t="s">
        <v>13</v>
      </c>
      <c r="H325" s="1">
        <v>177000.0</v>
      </c>
      <c r="I325" s="1" t="s">
        <v>14</v>
      </c>
      <c r="J325" s="1" t="s">
        <v>25</v>
      </c>
    </row>
    <row r="326">
      <c r="A326" s="1">
        <v>334.0</v>
      </c>
      <c r="B326" s="2">
        <v>45930.7833912037</v>
      </c>
      <c r="C326" s="1" t="s">
        <v>439</v>
      </c>
      <c r="D326" s="1">
        <v>2.0</v>
      </c>
      <c r="E326" s="1" t="s">
        <v>89</v>
      </c>
      <c r="F326" s="1" t="s">
        <v>12</v>
      </c>
      <c r="G326" s="1" t="s">
        <v>131</v>
      </c>
      <c r="H326" s="1">
        <v>225250.0</v>
      </c>
      <c r="I326" s="1" t="s">
        <v>14</v>
      </c>
      <c r="J326" s="1" t="s">
        <v>25</v>
      </c>
    </row>
    <row r="327">
      <c r="A327" s="1">
        <v>335.0</v>
      </c>
      <c r="B327" s="2">
        <v>45930.79649305555</v>
      </c>
      <c r="C327" s="1" t="s">
        <v>389</v>
      </c>
      <c r="D327" s="1">
        <v>2.0</v>
      </c>
      <c r="E327" s="1" t="s">
        <v>119</v>
      </c>
      <c r="F327" s="1" t="s">
        <v>440</v>
      </c>
      <c r="G327" s="1" t="s">
        <v>13</v>
      </c>
      <c r="H327" s="1">
        <v>440000.0</v>
      </c>
      <c r="I327" s="1" t="s">
        <v>14</v>
      </c>
      <c r="J327" s="1" t="s">
        <v>25</v>
      </c>
    </row>
    <row r="328">
      <c r="A328" s="1">
        <v>336.0</v>
      </c>
      <c r="B328" s="2">
        <v>45931.49925925926</v>
      </c>
      <c r="C328" s="1" t="s">
        <v>441</v>
      </c>
      <c r="D328" s="1">
        <v>1.0</v>
      </c>
      <c r="E328" s="1" t="s">
        <v>201</v>
      </c>
      <c r="F328" s="1" t="s">
        <v>12</v>
      </c>
      <c r="G328" s="1" t="s">
        <v>13</v>
      </c>
      <c r="H328" s="1">
        <v>75000.0</v>
      </c>
      <c r="I328" s="1" t="s">
        <v>14</v>
      </c>
      <c r="J328" s="1" t="s">
        <v>25</v>
      </c>
    </row>
    <row r="329">
      <c r="A329" s="1">
        <v>337.0</v>
      </c>
      <c r="B329" s="2">
        <v>45931.6840625</v>
      </c>
      <c r="C329" s="1" t="s">
        <v>442</v>
      </c>
      <c r="D329" s="1">
        <v>2.0</v>
      </c>
      <c r="E329" s="1" t="s">
        <v>89</v>
      </c>
      <c r="F329" s="1" t="s">
        <v>12</v>
      </c>
      <c r="G329" s="1" t="s">
        <v>13</v>
      </c>
      <c r="H329" s="1">
        <v>378426.05</v>
      </c>
      <c r="I329" s="1" t="s">
        <v>43</v>
      </c>
      <c r="J329" s="1" t="s">
        <v>25</v>
      </c>
    </row>
    <row r="330">
      <c r="A330" s="1">
        <v>338.0</v>
      </c>
      <c r="B330" s="2">
        <v>45932.40138888889</v>
      </c>
      <c r="C330" s="1" t="s">
        <v>443</v>
      </c>
      <c r="D330" s="1">
        <v>2.0</v>
      </c>
      <c r="E330" s="1" t="s">
        <v>78</v>
      </c>
      <c r="F330" s="1" t="s">
        <v>23</v>
      </c>
      <c r="G330" s="1" t="s">
        <v>13</v>
      </c>
      <c r="H330" s="1">
        <v>215226.0</v>
      </c>
      <c r="I330" s="1" t="s">
        <v>14</v>
      </c>
      <c r="J330" s="1" t="s">
        <v>25</v>
      </c>
    </row>
    <row r="331">
      <c r="A331" s="1">
        <v>339.0</v>
      </c>
      <c r="B331" s="2">
        <v>45932.44428240741</v>
      </c>
      <c r="C331" s="1" t="s">
        <v>444</v>
      </c>
      <c r="D331" s="1">
        <v>2.0</v>
      </c>
      <c r="E331" s="1" t="s">
        <v>97</v>
      </c>
      <c r="F331" s="1" t="s">
        <v>440</v>
      </c>
      <c r="G331" s="1" t="s">
        <v>20</v>
      </c>
      <c r="H331" s="1">
        <v>1236000.0</v>
      </c>
      <c r="I331" s="1" t="s">
        <v>14</v>
      </c>
      <c r="J331" s="1" t="s">
        <v>25</v>
      </c>
    </row>
    <row r="332">
      <c r="A332" s="1">
        <v>340.0</v>
      </c>
      <c r="B332" s="2">
        <v>45932.75053240741</v>
      </c>
      <c r="C332" s="1" t="s">
        <v>445</v>
      </c>
      <c r="D332" s="1">
        <v>2.0</v>
      </c>
      <c r="E332" s="1" t="s">
        <v>94</v>
      </c>
      <c r="F332" s="1" t="s">
        <v>12</v>
      </c>
      <c r="G332" s="1" t="s">
        <v>13</v>
      </c>
      <c r="H332" s="1">
        <v>126000.0</v>
      </c>
      <c r="I332" s="1" t="s">
        <v>14</v>
      </c>
      <c r="J332" s="1" t="s">
        <v>25</v>
      </c>
    </row>
    <row r="333">
      <c r="A333" s="1">
        <v>341.0</v>
      </c>
      <c r="B333" s="2">
        <v>45933.52862268518</v>
      </c>
      <c r="C333" s="1" t="s">
        <v>446</v>
      </c>
      <c r="D333" s="1">
        <v>2.0</v>
      </c>
      <c r="E333" s="1" t="s">
        <v>97</v>
      </c>
      <c r="F333" s="1" t="s">
        <v>12</v>
      </c>
      <c r="G333" s="1" t="s">
        <v>13</v>
      </c>
      <c r="H333" s="1">
        <v>160000.0</v>
      </c>
      <c r="I333" s="1" t="s">
        <v>14</v>
      </c>
      <c r="J333" s="1" t="s">
        <v>25</v>
      </c>
    </row>
    <row r="334">
      <c r="A334" s="1">
        <v>342.0</v>
      </c>
      <c r="B334" s="2">
        <v>45934.52438657408</v>
      </c>
      <c r="C334" s="1" t="s">
        <v>447</v>
      </c>
      <c r="D334" s="1">
        <v>2.0</v>
      </c>
      <c r="E334" s="1" t="s">
        <v>97</v>
      </c>
      <c r="F334" s="1" t="s">
        <v>440</v>
      </c>
      <c r="G334" s="1" t="s">
        <v>20</v>
      </c>
      <c r="H334" s="1">
        <v>1407600.0</v>
      </c>
      <c r="I334" s="1" t="s">
        <v>60</v>
      </c>
      <c r="J334" s="1" t="s">
        <v>448</v>
      </c>
    </row>
    <row r="335">
      <c r="A335" s="1">
        <v>343.0</v>
      </c>
      <c r="B335" s="2">
        <v>45936.778032407405</v>
      </c>
      <c r="C335" s="1" t="s">
        <v>449</v>
      </c>
      <c r="D335" s="1">
        <v>2.0</v>
      </c>
      <c r="E335" s="1" t="s">
        <v>89</v>
      </c>
      <c r="F335" s="1" t="s">
        <v>12</v>
      </c>
      <c r="G335" s="1" t="s">
        <v>13</v>
      </c>
      <c r="H335" s="1">
        <v>467000.0</v>
      </c>
      <c r="I335" s="1" t="s">
        <v>14</v>
      </c>
      <c r="J335" s="1" t="s">
        <v>25</v>
      </c>
    </row>
    <row r="336">
      <c r="A336" s="1">
        <v>344.0</v>
      </c>
      <c r="B336" s="2">
        <v>45936.793333333335</v>
      </c>
      <c r="C336" s="1" t="s">
        <v>450</v>
      </c>
      <c r="D336" s="1">
        <v>2.0</v>
      </c>
      <c r="E336" s="1" t="s">
        <v>97</v>
      </c>
      <c r="F336" s="1" t="s">
        <v>12</v>
      </c>
      <c r="G336" s="1" t="s">
        <v>38</v>
      </c>
      <c r="H336" s="1">
        <v>216000.0</v>
      </c>
      <c r="I336" s="1" t="s">
        <v>14</v>
      </c>
      <c r="J336" s="1" t="s">
        <v>25</v>
      </c>
    </row>
    <row r="337">
      <c r="A337" s="1">
        <v>345.0</v>
      </c>
      <c r="B337" s="2">
        <v>45937.66892361111</v>
      </c>
      <c r="C337" s="1" t="s">
        <v>451</v>
      </c>
      <c r="D337" s="1">
        <v>2.0</v>
      </c>
      <c r="E337" s="1" t="s">
        <v>83</v>
      </c>
      <c r="F337" s="1" t="s">
        <v>12</v>
      </c>
      <c r="G337" s="1" t="s">
        <v>131</v>
      </c>
      <c r="H337" s="1">
        <v>84600.0</v>
      </c>
      <c r="I337" s="1" t="s">
        <v>43</v>
      </c>
      <c r="J337" s="1" t="s">
        <v>25</v>
      </c>
    </row>
    <row r="338">
      <c r="A338" s="1">
        <v>346.0</v>
      </c>
      <c r="B338" s="2">
        <v>45937.68951388889</v>
      </c>
      <c r="C338" s="1" t="s">
        <v>452</v>
      </c>
      <c r="D338" s="1">
        <v>2.0</v>
      </c>
      <c r="E338" s="1" t="s">
        <v>94</v>
      </c>
      <c r="F338" s="1" t="s">
        <v>12</v>
      </c>
      <c r="G338" s="1" t="s">
        <v>13</v>
      </c>
      <c r="H338" s="1">
        <v>173000.0</v>
      </c>
      <c r="I338" s="1" t="s">
        <v>14</v>
      </c>
      <c r="J338" s="1" t="s">
        <v>25</v>
      </c>
    </row>
    <row r="339">
      <c r="A339" s="1">
        <v>347.0</v>
      </c>
      <c r="B339" s="2">
        <v>45937.783055555556</v>
      </c>
      <c r="C339" s="1" t="s">
        <v>453</v>
      </c>
      <c r="D339" s="1">
        <v>2.0</v>
      </c>
      <c r="E339" s="1" t="s">
        <v>89</v>
      </c>
      <c r="F339" s="1" t="s">
        <v>12</v>
      </c>
      <c r="G339" s="1" t="s">
        <v>13</v>
      </c>
      <c r="H339" s="1">
        <v>173000.0</v>
      </c>
      <c r="I339" s="1" t="s">
        <v>14</v>
      </c>
      <c r="J339" s="1" t="s">
        <v>25</v>
      </c>
    </row>
    <row r="340">
      <c r="A340" s="1">
        <v>348.0</v>
      </c>
      <c r="B340" s="2">
        <v>45938.49901620371</v>
      </c>
      <c r="C340" s="1" t="s">
        <v>454</v>
      </c>
      <c r="D340" s="1">
        <v>2.0</v>
      </c>
      <c r="E340" s="1" t="s">
        <v>78</v>
      </c>
      <c r="F340" s="1" t="s">
        <v>12</v>
      </c>
      <c r="G340" s="1" t="s">
        <v>38</v>
      </c>
      <c r="H340" s="1">
        <v>262000.0</v>
      </c>
      <c r="I340" s="1" t="s">
        <v>14</v>
      </c>
      <c r="J340" s="1" t="s">
        <v>455</v>
      </c>
    </row>
    <row r="341">
      <c r="A341" s="1">
        <v>349.0</v>
      </c>
      <c r="B341" s="2">
        <v>45939.423368055555</v>
      </c>
      <c r="C341" s="1" t="s">
        <v>456</v>
      </c>
      <c r="D341" s="1">
        <v>2.0</v>
      </c>
      <c r="E341" s="1" t="s">
        <v>83</v>
      </c>
      <c r="F341" s="1" t="s">
        <v>440</v>
      </c>
      <c r="G341" s="1" t="s">
        <v>20</v>
      </c>
      <c r="H341" s="1">
        <v>178500.0</v>
      </c>
      <c r="I341" s="1" t="s">
        <v>60</v>
      </c>
      <c r="J341" s="1" t="s">
        <v>25</v>
      </c>
    </row>
    <row r="342">
      <c r="A342" s="1">
        <v>350.0</v>
      </c>
      <c r="B342" s="2">
        <v>45939.7631712963</v>
      </c>
      <c r="C342" s="1" t="s">
        <v>457</v>
      </c>
      <c r="D342" s="1">
        <v>2.0</v>
      </c>
      <c r="E342" s="1" t="s">
        <v>89</v>
      </c>
      <c r="F342" s="1" t="s">
        <v>440</v>
      </c>
      <c r="G342" s="1" t="s">
        <v>131</v>
      </c>
      <c r="H342" s="1">
        <v>257000.0</v>
      </c>
      <c r="I342" s="1" t="s">
        <v>14</v>
      </c>
      <c r="J342" s="1" t="s">
        <v>25</v>
      </c>
    </row>
    <row r="343">
      <c r="A343" s="1">
        <v>351.0</v>
      </c>
      <c r="B343" s="2">
        <v>45939.7734375</v>
      </c>
      <c r="C343" s="1" t="s">
        <v>458</v>
      </c>
      <c r="D343" s="1">
        <v>2.0</v>
      </c>
      <c r="E343" s="1" t="s">
        <v>83</v>
      </c>
      <c r="F343" s="1" t="s">
        <v>440</v>
      </c>
      <c r="G343" s="1" t="s">
        <v>38</v>
      </c>
      <c r="H343" s="1">
        <v>151226.0</v>
      </c>
      <c r="I343" s="1" t="s">
        <v>14</v>
      </c>
      <c r="J343" s="1" t="s">
        <v>25</v>
      </c>
    </row>
    <row r="344">
      <c r="A344" s="1">
        <v>352.0</v>
      </c>
      <c r="B344" s="2">
        <v>45940.39061342592</v>
      </c>
      <c r="C344" s="1" t="s">
        <v>459</v>
      </c>
      <c r="D344" s="1">
        <v>1.0</v>
      </c>
      <c r="E344" s="1" t="s">
        <v>89</v>
      </c>
      <c r="F344" s="1" t="s">
        <v>12</v>
      </c>
      <c r="G344" s="1" t="s">
        <v>13</v>
      </c>
      <c r="H344" s="1">
        <v>146000.0</v>
      </c>
      <c r="I344" s="1" t="s">
        <v>14</v>
      </c>
      <c r="J344" s="1" t="s">
        <v>25</v>
      </c>
    </row>
    <row r="345">
      <c r="A345" s="1">
        <v>353.0</v>
      </c>
      <c r="B345" s="2">
        <v>45940.39574074074</v>
      </c>
      <c r="C345" s="1" t="s">
        <v>460</v>
      </c>
      <c r="D345" s="1">
        <v>1.0</v>
      </c>
      <c r="E345" s="1" t="s">
        <v>201</v>
      </c>
      <c r="F345" s="1" t="s">
        <v>12</v>
      </c>
      <c r="G345" s="1" t="s">
        <v>20</v>
      </c>
      <c r="H345" s="1">
        <v>241990.0</v>
      </c>
      <c r="I345" s="1" t="s">
        <v>14</v>
      </c>
      <c r="J345" s="1" t="s">
        <v>25</v>
      </c>
    </row>
    <row r="346">
      <c r="A346" s="1">
        <v>354.0</v>
      </c>
      <c r="B346" s="2">
        <v>45940.39813657408</v>
      </c>
      <c r="C346" s="1" t="s">
        <v>461</v>
      </c>
      <c r="D346" s="1">
        <v>2.0</v>
      </c>
      <c r="E346" s="1" t="s">
        <v>89</v>
      </c>
      <c r="F346" s="1" t="s">
        <v>12</v>
      </c>
      <c r="G346" s="1" t="s">
        <v>13</v>
      </c>
      <c r="H346" s="1">
        <v>491000.0</v>
      </c>
      <c r="I346" s="1" t="s">
        <v>14</v>
      </c>
      <c r="J346" s="1" t="s">
        <v>25</v>
      </c>
    </row>
    <row r="347">
      <c r="A347" s="1">
        <v>355.0</v>
      </c>
      <c r="B347" s="2">
        <v>45940.40025462963</v>
      </c>
      <c r="C347" s="1" t="s">
        <v>462</v>
      </c>
      <c r="D347" s="1">
        <v>2.0</v>
      </c>
      <c r="E347" s="1" t="s">
        <v>89</v>
      </c>
      <c r="F347" s="1" t="s">
        <v>12</v>
      </c>
      <c r="G347" s="1" t="s">
        <v>13</v>
      </c>
      <c r="H347" s="1">
        <v>160000.0</v>
      </c>
      <c r="I347" s="1" t="s">
        <v>14</v>
      </c>
      <c r="J347" s="1" t="s">
        <v>25</v>
      </c>
    </row>
    <row r="348">
      <c r="A348" s="1">
        <v>356.0</v>
      </c>
      <c r="B348" s="2">
        <v>45940.40329861111</v>
      </c>
      <c r="C348" s="1" t="s">
        <v>463</v>
      </c>
      <c r="D348" s="1">
        <v>2.0</v>
      </c>
      <c r="E348" s="1" t="s">
        <v>89</v>
      </c>
      <c r="F348" s="1" t="s">
        <v>440</v>
      </c>
      <c r="G348" s="1" t="s">
        <v>20</v>
      </c>
      <c r="H348" s="1">
        <v>150000.0</v>
      </c>
      <c r="I348" s="1" t="s">
        <v>14</v>
      </c>
      <c r="J348" s="1" t="s">
        <v>25</v>
      </c>
    </row>
    <row r="349">
      <c r="A349" s="1">
        <v>357.0</v>
      </c>
      <c r="B349" s="2">
        <v>45940.40568287037</v>
      </c>
      <c r="C349" s="1" t="s">
        <v>464</v>
      </c>
      <c r="D349" s="1">
        <v>2.0</v>
      </c>
      <c r="E349" s="1" t="s">
        <v>83</v>
      </c>
      <c r="F349" s="1" t="s">
        <v>12</v>
      </c>
      <c r="G349" s="1" t="s">
        <v>20</v>
      </c>
      <c r="H349" s="1">
        <v>0.0</v>
      </c>
      <c r="I349" s="1" t="s">
        <v>14</v>
      </c>
      <c r="J349" s="1" t="s">
        <v>25</v>
      </c>
    </row>
    <row r="350">
      <c r="A350" s="1">
        <v>358.0</v>
      </c>
      <c r="B350" s="2">
        <v>45940.40615740741</v>
      </c>
      <c r="C350" s="1" t="s">
        <v>464</v>
      </c>
      <c r="D350" s="1">
        <v>2.0</v>
      </c>
      <c r="E350" s="1" t="s">
        <v>119</v>
      </c>
      <c r="F350" s="1" t="s">
        <v>12</v>
      </c>
      <c r="G350" s="1" t="s">
        <v>20</v>
      </c>
      <c r="H350" s="1">
        <v>0.0</v>
      </c>
      <c r="I350" s="1" t="s">
        <v>14</v>
      </c>
      <c r="J350" s="1" t="s">
        <v>25</v>
      </c>
    </row>
    <row r="351">
      <c r="A351" s="1">
        <v>359.0</v>
      </c>
      <c r="B351" s="2">
        <v>45940.40657407408</v>
      </c>
      <c r="C351" s="1" t="s">
        <v>464</v>
      </c>
      <c r="D351" s="1">
        <v>2.0</v>
      </c>
      <c r="E351" s="1" t="s">
        <v>119</v>
      </c>
      <c r="F351" s="1" t="s">
        <v>12</v>
      </c>
      <c r="G351" s="1" t="s">
        <v>20</v>
      </c>
      <c r="H351" s="1">
        <v>0.0</v>
      </c>
      <c r="I351" s="1" t="s">
        <v>14</v>
      </c>
      <c r="J351" s="1" t="s">
        <v>25</v>
      </c>
    </row>
    <row r="352">
      <c r="A352" s="1">
        <v>360.0</v>
      </c>
      <c r="B352" s="2">
        <v>45940.44221064815</v>
      </c>
      <c r="C352" s="1" t="s">
        <v>465</v>
      </c>
      <c r="D352" s="1">
        <v>2.0</v>
      </c>
      <c r="E352" s="1" t="s">
        <v>83</v>
      </c>
      <c r="F352" s="1" t="s">
        <v>440</v>
      </c>
      <c r="G352" s="1" t="s">
        <v>13</v>
      </c>
      <c r="H352" s="1">
        <v>395000.0</v>
      </c>
      <c r="I352" s="1" t="s">
        <v>14</v>
      </c>
      <c r="J352" s="1" t="s">
        <v>25</v>
      </c>
    </row>
    <row r="353">
      <c r="A353" s="1">
        <v>361.0</v>
      </c>
      <c r="B353" s="2">
        <v>45940.44327546296</v>
      </c>
      <c r="C353" s="1" t="s">
        <v>465</v>
      </c>
      <c r="D353" s="1">
        <v>2.0</v>
      </c>
      <c r="E353" s="1" t="s">
        <v>83</v>
      </c>
      <c r="F353" s="1" t="s">
        <v>440</v>
      </c>
      <c r="G353" s="1" t="s">
        <v>13</v>
      </c>
      <c r="H353" s="1">
        <v>120000.0</v>
      </c>
      <c r="I353" s="1" t="s">
        <v>14</v>
      </c>
      <c r="J353" s="1" t="s">
        <v>25</v>
      </c>
    </row>
    <row r="354">
      <c r="A354" s="1">
        <v>362.0</v>
      </c>
      <c r="B354" s="2">
        <v>45940.51074074074</v>
      </c>
      <c r="C354" s="1" t="s">
        <v>466</v>
      </c>
      <c r="D354" s="1">
        <v>2.0</v>
      </c>
      <c r="E354" s="1" t="s">
        <v>97</v>
      </c>
      <c r="F354" s="1" t="s">
        <v>440</v>
      </c>
      <c r="G354" s="1" t="s">
        <v>20</v>
      </c>
      <c r="H354" s="1">
        <v>85500.0</v>
      </c>
      <c r="I354" s="1" t="s">
        <v>43</v>
      </c>
      <c r="J354" s="1" t="s">
        <v>25</v>
      </c>
    </row>
    <row r="355">
      <c r="A355" s="1">
        <v>363.0</v>
      </c>
      <c r="B355" s="2">
        <v>45940.692094907405</v>
      </c>
      <c r="C355" s="1" t="s">
        <v>467</v>
      </c>
      <c r="D355" s="1">
        <v>2.0</v>
      </c>
      <c r="E355" s="1" t="s">
        <v>89</v>
      </c>
      <c r="F355" s="1" t="s">
        <v>440</v>
      </c>
      <c r="G355" s="1" t="s">
        <v>13</v>
      </c>
      <c r="H355" s="1">
        <v>61226.0</v>
      </c>
      <c r="I355" s="1" t="s">
        <v>14</v>
      </c>
      <c r="J355" s="1" t="s">
        <v>25</v>
      </c>
    </row>
    <row r="356">
      <c r="A356" s="1">
        <v>364.0</v>
      </c>
      <c r="B356" s="2">
        <v>45940.715162037035</v>
      </c>
      <c r="C356" s="1" t="s">
        <v>467</v>
      </c>
      <c r="D356" s="1">
        <v>1.0</v>
      </c>
      <c r="E356" s="1" t="s">
        <v>119</v>
      </c>
      <c r="F356" s="1" t="s">
        <v>12</v>
      </c>
      <c r="G356" s="1" t="s">
        <v>13</v>
      </c>
      <c r="H356" s="1">
        <v>75000.0</v>
      </c>
      <c r="I356" s="1" t="s">
        <v>14</v>
      </c>
      <c r="J356" s="1" t="s">
        <v>25</v>
      </c>
    </row>
    <row r="357">
      <c r="A357" s="1">
        <v>365.0</v>
      </c>
      <c r="B357" s="2">
        <v>45940.727175925924</v>
      </c>
      <c r="C357" s="1" t="s">
        <v>468</v>
      </c>
      <c r="D357" s="1">
        <v>2.0</v>
      </c>
      <c r="E357" s="1" t="s">
        <v>89</v>
      </c>
      <c r="F357" s="1" t="s">
        <v>12</v>
      </c>
      <c r="G357" s="1" t="s">
        <v>20</v>
      </c>
      <c r="H357" s="1">
        <v>75000.0</v>
      </c>
      <c r="I357" s="1" t="s">
        <v>14</v>
      </c>
      <c r="J357" s="1" t="s">
        <v>469</v>
      </c>
    </row>
    <row r="358">
      <c r="A358" s="1">
        <v>366.0</v>
      </c>
      <c r="B358" s="2">
        <v>45943.45028935185</v>
      </c>
      <c r="C358" s="1" t="s">
        <v>470</v>
      </c>
      <c r="D358" s="1">
        <v>2.0</v>
      </c>
      <c r="E358" s="1" t="s">
        <v>89</v>
      </c>
      <c r="F358" s="1" t="s">
        <v>440</v>
      </c>
      <c r="G358" s="1" t="s">
        <v>13</v>
      </c>
      <c r="H358" s="1">
        <v>210000.0</v>
      </c>
      <c r="I358" s="1" t="s">
        <v>14</v>
      </c>
      <c r="J358" s="1" t="s">
        <v>25</v>
      </c>
    </row>
    <row r="359">
      <c r="A359" s="1">
        <v>367.0</v>
      </c>
      <c r="B359" s="2">
        <v>45943.4666087963</v>
      </c>
      <c r="C359" s="1" t="s">
        <v>471</v>
      </c>
      <c r="D359" s="1">
        <v>2.0</v>
      </c>
      <c r="E359" s="1" t="s">
        <v>89</v>
      </c>
      <c r="F359" s="1" t="s">
        <v>440</v>
      </c>
      <c r="G359" s="1" t="s">
        <v>13</v>
      </c>
      <c r="H359" s="1">
        <v>698000.0</v>
      </c>
      <c r="I359" s="1" t="s">
        <v>14</v>
      </c>
      <c r="J359" s="1" t="s">
        <v>25</v>
      </c>
    </row>
    <row r="360">
      <c r="A360" s="1">
        <v>368.0</v>
      </c>
      <c r="B360" s="2">
        <v>45943.54803240741</v>
      </c>
      <c r="C360" s="1" t="s">
        <v>472</v>
      </c>
      <c r="D360" s="1">
        <v>2.0</v>
      </c>
      <c r="E360" s="1" t="s">
        <v>89</v>
      </c>
      <c r="F360" s="1" t="s">
        <v>440</v>
      </c>
      <c r="G360" s="1" t="s">
        <v>13</v>
      </c>
      <c r="H360" s="1">
        <v>1532000.0</v>
      </c>
      <c r="I360" s="1" t="s">
        <v>14</v>
      </c>
      <c r="J360" s="1" t="s">
        <v>25</v>
      </c>
    </row>
    <row r="361">
      <c r="A361" s="1">
        <v>369.0</v>
      </c>
      <c r="B361" s="2">
        <v>45944.685578703706</v>
      </c>
      <c r="C361" s="1" t="s">
        <v>473</v>
      </c>
      <c r="D361" s="1">
        <v>2.0</v>
      </c>
      <c r="E361" s="1" t="s">
        <v>94</v>
      </c>
      <c r="F361" s="1" t="s">
        <v>23</v>
      </c>
      <c r="G361" s="1" t="s">
        <v>13</v>
      </c>
      <c r="H361" s="1">
        <v>210000.0</v>
      </c>
      <c r="I361" s="1" t="s">
        <v>14</v>
      </c>
      <c r="J361" s="1" t="s">
        <v>25</v>
      </c>
    </row>
    <row r="362">
      <c r="A362" s="1">
        <v>370.0</v>
      </c>
      <c r="B362" s="2">
        <v>45944.70269675926</v>
      </c>
      <c r="C362" s="1" t="s">
        <v>474</v>
      </c>
      <c r="D362" s="1">
        <v>2.0</v>
      </c>
      <c r="E362" s="1" t="s">
        <v>119</v>
      </c>
      <c r="F362" s="1" t="s">
        <v>440</v>
      </c>
      <c r="G362" s="1" t="s">
        <v>13</v>
      </c>
      <c r="H362" s="1">
        <v>380000.0</v>
      </c>
      <c r="I362" s="1" t="s">
        <v>14</v>
      </c>
      <c r="J362" s="1" t="s">
        <v>25</v>
      </c>
    </row>
    <row r="363">
      <c r="A363" s="1">
        <v>371.0</v>
      </c>
      <c r="B363" s="2">
        <v>45944.70396990741</v>
      </c>
      <c r="C363" s="1" t="s">
        <v>474</v>
      </c>
      <c r="D363" s="1">
        <v>1.0</v>
      </c>
      <c r="E363" s="1" t="s">
        <v>119</v>
      </c>
      <c r="F363" s="1" t="s">
        <v>440</v>
      </c>
      <c r="G363" s="1" t="s">
        <v>13</v>
      </c>
      <c r="H363" s="1">
        <v>135000.0</v>
      </c>
      <c r="I363" s="1" t="s">
        <v>14</v>
      </c>
      <c r="J363" s="1" t="s">
        <v>25</v>
      </c>
    </row>
    <row r="364">
      <c r="A364" s="1">
        <v>372.0</v>
      </c>
      <c r="B364" s="2">
        <v>45945.56283564815</v>
      </c>
      <c r="C364" s="1" t="s">
        <v>475</v>
      </c>
      <c r="D364" s="1">
        <v>2.0</v>
      </c>
      <c r="E364" s="1" t="s">
        <v>94</v>
      </c>
      <c r="F364" s="1" t="s">
        <v>440</v>
      </c>
      <c r="G364" s="1" t="s">
        <v>13</v>
      </c>
      <c r="H364" s="1">
        <v>150000.0</v>
      </c>
      <c r="I364" s="1" t="s">
        <v>14</v>
      </c>
      <c r="J364" s="1" t="s">
        <v>25</v>
      </c>
    </row>
    <row r="365">
      <c r="A365" s="1">
        <v>373.0</v>
      </c>
      <c r="B365" s="2">
        <v>45946.55737268519</v>
      </c>
      <c r="C365" s="1" t="s">
        <v>476</v>
      </c>
      <c r="D365" s="1">
        <v>2.0</v>
      </c>
      <c r="E365" s="1" t="s">
        <v>97</v>
      </c>
      <c r="F365" s="1" t="s">
        <v>440</v>
      </c>
      <c r="G365" s="1" t="s">
        <v>20</v>
      </c>
      <c r="H365" s="1">
        <v>125000.0</v>
      </c>
      <c r="I365" s="1" t="s">
        <v>14</v>
      </c>
      <c r="J365" s="1" t="s">
        <v>25</v>
      </c>
    </row>
    <row r="366">
      <c r="A366" s="1">
        <v>374.0</v>
      </c>
      <c r="B366" s="2">
        <v>45946.72274305556</v>
      </c>
      <c r="C366" s="1" t="s">
        <v>477</v>
      </c>
      <c r="D366" s="1">
        <v>2.0</v>
      </c>
      <c r="E366" s="1" t="s">
        <v>78</v>
      </c>
      <c r="F366" s="1" t="s">
        <v>440</v>
      </c>
      <c r="G366" s="1" t="s">
        <v>13</v>
      </c>
      <c r="H366" s="1">
        <v>630000.0</v>
      </c>
      <c r="I366" s="1" t="s">
        <v>14</v>
      </c>
      <c r="J366" s="1" t="s">
        <v>25</v>
      </c>
    </row>
    <row r="367">
      <c r="A367" s="1">
        <v>375.0</v>
      </c>
      <c r="B367" s="2">
        <v>45947.49052083334</v>
      </c>
      <c r="C367" s="1" t="s">
        <v>473</v>
      </c>
      <c r="D367" s="1">
        <v>2.0</v>
      </c>
      <c r="E367" s="1" t="s">
        <v>119</v>
      </c>
      <c r="F367" s="1" t="s">
        <v>440</v>
      </c>
      <c r="G367" s="1" t="s">
        <v>131</v>
      </c>
      <c r="H367" s="1">
        <v>178500.0</v>
      </c>
      <c r="I367" s="1" t="s">
        <v>60</v>
      </c>
      <c r="J367" s="1" t="s">
        <v>25</v>
      </c>
    </row>
    <row r="368">
      <c r="A368" s="1">
        <v>376.0</v>
      </c>
      <c r="B368" s="2">
        <v>45947.49429398148</v>
      </c>
      <c r="C368" s="1" t="s">
        <v>478</v>
      </c>
      <c r="D368" s="1">
        <v>2.0</v>
      </c>
      <c r="E368" s="1" t="s">
        <v>78</v>
      </c>
      <c r="F368" s="1" t="s">
        <v>440</v>
      </c>
      <c r="G368" s="1" t="s">
        <v>131</v>
      </c>
      <c r="H368" s="1">
        <v>167400.0</v>
      </c>
      <c r="I368" s="1" t="s">
        <v>43</v>
      </c>
      <c r="J368" s="1" t="s">
        <v>25</v>
      </c>
    </row>
    <row r="369">
      <c r="A369" s="1">
        <v>377.0</v>
      </c>
      <c r="B369" s="2">
        <v>45948.45715277778</v>
      </c>
      <c r="C369" s="1" t="s">
        <v>479</v>
      </c>
      <c r="D369" s="1">
        <v>1.0</v>
      </c>
      <c r="E369" s="1" t="s">
        <v>78</v>
      </c>
      <c r="F369" s="1" t="s">
        <v>440</v>
      </c>
      <c r="G369" s="1" t="s">
        <v>13</v>
      </c>
      <c r="H369" s="1">
        <v>176000.0</v>
      </c>
      <c r="I369" s="1" t="s">
        <v>14</v>
      </c>
      <c r="J369" s="1" t="s">
        <v>25</v>
      </c>
    </row>
    <row r="370">
      <c r="A370" s="1">
        <v>378.0</v>
      </c>
      <c r="B370" s="2">
        <v>45948.50813657408</v>
      </c>
      <c r="C370" s="1" t="s">
        <v>480</v>
      </c>
      <c r="D370" s="1">
        <v>2.0</v>
      </c>
      <c r="E370" s="1" t="s">
        <v>89</v>
      </c>
      <c r="F370" s="1" t="s">
        <v>440</v>
      </c>
      <c r="G370" s="1" t="s">
        <v>13</v>
      </c>
      <c r="H370" s="1">
        <v>230000.0</v>
      </c>
      <c r="I370" s="1" t="s">
        <v>14</v>
      </c>
      <c r="J370" s="1" t="s">
        <v>25</v>
      </c>
    </row>
    <row r="371">
      <c r="A371" s="1">
        <v>379.0</v>
      </c>
      <c r="B371" s="2">
        <v>45948.573067129626</v>
      </c>
      <c r="C371" s="1" t="s">
        <v>481</v>
      </c>
      <c r="D371" s="1">
        <v>1.0</v>
      </c>
      <c r="E371" s="1" t="s">
        <v>83</v>
      </c>
      <c r="F371" s="1" t="s">
        <v>440</v>
      </c>
      <c r="G371" s="1" t="s">
        <v>13</v>
      </c>
      <c r="H371" s="1">
        <v>136800.0</v>
      </c>
      <c r="I371" s="1" t="s">
        <v>14</v>
      </c>
      <c r="J371" s="1" t="s">
        <v>25</v>
      </c>
    </row>
    <row r="372">
      <c r="A372" s="1">
        <v>380.0</v>
      </c>
      <c r="B372" s="2">
        <v>45948.57407407407</v>
      </c>
      <c r="C372" s="1" t="s">
        <v>292</v>
      </c>
      <c r="D372" s="1">
        <v>1.0</v>
      </c>
      <c r="E372" s="1" t="s">
        <v>119</v>
      </c>
      <c r="F372" s="1" t="s">
        <v>440</v>
      </c>
      <c r="G372" s="1" t="s">
        <v>131</v>
      </c>
      <c r="H372" s="1">
        <v>75000.0</v>
      </c>
      <c r="I372" s="1" t="s">
        <v>14</v>
      </c>
      <c r="J372" s="1" t="s">
        <v>25</v>
      </c>
    </row>
    <row r="373">
      <c r="A373" s="1">
        <v>381.0</v>
      </c>
      <c r="B373" s="2">
        <v>45948.602372685185</v>
      </c>
      <c r="C373" s="1" t="s">
        <v>482</v>
      </c>
      <c r="D373" s="1">
        <v>2.0</v>
      </c>
      <c r="E373" s="1" t="s">
        <v>119</v>
      </c>
      <c r="F373" s="1" t="s">
        <v>440</v>
      </c>
      <c r="G373" s="1" t="s">
        <v>20</v>
      </c>
      <c r="H373" s="1">
        <v>132000.0</v>
      </c>
      <c r="I373" s="1" t="s">
        <v>14</v>
      </c>
      <c r="J373" s="1" t="s">
        <v>25</v>
      </c>
    </row>
    <row r="374">
      <c r="A374" s="1">
        <v>382.0</v>
      </c>
      <c r="B374" s="2">
        <v>45948.603368055556</v>
      </c>
      <c r="C374" s="1" t="s">
        <v>483</v>
      </c>
      <c r="D374" s="1">
        <v>2.0</v>
      </c>
      <c r="E374" s="1" t="s">
        <v>119</v>
      </c>
      <c r="F374" s="1" t="s">
        <v>440</v>
      </c>
      <c r="G374" s="1" t="s">
        <v>20</v>
      </c>
      <c r="H374" s="1">
        <v>140000.0</v>
      </c>
      <c r="I374" s="1" t="s">
        <v>14</v>
      </c>
      <c r="J374" s="1" t="s">
        <v>25</v>
      </c>
    </row>
    <row r="375">
      <c r="A375" s="1">
        <v>383.0</v>
      </c>
      <c r="B375" s="2">
        <v>45950.43366898148</v>
      </c>
      <c r="C375" s="1" t="s">
        <v>484</v>
      </c>
      <c r="D375" s="1">
        <v>2.0</v>
      </c>
      <c r="E375" s="1" t="s">
        <v>89</v>
      </c>
      <c r="F375" s="1" t="s">
        <v>440</v>
      </c>
      <c r="G375" s="1" t="s">
        <v>13</v>
      </c>
      <c r="H375" s="1">
        <v>247000.0</v>
      </c>
      <c r="I375" s="1" t="s">
        <v>14</v>
      </c>
      <c r="J375" s="1" t="s">
        <v>25</v>
      </c>
    </row>
    <row r="376">
      <c r="A376" s="1">
        <v>384.0</v>
      </c>
      <c r="B376" s="2">
        <v>45951.41370370371</v>
      </c>
      <c r="C376" s="1" t="s">
        <v>485</v>
      </c>
      <c r="D376" s="1">
        <v>2.0</v>
      </c>
      <c r="E376" s="1" t="s">
        <v>83</v>
      </c>
      <c r="F376" s="1" t="s">
        <v>440</v>
      </c>
      <c r="G376" s="1" t="s">
        <v>20</v>
      </c>
      <c r="H376" s="1">
        <v>196950.09</v>
      </c>
      <c r="I376" s="1" t="s">
        <v>60</v>
      </c>
      <c r="J376" s="1" t="s">
        <v>25</v>
      </c>
    </row>
    <row r="377">
      <c r="A377" s="1">
        <v>385.0</v>
      </c>
      <c r="B377" s="2">
        <v>45951.8109837963</v>
      </c>
      <c r="C377" s="1" t="s">
        <v>486</v>
      </c>
      <c r="D377" s="1">
        <v>2.0</v>
      </c>
      <c r="E377" s="1" t="s">
        <v>89</v>
      </c>
      <c r="F377" s="1" t="s">
        <v>440</v>
      </c>
      <c r="G377" s="1" t="s">
        <v>13</v>
      </c>
      <c r="H377" s="1">
        <v>180000.0</v>
      </c>
      <c r="I377" s="1" t="s">
        <v>14</v>
      </c>
      <c r="J377" s="1" t="s">
        <v>25</v>
      </c>
    </row>
    <row r="378">
      <c r="A378" s="1">
        <v>386.0</v>
      </c>
      <c r="B378" s="2">
        <v>45952.53005787037</v>
      </c>
      <c r="C378" s="1" t="s">
        <v>487</v>
      </c>
      <c r="D378" s="1">
        <v>2.0</v>
      </c>
      <c r="E378" s="1" t="s">
        <v>97</v>
      </c>
      <c r="F378" s="1" t="s">
        <v>440</v>
      </c>
      <c r="G378" s="1" t="s">
        <v>13</v>
      </c>
      <c r="H378" s="1">
        <v>170000.0</v>
      </c>
      <c r="I378" s="1" t="s">
        <v>14</v>
      </c>
      <c r="J378" s="1" t="s">
        <v>25</v>
      </c>
    </row>
    <row r="379">
      <c r="A379" s="1">
        <v>387.0</v>
      </c>
      <c r="B379" s="2">
        <v>45952.725023148145</v>
      </c>
      <c r="C379" s="1" t="s">
        <v>488</v>
      </c>
      <c r="D379" s="1">
        <v>2.0</v>
      </c>
      <c r="E379" s="1" t="s">
        <v>97</v>
      </c>
      <c r="F379" s="1" t="s">
        <v>440</v>
      </c>
      <c r="G379" s="1" t="s">
        <v>13</v>
      </c>
      <c r="H379" s="1">
        <v>250000.0</v>
      </c>
      <c r="I379" s="1" t="s">
        <v>14</v>
      </c>
      <c r="J379" s="1" t="s">
        <v>25</v>
      </c>
    </row>
    <row r="380">
      <c r="A380" s="1">
        <v>388.0</v>
      </c>
      <c r="B380" s="2">
        <v>45952.74717592593</v>
      </c>
      <c r="C380" s="1" t="s">
        <v>489</v>
      </c>
      <c r="D380" s="1">
        <v>2.0</v>
      </c>
      <c r="E380" s="1" t="s">
        <v>97</v>
      </c>
      <c r="F380" s="1" t="s">
        <v>23</v>
      </c>
      <c r="G380" s="1" t="s">
        <v>13</v>
      </c>
      <c r="H380" s="1">
        <v>150000.0</v>
      </c>
      <c r="I380" s="1" t="s">
        <v>14</v>
      </c>
      <c r="J380" s="1" t="s">
        <v>25</v>
      </c>
    </row>
    <row r="381">
      <c r="A381" s="1">
        <v>389.0</v>
      </c>
      <c r="B381" s="2">
        <v>45953.748344907406</v>
      </c>
      <c r="C381" s="1" t="s">
        <v>490</v>
      </c>
      <c r="D381" s="1">
        <v>2.0</v>
      </c>
      <c r="E381" s="1" t="s">
        <v>89</v>
      </c>
      <c r="F381" s="1" t="s">
        <v>440</v>
      </c>
      <c r="G381" s="1" t="s">
        <v>20</v>
      </c>
      <c r="H381" s="1">
        <v>205000.0</v>
      </c>
      <c r="I381" s="1" t="s">
        <v>14</v>
      </c>
      <c r="J381" s="1" t="s">
        <v>25</v>
      </c>
    </row>
    <row r="382">
      <c r="A382" s="1">
        <v>390.0</v>
      </c>
      <c r="B382" s="2">
        <v>45953.74895833333</v>
      </c>
      <c r="C382" s="1" t="s">
        <v>491</v>
      </c>
      <c r="D382" s="1">
        <v>2.0</v>
      </c>
      <c r="E382" s="1" t="s">
        <v>89</v>
      </c>
      <c r="F382" s="1" t="s">
        <v>440</v>
      </c>
      <c r="G382" s="1" t="s">
        <v>20</v>
      </c>
      <c r="H382" s="1">
        <v>160000.0</v>
      </c>
      <c r="I382" s="1" t="s">
        <v>14</v>
      </c>
      <c r="J382" s="1" t="s">
        <v>25</v>
      </c>
    </row>
    <row r="383">
      <c r="A383" s="1">
        <v>391.0</v>
      </c>
      <c r="B383" s="2">
        <v>45953.75219907407</v>
      </c>
      <c r="C383" s="1" t="s">
        <v>492</v>
      </c>
      <c r="D383" s="1">
        <v>2.0</v>
      </c>
      <c r="E383" s="1" t="s">
        <v>83</v>
      </c>
      <c r="F383" s="1" t="s">
        <v>440</v>
      </c>
      <c r="G383" s="1" t="s">
        <v>13</v>
      </c>
      <c r="H383" s="1">
        <v>91800.0</v>
      </c>
      <c r="I383" s="1" t="s">
        <v>60</v>
      </c>
      <c r="J383" s="1" t="s">
        <v>25</v>
      </c>
    </row>
    <row r="384">
      <c r="A384" s="1">
        <v>392.0</v>
      </c>
      <c r="B384" s="2">
        <v>45953.75628472222</v>
      </c>
      <c r="C384" s="1" t="s">
        <v>493</v>
      </c>
      <c r="D384" s="1">
        <v>2.0</v>
      </c>
      <c r="E384" s="1" t="s">
        <v>97</v>
      </c>
      <c r="F384" s="1" t="s">
        <v>440</v>
      </c>
      <c r="G384" s="1" t="s">
        <v>13</v>
      </c>
      <c r="H384" s="1">
        <v>850000.0</v>
      </c>
      <c r="I384" s="1" t="s">
        <v>14</v>
      </c>
      <c r="J384" s="1" t="s">
        <v>25</v>
      </c>
    </row>
    <row r="385">
      <c r="A385" s="1">
        <v>393.0</v>
      </c>
      <c r="B385" s="2">
        <v>45953.7578125</v>
      </c>
      <c r="C385" s="1" t="s">
        <v>494</v>
      </c>
      <c r="D385" s="1">
        <v>2.0</v>
      </c>
      <c r="E385" s="1" t="s">
        <v>78</v>
      </c>
      <c r="F385" s="1" t="s">
        <v>440</v>
      </c>
      <c r="G385" s="1" t="s">
        <v>13</v>
      </c>
      <c r="H385" s="1">
        <v>620000.0</v>
      </c>
      <c r="I385" s="1" t="s">
        <v>14</v>
      </c>
      <c r="J385" s="1" t="s">
        <v>495</v>
      </c>
    </row>
    <row r="386">
      <c r="A386" s="1">
        <v>394.0</v>
      </c>
      <c r="B386" s="2">
        <v>45953.76320601852</v>
      </c>
      <c r="C386" s="1" t="s">
        <v>496</v>
      </c>
      <c r="D386" s="1">
        <v>2.0</v>
      </c>
      <c r="E386" s="1" t="s">
        <v>89</v>
      </c>
      <c r="F386" s="1" t="s">
        <v>440</v>
      </c>
      <c r="G386" s="1" t="s">
        <v>131</v>
      </c>
      <c r="H386" s="1">
        <v>180000.0</v>
      </c>
      <c r="I386" s="1" t="s">
        <v>14</v>
      </c>
      <c r="J386" s="1" t="s">
        <v>25</v>
      </c>
    </row>
    <row r="387">
      <c r="A387" s="1">
        <v>395.0</v>
      </c>
      <c r="B387" s="2">
        <v>45953.76545138889</v>
      </c>
      <c r="C387" s="1" t="s">
        <v>497</v>
      </c>
      <c r="D387" s="1">
        <v>2.0</v>
      </c>
      <c r="E387" s="1" t="s">
        <v>89</v>
      </c>
      <c r="F387" s="1" t="s">
        <v>440</v>
      </c>
      <c r="G387" s="1" t="s">
        <v>13</v>
      </c>
      <c r="H387" s="1">
        <v>630000.0</v>
      </c>
      <c r="I387" s="1" t="s">
        <v>14</v>
      </c>
      <c r="J387" s="1" t="s">
        <v>498</v>
      </c>
    </row>
    <row r="388">
      <c r="A388" s="1">
        <v>396.0</v>
      </c>
      <c r="B388" s="2">
        <v>45954.41133101852</v>
      </c>
      <c r="C388" s="1" t="s">
        <v>499</v>
      </c>
      <c r="D388" s="1">
        <v>2.0</v>
      </c>
      <c r="E388" s="1" t="s">
        <v>83</v>
      </c>
      <c r="F388" s="1" t="s">
        <v>440</v>
      </c>
      <c r="G388" s="1" t="s">
        <v>20</v>
      </c>
      <c r="H388" s="1">
        <v>727000.0</v>
      </c>
      <c r="I388" s="1" t="s">
        <v>14</v>
      </c>
      <c r="J388" s="1" t="s">
        <v>25</v>
      </c>
    </row>
    <row r="389">
      <c r="A389" s="1">
        <v>397.0</v>
      </c>
      <c r="B389" s="2">
        <v>45954.53157407408</v>
      </c>
      <c r="C389" s="1" t="s">
        <v>500</v>
      </c>
      <c r="D389" s="1">
        <v>2.0</v>
      </c>
      <c r="E389" s="1" t="s">
        <v>89</v>
      </c>
      <c r="F389" s="1" t="s">
        <v>440</v>
      </c>
      <c r="G389" s="1" t="s">
        <v>13</v>
      </c>
      <c r="H389" s="1">
        <v>131383.17</v>
      </c>
      <c r="I389" s="1" t="s">
        <v>14</v>
      </c>
      <c r="J389" s="1" t="s">
        <v>501</v>
      </c>
    </row>
    <row r="390">
      <c r="A390" s="1">
        <v>398.0</v>
      </c>
      <c r="B390" s="2">
        <v>45957.49519675926</v>
      </c>
      <c r="C390" s="1" t="s">
        <v>502</v>
      </c>
      <c r="D390" s="1">
        <v>2.0</v>
      </c>
      <c r="E390" s="1" t="s">
        <v>83</v>
      </c>
      <c r="F390" s="1" t="s">
        <v>440</v>
      </c>
      <c r="G390" s="1" t="s">
        <v>131</v>
      </c>
      <c r="H390" s="1">
        <v>700000.0</v>
      </c>
      <c r="I390" s="1" t="s">
        <v>14</v>
      </c>
      <c r="J390" s="1" t="s">
        <v>503</v>
      </c>
    </row>
    <row r="391">
      <c r="A391" s="1">
        <v>399.0</v>
      </c>
      <c r="B391" s="2">
        <v>45958.697222222225</v>
      </c>
      <c r="C391" s="1" t="s">
        <v>504</v>
      </c>
      <c r="D391" s="1">
        <v>2.0</v>
      </c>
      <c r="E391" s="1" t="s">
        <v>97</v>
      </c>
      <c r="F391" s="1" t="s">
        <v>440</v>
      </c>
      <c r="G391" s="1" t="s">
        <v>13</v>
      </c>
      <c r="H391" s="1">
        <v>250000.0</v>
      </c>
      <c r="I391" s="1" t="s">
        <v>14</v>
      </c>
      <c r="J391" s="1" t="s">
        <v>505</v>
      </c>
    </row>
    <row r="392">
      <c r="A392" s="1">
        <v>400.0</v>
      </c>
      <c r="B392" s="2">
        <v>45959.47450231481</v>
      </c>
      <c r="C392" s="1" t="s">
        <v>506</v>
      </c>
      <c r="D392" s="1">
        <v>2.0</v>
      </c>
      <c r="E392" s="1" t="s">
        <v>83</v>
      </c>
      <c r="F392" s="1" t="s">
        <v>440</v>
      </c>
      <c r="G392" s="1" t="s">
        <v>13</v>
      </c>
      <c r="H392" s="1">
        <v>259000.0</v>
      </c>
      <c r="I392" s="1" t="s">
        <v>14</v>
      </c>
      <c r="J392" s="1" t="s">
        <v>25</v>
      </c>
    </row>
    <row r="393">
      <c r="A393" s="1">
        <v>401.0</v>
      </c>
      <c r="B393" s="2">
        <v>45959.476111111115</v>
      </c>
      <c r="C393" s="1" t="s">
        <v>507</v>
      </c>
      <c r="D393" s="1">
        <v>2.0</v>
      </c>
      <c r="E393" s="1" t="s">
        <v>83</v>
      </c>
      <c r="F393" s="1" t="s">
        <v>440</v>
      </c>
      <c r="G393" s="1" t="s">
        <v>13</v>
      </c>
      <c r="H393" s="1">
        <v>160000.0</v>
      </c>
      <c r="I393" s="1" t="s">
        <v>14</v>
      </c>
      <c r="J393" s="1" t="s">
        <v>25</v>
      </c>
    </row>
    <row r="394">
      <c r="A394" s="1">
        <v>402.0</v>
      </c>
      <c r="B394" s="2">
        <v>45959.79791666667</v>
      </c>
      <c r="C394" s="1" t="s">
        <v>508</v>
      </c>
      <c r="D394" s="1">
        <v>2.0</v>
      </c>
      <c r="E394" s="1" t="s">
        <v>89</v>
      </c>
      <c r="F394" s="1" t="s">
        <v>440</v>
      </c>
      <c r="G394" s="1" t="s">
        <v>20</v>
      </c>
      <c r="H394" s="1">
        <v>224298.0</v>
      </c>
      <c r="I394" s="1" t="s">
        <v>60</v>
      </c>
      <c r="J394" s="1" t="s">
        <v>25</v>
      </c>
    </row>
    <row r="395">
      <c r="A395" s="1">
        <v>403.0</v>
      </c>
      <c r="B395" s="2">
        <v>45961.434479166666</v>
      </c>
      <c r="C395" s="1" t="s">
        <v>509</v>
      </c>
      <c r="D395" s="1">
        <v>2.0</v>
      </c>
      <c r="E395" s="1" t="s">
        <v>97</v>
      </c>
      <c r="F395" s="1" t="s">
        <v>440</v>
      </c>
      <c r="G395" s="1" t="s">
        <v>13</v>
      </c>
      <c r="H395" s="1">
        <v>1530000.0</v>
      </c>
      <c r="I395" s="1" t="s">
        <v>14</v>
      </c>
      <c r="J395" s="1" t="s">
        <v>25</v>
      </c>
    </row>
    <row r="396">
      <c r="A396" s="1">
        <v>404.0</v>
      </c>
      <c r="B396" s="2">
        <v>45962.50745370371</v>
      </c>
      <c r="C396" s="1" t="s">
        <v>510</v>
      </c>
      <c r="D396" s="1">
        <v>2.0</v>
      </c>
      <c r="E396" s="1" t="s">
        <v>511</v>
      </c>
      <c r="F396" s="1" t="s">
        <v>440</v>
      </c>
      <c r="G396" s="1" t="s">
        <v>13</v>
      </c>
      <c r="H396" s="1">
        <v>1290000.0</v>
      </c>
      <c r="I396" s="1" t="s">
        <v>14</v>
      </c>
      <c r="J396" s="1" t="s">
        <v>25</v>
      </c>
    </row>
    <row r="397">
      <c r="A397" s="1">
        <v>405.0</v>
      </c>
      <c r="B397" s="2">
        <v>45966.55334490741</v>
      </c>
      <c r="C397" s="1" t="s">
        <v>512</v>
      </c>
      <c r="D397" s="1">
        <v>2.0</v>
      </c>
      <c r="E397" s="1" t="s">
        <v>89</v>
      </c>
      <c r="F397" s="1" t="s">
        <v>440</v>
      </c>
      <c r="G397" s="1" t="s">
        <v>13</v>
      </c>
      <c r="H397" s="1">
        <v>60000.0</v>
      </c>
      <c r="I397" s="1" t="s">
        <v>14</v>
      </c>
      <c r="J397" s="1" t="s">
        <v>25</v>
      </c>
    </row>
    <row r="398">
      <c r="A398" s="1">
        <v>406.0</v>
      </c>
      <c r="B398" s="2">
        <v>45967.68759259259</v>
      </c>
      <c r="C398" s="1" t="s">
        <v>513</v>
      </c>
      <c r="D398" s="1">
        <v>1.0</v>
      </c>
      <c r="E398" s="1" t="s">
        <v>83</v>
      </c>
      <c r="F398" s="1" t="s">
        <v>440</v>
      </c>
      <c r="G398" s="1" t="s">
        <v>13</v>
      </c>
      <c r="H398" s="1">
        <v>230000.0</v>
      </c>
      <c r="I398" s="1" t="s">
        <v>14</v>
      </c>
      <c r="J398" s="1" t="s">
        <v>25</v>
      </c>
    </row>
    <row r="399">
      <c r="A399" s="1">
        <v>407.0</v>
      </c>
      <c r="B399" s="2">
        <v>45967.68997685185</v>
      </c>
      <c r="C399" s="1" t="s">
        <v>514</v>
      </c>
      <c r="D399" s="1">
        <v>2.0</v>
      </c>
      <c r="E399" s="1" t="s">
        <v>83</v>
      </c>
      <c r="F399" s="1" t="s">
        <v>440</v>
      </c>
      <c r="G399" s="1" t="s">
        <v>20</v>
      </c>
      <c r="H399" s="1">
        <v>153000.0</v>
      </c>
      <c r="I399" s="1" t="s">
        <v>43</v>
      </c>
      <c r="J399" s="1" t="s">
        <v>25</v>
      </c>
    </row>
    <row r="400">
      <c r="A400" s="1">
        <v>408.0</v>
      </c>
      <c r="B400" s="2">
        <v>45967.69128472222</v>
      </c>
      <c r="C400" s="1" t="s">
        <v>515</v>
      </c>
      <c r="D400" s="1">
        <v>1.0</v>
      </c>
      <c r="E400" s="1" t="s">
        <v>78</v>
      </c>
      <c r="F400" s="1" t="s">
        <v>440</v>
      </c>
      <c r="G400" s="1" t="s">
        <v>13</v>
      </c>
      <c r="H400" s="1">
        <v>144000.0</v>
      </c>
      <c r="I400" s="1" t="s">
        <v>14</v>
      </c>
      <c r="J400" s="1" t="s">
        <v>25</v>
      </c>
    </row>
    <row r="401">
      <c r="A401" s="1">
        <v>409.0</v>
      </c>
      <c r="B401" s="2">
        <v>45967.70668981481</v>
      </c>
      <c r="C401" s="1" t="s">
        <v>516</v>
      </c>
      <c r="D401" s="1">
        <v>2.0</v>
      </c>
      <c r="E401" s="1" t="s">
        <v>119</v>
      </c>
      <c r="F401" s="1" t="s">
        <v>440</v>
      </c>
      <c r="G401" s="1" t="s">
        <v>20</v>
      </c>
      <c r="H401" s="1">
        <v>210000.0</v>
      </c>
      <c r="I401" s="1" t="s">
        <v>14</v>
      </c>
      <c r="J401" s="3" t="str">
        <f>+0.00 +0.75 x 95
+0.00 +1.00 x 90</f>
        <v>#ERROR!</v>
      </c>
    </row>
    <row r="402">
      <c r="A402" s="1">
        <v>410.0</v>
      </c>
      <c r="B402" s="2">
        <v>45967.70758101852</v>
      </c>
      <c r="C402" s="1" t="s">
        <v>517</v>
      </c>
      <c r="D402" s="1">
        <v>2.0</v>
      </c>
      <c r="E402" s="1" t="s">
        <v>119</v>
      </c>
      <c r="F402" s="1" t="s">
        <v>440</v>
      </c>
      <c r="G402" s="1" t="s">
        <v>20</v>
      </c>
      <c r="H402" s="1">
        <v>90000.0</v>
      </c>
      <c r="I402" s="1" t="s">
        <v>14</v>
      </c>
      <c r="J402" s="3" t="str">
        <f>+3.50 +0.50 x105
+1.75 +0.25 x100</f>
        <v>#ERROR!</v>
      </c>
    </row>
    <row r="403">
      <c r="A403" s="1">
        <v>411.0</v>
      </c>
      <c r="B403" s="2">
        <v>45967.76150462963</v>
      </c>
      <c r="C403" s="1" t="s">
        <v>518</v>
      </c>
      <c r="D403" s="1">
        <v>2.0</v>
      </c>
      <c r="E403" s="1" t="s">
        <v>94</v>
      </c>
      <c r="F403" s="1" t="s">
        <v>440</v>
      </c>
      <c r="G403" s="1" t="s">
        <v>131</v>
      </c>
      <c r="H403" s="1">
        <v>170000.0</v>
      </c>
      <c r="I403" s="1" t="s">
        <v>14</v>
      </c>
      <c r="J403" s="1" t="s">
        <v>25</v>
      </c>
    </row>
    <row r="404">
      <c r="A404" s="1">
        <v>412.0</v>
      </c>
      <c r="B404" s="2">
        <v>45968.52072916667</v>
      </c>
      <c r="C404" s="1" t="s">
        <v>519</v>
      </c>
      <c r="D404" s="1">
        <v>2.0</v>
      </c>
      <c r="E404" s="1" t="s">
        <v>97</v>
      </c>
      <c r="F404" s="1" t="s">
        <v>440</v>
      </c>
      <c r="G404" s="1" t="s">
        <v>13</v>
      </c>
      <c r="H404" s="1">
        <v>235000.0</v>
      </c>
      <c r="I404" s="1" t="s">
        <v>14</v>
      </c>
      <c r="J404" s="1" t="s">
        <v>25</v>
      </c>
    </row>
    <row r="405">
      <c r="A405" s="1">
        <v>413.0</v>
      </c>
      <c r="B405" s="2">
        <v>45969.471296296295</v>
      </c>
      <c r="C405" s="1" t="s">
        <v>520</v>
      </c>
      <c r="D405" s="1">
        <v>2.0</v>
      </c>
      <c r="E405" s="1" t="s">
        <v>89</v>
      </c>
      <c r="F405" s="1" t="s">
        <v>440</v>
      </c>
      <c r="G405" s="1" t="s">
        <v>20</v>
      </c>
      <c r="H405" s="1">
        <v>1130500.0</v>
      </c>
      <c r="I405" s="1" t="s">
        <v>60</v>
      </c>
      <c r="J405" s="1" t="s">
        <v>25</v>
      </c>
    </row>
    <row r="406">
      <c r="A406" s="1">
        <v>414.0</v>
      </c>
      <c r="B406" s="2">
        <v>45972.458078703705</v>
      </c>
      <c r="C406" s="1" t="s">
        <v>521</v>
      </c>
      <c r="D406" s="1">
        <v>2.0</v>
      </c>
      <c r="E406" s="1" t="s">
        <v>78</v>
      </c>
      <c r="F406" s="1" t="s">
        <v>440</v>
      </c>
      <c r="G406" s="1" t="s">
        <v>38</v>
      </c>
      <c r="H406" s="1">
        <v>620000.0</v>
      </c>
      <c r="I406" s="1" t="s">
        <v>14</v>
      </c>
      <c r="J406" s="1" t="s">
        <v>25</v>
      </c>
    </row>
    <row r="407">
      <c r="A407" s="1">
        <v>415.0</v>
      </c>
      <c r="B407" s="2">
        <v>45972.675844907404</v>
      </c>
      <c r="C407" s="1" t="s">
        <v>522</v>
      </c>
      <c r="D407" s="1">
        <v>2.0</v>
      </c>
      <c r="E407" s="1" t="s">
        <v>94</v>
      </c>
      <c r="F407" s="1" t="s">
        <v>440</v>
      </c>
      <c r="G407" s="1" t="s">
        <v>13</v>
      </c>
      <c r="H407" s="1">
        <v>160000.0</v>
      </c>
      <c r="I407" s="1" t="s">
        <v>14</v>
      </c>
      <c r="J407" s="1" t="s">
        <v>25</v>
      </c>
    </row>
    <row r="408">
      <c r="A408" s="1">
        <v>416.0</v>
      </c>
      <c r="B408" s="2">
        <v>45973.76459490741</v>
      </c>
      <c r="C408" s="1" t="s">
        <v>523</v>
      </c>
      <c r="D408" s="1">
        <v>2.0</v>
      </c>
      <c r="E408" s="1" t="s">
        <v>78</v>
      </c>
      <c r="F408" s="1" t="s">
        <v>440</v>
      </c>
      <c r="G408" s="1" t="s">
        <v>20</v>
      </c>
      <c r="H408" s="1">
        <v>88500.0</v>
      </c>
      <c r="I408" s="1" t="s">
        <v>14</v>
      </c>
      <c r="J408" s="1" t="s">
        <v>25</v>
      </c>
    </row>
    <row r="409">
      <c r="A409" s="1">
        <v>417.0</v>
      </c>
      <c r="B409" s="2">
        <v>45974.78653935185</v>
      </c>
      <c r="C409" s="1" t="s">
        <v>524</v>
      </c>
      <c r="D409" s="1">
        <v>2.0</v>
      </c>
      <c r="E409" s="1" t="s">
        <v>94</v>
      </c>
      <c r="F409" s="1" t="s">
        <v>440</v>
      </c>
      <c r="G409" s="1" t="s">
        <v>13</v>
      </c>
      <c r="H409" s="1">
        <v>120000.0</v>
      </c>
      <c r="I409" s="1" t="s">
        <v>14</v>
      </c>
      <c r="J409" s="1" t="s">
        <v>525</v>
      </c>
    </row>
    <row r="410">
      <c r="A410" s="1">
        <v>418.0</v>
      </c>
      <c r="B410" s="2">
        <v>45975.755520833336</v>
      </c>
      <c r="C410" s="1" t="s">
        <v>526</v>
      </c>
      <c r="D410" s="1">
        <v>2.0</v>
      </c>
      <c r="E410" s="1" t="s">
        <v>89</v>
      </c>
      <c r="F410" s="1" t="s">
        <v>23</v>
      </c>
      <c r="G410" s="1" t="s">
        <v>13</v>
      </c>
      <c r="H410" s="1">
        <v>325000.0</v>
      </c>
      <c r="I410" s="1" t="s">
        <v>14</v>
      </c>
      <c r="J410" s="1" t="s">
        <v>527</v>
      </c>
    </row>
    <row r="411">
      <c r="A411" s="1">
        <v>419.0</v>
      </c>
      <c r="B411" s="2">
        <v>45978.70854166667</v>
      </c>
      <c r="C411" s="1" t="s">
        <v>528</v>
      </c>
      <c r="D411" s="1">
        <v>2.0</v>
      </c>
      <c r="E411" s="1" t="s">
        <v>129</v>
      </c>
      <c r="F411" s="1" t="s">
        <v>440</v>
      </c>
      <c r="G411" s="1" t="s">
        <v>13</v>
      </c>
      <c r="H411" s="1">
        <v>210000.0</v>
      </c>
      <c r="I411" s="1" t="s">
        <v>14</v>
      </c>
      <c r="J411" s="1" t="s">
        <v>25</v>
      </c>
    </row>
    <row r="412">
      <c r="A412" s="1">
        <v>420.0</v>
      </c>
      <c r="B412" s="2">
        <v>45978.81398148148</v>
      </c>
      <c r="C412" s="1" t="s">
        <v>529</v>
      </c>
      <c r="D412" s="1">
        <v>2.0</v>
      </c>
      <c r="E412" s="1" t="s">
        <v>89</v>
      </c>
      <c r="F412" s="1" t="s">
        <v>440</v>
      </c>
      <c r="G412" s="1" t="s">
        <v>13</v>
      </c>
      <c r="H412" s="1">
        <v>460000.0</v>
      </c>
      <c r="I412" s="1" t="s">
        <v>14</v>
      </c>
      <c r="J412" s="1" t="s">
        <v>530</v>
      </c>
    </row>
    <row r="413">
      <c r="A413" s="1">
        <v>421.0</v>
      </c>
      <c r="B413" s="2">
        <v>45979.72450231481</v>
      </c>
      <c r="C413" s="1" t="s">
        <v>531</v>
      </c>
      <c r="D413" s="1">
        <v>2.0</v>
      </c>
      <c r="E413" s="1" t="s">
        <v>83</v>
      </c>
      <c r="F413" s="1" t="s">
        <v>440</v>
      </c>
      <c r="G413" s="1" t="s">
        <v>13</v>
      </c>
      <c r="H413" s="1">
        <v>289000.0</v>
      </c>
      <c r="I413" s="1" t="s">
        <v>14</v>
      </c>
      <c r="J413" s="1" t="s">
        <v>25</v>
      </c>
    </row>
    <row r="414">
      <c r="A414" s="1">
        <v>422.0</v>
      </c>
      <c r="B414" s="2">
        <v>45979.725324074076</v>
      </c>
      <c r="C414" s="1" t="s">
        <v>532</v>
      </c>
      <c r="D414" s="1">
        <v>2.0</v>
      </c>
      <c r="E414" s="1" t="s">
        <v>83</v>
      </c>
      <c r="F414" s="1" t="s">
        <v>440</v>
      </c>
      <c r="G414" s="1" t="s">
        <v>13</v>
      </c>
      <c r="H414" s="1">
        <v>61226.0</v>
      </c>
      <c r="I414" s="1" t="s">
        <v>14</v>
      </c>
      <c r="J414" s="1" t="s">
        <v>25</v>
      </c>
    </row>
    <row r="415">
      <c r="A415" s="1">
        <v>423.0</v>
      </c>
      <c r="B415" s="2">
        <v>45980.49255787037</v>
      </c>
      <c r="C415" s="1" t="s">
        <v>533</v>
      </c>
      <c r="D415" s="1">
        <v>2.0</v>
      </c>
      <c r="E415" s="1" t="s">
        <v>83</v>
      </c>
      <c r="F415" s="1" t="s">
        <v>440</v>
      </c>
      <c r="G415" s="1" t="s">
        <v>20</v>
      </c>
      <c r="H415" s="1">
        <v>97000.0</v>
      </c>
      <c r="I415" s="1" t="s">
        <v>14</v>
      </c>
      <c r="J415" s="1" t="s">
        <v>25</v>
      </c>
    </row>
    <row r="416">
      <c r="A416" s="1">
        <v>424.0</v>
      </c>
      <c r="B416" s="2">
        <v>45980.494097222225</v>
      </c>
      <c r="C416" s="1" t="s">
        <v>534</v>
      </c>
      <c r="D416" s="1">
        <v>2.0</v>
      </c>
      <c r="E416" s="1" t="s">
        <v>83</v>
      </c>
      <c r="F416" s="1" t="s">
        <v>440</v>
      </c>
      <c r="G416" s="1" t="s">
        <v>20</v>
      </c>
      <c r="H416" s="1">
        <v>76500.0</v>
      </c>
      <c r="I416" s="1" t="s">
        <v>60</v>
      </c>
      <c r="J416" s="1" t="s">
        <v>25</v>
      </c>
    </row>
    <row r="417">
      <c r="A417" s="1">
        <v>425.0</v>
      </c>
      <c r="B417" s="2">
        <v>45980.49597222222</v>
      </c>
      <c r="C417" s="1" t="s">
        <v>535</v>
      </c>
      <c r="D417" s="1">
        <v>2.0</v>
      </c>
      <c r="E417" s="1" t="s">
        <v>129</v>
      </c>
      <c r="F417" s="1" t="s">
        <v>440</v>
      </c>
      <c r="G417" s="1" t="s">
        <v>13</v>
      </c>
      <c r="H417" s="1">
        <v>120000.0</v>
      </c>
      <c r="I417" s="1" t="s">
        <v>14</v>
      </c>
      <c r="J417" s="1" t="s">
        <v>25</v>
      </c>
    </row>
    <row r="418">
      <c r="A418" s="1">
        <v>426.0</v>
      </c>
      <c r="B418" s="2">
        <v>45980.49875</v>
      </c>
      <c r="C418" s="1" t="s">
        <v>536</v>
      </c>
      <c r="D418" s="1">
        <v>2.0</v>
      </c>
      <c r="E418" s="1" t="s">
        <v>83</v>
      </c>
      <c r="F418" s="1" t="s">
        <v>23</v>
      </c>
      <c r="G418" s="1" t="s">
        <v>20</v>
      </c>
      <c r="H418" s="1">
        <v>199750.0</v>
      </c>
      <c r="I418" s="1" t="s">
        <v>60</v>
      </c>
      <c r="J418" s="1" t="s">
        <v>537</v>
      </c>
    </row>
    <row r="419">
      <c r="A419" s="1">
        <v>427.0</v>
      </c>
      <c r="B419" s="2">
        <v>45980.501493055555</v>
      </c>
      <c r="C419" s="1" t="s">
        <v>538</v>
      </c>
      <c r="D419" s="1">
        <v>2.0</v>
      </c>
      <c r="E419" s="1" t="s">
        <v>83</v>
      </c>
      <c r="F419" s="1" t="s">
        <v>440</v>
      </c>
      <c r="G419" s="1" t="s">
        <v>20</v>
      </c>
      <c r="H419" s="1">
        <v>180200.0</v>
      </c>
      <c r="I419" s="1" t="s">
        <v>60</v>
      </c>
      <c r="J419" s="1" t="s">
        <v>25</v>
      </c>
    </row>
    <row r="420">
      <c r="A420" s="1">
        <v>428.0</v>
      </c>
      <c r="B420" s="2">
        <v>45980.506423611114</v>
      </c>
      <c r="C420" s="1" t="s">
        <v>539</v>
      </c>
      <c r="D420" s="1">
        <v>2.0</v>
      </c>
      <c r="E420" s="1" t="s">
        <v>94</v>
      </c>
      <c r="F420" s="1" t="s">
        <v>440</v>
      </c>
      <c r="G420" s="1" t="s">
        <v>13</v>
      </c>
      <c r="H420" s="1">
        <v>730000.0</v>
      </c>
      <c r="I420" s="1" t="s">
        <v>14</v>
      </c>
      <c r="J420" s="1" t="s">
        <v>540</v>
      </c>
    </row>
    <row r="421">
      <c r="A421" s="1">
        <v>429.0</v>
      </c>
      <c r="B421" s="2">
        <v>45981.490625</v>
      </c>
      <c r="C421" s="1" t="s">
        <v>541</v>
      </c>
      <c r="D421" s="1">
        <v>2.0</v>
      </c>
      <c r="E421" s="1" t="s">
        <v>78</v>
      </c>
      <c r="F421" s="1" t="s">
        <v>440</v>
      </c>
      <c r="G421" s="1" t="s">
        <v>13</v>
      </c>
      <c r="H421" s="1">
        <v>307000.0</v>
      </c>
      <c r="I421" s="1" t="s">
        <v>14</v>
      </c>
      <c r="J421" s="1" t="s">
        <v>25</v>
      </c>
    </row>
    <row r="422">
      <c r="A422" s="1">
        <v>430.0</v>
      </c>
      <c r="B422" s="2">
        <v>45981.77915509259</v>
      </c>
      <c r="C422" s="1" t="s">
        <v>542</v>
      </c>
      <c r="D422" s="1">
        <v>2.0</v>
      </c>
      <c r="E422" s="1" t="s">
        <v>89</v>
      </c>
      <c r="F422" s="1" t="s">
        <v>440</v>
      </c>
      <c r="G422" s="1" t="s">
        <v>13</v>
      </c>
      <c r="H422" s="1">
        <v>190000.0</v>
      </c>
      <c r="I422" s="1" t="s">
        <v>14</v>
      </c>
      <c r="J422" s="1" t="s">
        <v>25</v>
      </c>
    </row>
    <row r="423">
      <c r="A423" s="1">
        <v>431.0</v>
      </c>
      <c r="B423" s="2">
        <v>45982.39960648148</v>
      </c>
      <c r="C423" s="1" t="s">
        <v>543</v>
      </c>
      <c r="D423" s="1">
        <v>1.0</v>
      </c>
      <c r="E423" s="1" t="s">
        <v>201</v>
      </c>
      <c r="F423" s="1" t="s">
        <v>440</v>
      </c>
      <c r="G423" s="1" t="s">
        <v>13</v>
      </c>
      <c r="H423" s="1">
        <v>166000.0</v>
      </c>
      <c r="I423" s="1" t="s">
        <v>14</v>
      </c>
      <c r="J423" s="1" t="s">
        <v>25</v>
      </c>
    </row>
    <row r="424">
      <c r="A424" s="1">
        <v>432.0</v>
      </c>
      <c r="B424" s="2">
        <v>45982.53333333333</v>
      </c>
      <c r="C424" s="1" t="s">
        <v>544</v>
      </c>
      <c r="D424" s="1">
        <v>2.0</v>
      </c>
      <c r="E424" s="1" t="s">
        <v>89</v>
      </c>
      <c r="F424" s="1" t="s">
        <v>440</v>
      </c>
      <c r="G424" s="1" t="s">
        <v>20</v>
      </c>
      <c r="H424" s="1">
        <v>600000.0</v>
      </c>
      <c r="I424" s="1" t="s">
        <v>14</v>
      </c>
      <c r="J424" s="1" t="s">
        <v>25</v>
      </c>
    </row>
    <row r="425">
      <c r="A425" s="1">
        <v>433.0</v>
      </c>
      <c r="B425" s="2">
        <v>45982.69422453704</v>
      </c>
      <c r="C425" s="1" t="s">
        <v>545</v>
      </c>
      <c r="D425" s="1">
        <v>2.0</v>
      </c>
      <c r="E425" s="1" t="s">
        <v>89</v>
      </c>
      <c r="F425" s="1" t="s">
        <v>440</v>
      </c>
      <c r="G425" s="1" t="s">
        <v>20</v>
      </c>
      <c r="H425" s="1">
        <v>180000.0</v>
      </c>
      <c r="I425" s="1" t="s">
        <v>14</v>
      </c>
      <c r="J425" s="1" t="s">
        <v>25</v>
      </c>
    </row>
    <row r="426">
      <c r="A426" s="1">
        <v>434.0</v>
      </c>
      <c r="B426" s="2">
        <v>45987.58105324074</v>
      </c>
      <c r="C426" s="1" t="s">
        <v>546</v>
      </c>
      <c r="D426" s="1">
        <v>2.0</v>
      </c>
      <c r="E426" s="1" t="s">
        <v>97</v>
      </c>
      <c r="F426" s="1" t="s">
        <v>440</v>
      </c>
      <c r="G426" s="1" t="s">
        <v>20</v>
      </c>
      <c r="H426" s="1">
        <v>235000.0</v>
      </c>
      <c r="I426" s="1" t="s">
        <v>14</v>
      </c>
      <c r="J426" s="1" t="s">
        <v>25</v>
      </c>
    </row>
    <row r="427">
      <c r="A427" s="1">
        <v>435.0</v>
      </c>
      <c r="B427" s="2">
        <v>45987.720659722225</v>
      </c>
      <c r="C427" s="1" t="s">
        <v>547</v>
      </c>
      <c r="D427" s="1">
        <v>2.0</v>
      </c>
      <c r="E427" s="1" t="s">
        <v>89</v>
      </c>
      <c r="F427" s="1" t="s">
        <v>440</v>
      </c>
      <c r="G427" s="1" t="s">
        <v>13</v>
      </c>
      <c r="H427" s="1">
        <v>145000.0</v>
      </c>
      <c r="I427" s="1" t="s">
        <v>14</v>
      </c>
      <c r="J427" s="1" t="s">
        <v>25</v>
      </c>
    </row>
    <row r="428">
      <c r="A428" s="1">
        <v>436.0</v>
      </c>
      <c r="B428" s="2">
        <v>45989.69005787037</v>
      </c>
      <c r="C428" s="1" t="s">
        <v>548</v>
      </c>
      <c r="D428" s="1">
        <v>2.0</v>
      </c>
      <c r="E428" s="1" t="s">
        <v>89</v>
      </c>
      <c r="F428" s="1" t="s">
        <v>440</v>
      </c>
      <c r="G428" s="1" t="s">
        <v>131</v>
      </c>
      <c r="H428" s="1">
        <v>1150000.0</v>
      </c>
      <c r="I428" s="1" t="s">
        <v>14</v>
      </c>
      <c r="J428" s="1" t="s">
        <v>25</v>
      </c>
    </row>
    <row r="429">
      <c r="A429" s="1">
        <v>437.0</v>
      </c>
      <c r="B429" s="2">
        <v>45989.6941087963</v>
      </c>
      <c r="C429" s="1" t="s">
        <v>549</v>
      </c>
      <c r="D429" s="1">
        <v>2.0</v>
      </c>
      <c r="E429" s="1" t="s">
        <v>89</v>
      </c>
      <c r="F429" s="1" t="s">
        <v>440</v>
      </c>
      <c r="G429" s="1" t="s">
        <v>20</v>
      </c>
      <c r="H429" s="1">
        <v>667000.0</v>
      </c>
      <c r="I429" s="1" t="s">
        <v>14</v>
      </c>
      <c r="J429" s="1" t="s">
        <v>550</v>
      </c>
    </row>
    <row r="430">
      <c r="A430" s="1">
        <v>438.0</v>
      </c>
      <c r="B430" s="2">
        <v>45989.706770833334</v>
      </c>
      <c r="C430" s="1" t="s">
        <v>551</v>
      </c>
      <c r="D430" s="1">
        <v>2.0</v>
      </c>
      <c r="E430" s="1" t="s">
        <v>89</v>
      </c>
      <c r="F430" s="1" t="s">
        <v>440</v>
      </c>
      <c r="G430" s="1" t="s">
        <v>20</v>
      </c>
      <c r="H430" s="1">
        <v>240000.0</v>
      </c>
      <c r="I430" s="1" t="s">
        <v>14</v>
      </c>
      <c r="J430" s="1" t="s">
        <v>25</v>
      </c>
    </row>
    <row r="431">
      <c r="A431" s="1">
        <v>439.0</v>
      </c>
      <c r="B431" s="2">
        <v>45989.79578703704</v>
      </c>
      <c r="C431" s="1" t="s">
        <v>552</v>
      </c>
      <c r="D431" s="1">
        <v>2.0</v>
      </c>
      <c r="E431" s="1" t="s">
        <v>129</v>
      </c>
      <c r="F431" s="1" t="s">
        <v>440</v>
      </c>
      <c r="G431" s="1" t="s">
        <v>20</v>
      </c>
      <c r="H431" s="1">
        <v>220000.0</v>
      </c>
      <c r="I431" s="1" t="s">
        <v>14</v>
      </c>
      <c r="J431" s="1" t="s">
        <v>553</v>
      </c>
    </row>
    <row r="432">
      <c r="A432" s="1">
        <v>440.0</v>
      </c>
      <c r="B432" s="2">
        <v>45990.481944444444</v>
      </c>
      <c r="C432" s="1" t="s">
        <v>554</v>
      </c>
      <c r="D432" s="1">
        <v>2.0</v>
      </c>
      <c r="E432" s="1" t="s">
        <v>89</v>
      </c>
      <c r="F432" s="1" t="s">
        <v>440</v>
      </c>
      <c r="G432" s="1" t="s">
        <v>13</v>
      </c>
      <c r="H432" s="1">
        <v>210000.0</v>
      </c>
      <c r="I432" s="1" t="s">
        <v>14</v>
      </c>
      <c r="J432" s="1" t="s">
        <v>25</v>
      </c>
    </row>
    <row r="433">
      <c r="A433" s="1">
        <v>441.0</v>
      </c>
      <c r="B433" s="2">
        <v>45990.52892361111</v>
      </c>
      <c r="C433" s="1" t="s">
        <v>555</v>
      </c>
      <c r="D433" s="1">
        <v>2.0</v>
      </c>
      <c r="E433" s="1" t="s">
        <v>89</v>
      </c>
      <c r="F433" s="1" t="s">
        <v>440</v>
      </c>
      <c r="G433" s="1" t="s">
        <v>20</v>
      </c>
      <c r="H433" s="1">
        <v>216000.0</v>
      </c>
      <c r="I433" s="1" t="s">
        <v>14</v>
      </c>
      <c r="J433" s="1" t="s">
        <v>25</v>
      </c>
    </row>
    <row r="434">
      <c r="A434" s="1">
        <v>442.0</v>
      </c>
      <c r="B434" s="2">
        <v>45990.576469907406</v>
      </c>
      <c r="C434" s="1" t="s">
        <v>556</v>
      </c>
      <c r="D434" s="1">
        <v>2.0</v>
      </c>
      <c r="E434" s="1" t="s">
        <v>83</v>
      </c>
      <c r="F434" s="1" t="s">
        <v>440</v>
      </c>
      <c r="G434" s="1" t="s">
        <v>131</v>
      </c>
      <c r="H434" s="1">
        <v>1308000.0</v>
      </c>
      <c r="I434" s="1" t="s">
        <v>14</v>
      </c>
      <c r="J434" s="1" t="s">
        <v>25</v>
      </c>
    </row>
    <row r="435">
      <c r="A435" s="1">
        <v>443.0</v>
      </c>
      <c r="B435" s="2">
        <v>45990.590162037035</v>
      </c>
      <c r="C435" s="1" t="s">
        <v>526</v>
      </c>
      <c r="D435" s="1">
        <v>2.0</v>
      </c>
      <c r="E435" s="1" t="s">
        <v>119</v>
      </c>
      <c r="F435" s="1" t="s">
        <v>440</v>
      </c>
      <c r="G435" s="1" t="s">
        <v>20</v>
      </c>
      <c r="H435" s="1">
        <v>255000.0</v>
      </c>
      <c r="I435" s="1" t="s">
        <v>60</v>
      </c>
      <c r="J435" s="1" t="s">
        <v>25</v>
      </c>
    </row>
    <row r="436">
      <c r="A436" s="1">
        <v>444.0</v>
      </c>
      <c r="B436" s="2">
        <v>45990.5943287037</v>
      </c>
      <c r="C436" s="1" t="s">
        <v>536</v>
      </c>
      <c r="D436" s="1">
        <v>2.0</v>
      </c>
      <c r="E436" s="1" t="s">
        <v>119</v>
      </c>
      <c r="F436" s="1" t="s">
        <v>440</v>
      </c>
      <c r="G436" s="1" t="s">
        <v>13</v>
      </c>
      <c r="H436" s="1">
        <v>235000.0</v>
      </c>
      <c r="I436" s="1" t="s">
        <v>14</v>
      </c>
      <c r="J436" s="1" t="s">
        <v>557</v>
      </c>
    </row>
    <row r="437">
      <c r="A437" s="1">
        <v>445.0</v>
      </c>
      <c r="B437" s="2">
        <v>45992.771203703705</v>
      </c>
      <c r="C437" s="1" t="s">
        <v>558</v>
      </c>
      <c r="D437" s="1">
        <v>2.0</v>
      </c>
      <c r="E437" s="1" t="s">
        <v>94</v>
      </c>
      <c r="F437" s="1" t="s">
        <v>440</v>
      </c>
      <c r="G437" s="1" t="s">
        <v>131</v>
      </c>
      <c r="H437" s="1">
        <v>408000.0</v>
      </c>
      <c r="I437" s="1" t="s">
        <v>60</v>
      </c>
      <c r="J437" s="1" t="s">
        <v>25</v>
      </c>
    </row>
    <row r="438">
      <c r="A438" s="1">
        <v>446.0</v>
      </c>
      <c r="B438" s="2">
        <v>45993.739537037036</v>
      </c>
      <c r="C438" s="1" t="s">
        <v>559</v>
      </c>
      <c r="D438" s="1">
        <v>2.0</v>
      </c>
      <c r="E438" s="1" t="s">
        <v>78</v>
      </c>
      <c r="F438" s="1" t="s">
        <v>440</v>
      </c>
      <c r="G438" s="1" t="s">
        <v>131</v>
      </c>
      <c r="H438" s="1">
        <v>1241000.0</v>
      </c>
      <c r="I438" s="1" t="s">
        <v>60</v>
      </c>
      <c r="J438" s="1" t="s">
        <v>560</v>
      </c>
    </row>
    <row r="439">
      <c r="A439" s="1">
        <v>447.0</v>
      </c>
      <c r="B439" s="2">
        <v>45994.77306712963</v>
      </c>
      <c r="C439" s="1" t="s">
        <v>561</v>
      </c>
      <c r="D439" s="1">
        <v>2.0</v>
      </c>
      <c r="E439" s="1" t="s">
        <v>89</v>
      </c>
      <c r="F439" s="1" t="s">
        <v>440</v>
      </c>
      <c r="G439" s="1" t="s">
        <v>20</v>
      </c>
      <c r="H439" s="1">
        <v>123250.0</v>
      </c>
      <c r="I439" s="1" t="s">
        <v>60</v>
      </c>
      <c r="J439" s="1" t="s">
        <v>25</v>
      </c>
    </row>
    <row r="440">
      <c r="A440" s="1">
        <v>448.0</v>
      </c>
      <c r="B440" s="2">
        <v>45995.41297453704</v>
      </c>
      <c r="C440" s="1" t="s">
        <v>551</v>
      </c>
      <c r="D440" s="1">
        <v>2.0</v>
      </c>
      <c r="E440" s="1" t="s">
        <v>119</v>
      </c>
      <c r="F440" s="1" t="s">
        <v>440</v>
      </c>
      <c r="G440" s="1" t="s">
        <v>131</v>
      </c>
      <c r="H440" s="1">
        <v>98000.0</v>
      </c>
      <c r="I440" s="1" t="s">
        <v>14</v>
      </c>
      <c r="J440" s="1" t="s">
        <v>562</v>
      </c>
    </row>
    <row r="441">
      <c r="A441" s="1">
        <v>449.0</v>
      </c>
      <c r="B441" s="2">
        <v>45995.42136574074</v>
      </c>
      <c r="C441" s="1" t="s">
        <v>563</v>
      </c>
      <c r="D441" s="1">
        <v>2.0</v>
      </c>
      <c r="E441" s="1" t="s">
        <v>89</v>
      </c>
      <c r="F441" s="1" t="s">
        <v>440</v>
      </c>
      <c r="G441" s="1" t="s">
        <v>131</v>
      </c>
      <c r="H441" s="1">
        <v>205700.0</v>
      </c>
      <c r="I441" s="1" t="s">
        <v>60</v>
      </c>
      <c r="J441" s="1" t="s">
        <v>25</v>
      </c>
    </row>
    <row r="442">
      <c r="A442" s="1">
        <v>450.0</v>
      </c>
      <c r="B442" s="2">
        <v>45995.72002314815</v>
      </c>
      <c r="C442" s="1" t="s">
        <v>564</v>
      </c>
      <c r="D442" s="1">
        <v>2.0</v>
      </c>
      <c r="E442" s="1" t="s">
        <v>89</v>
      </c>
      <c r="F442" s="1" t="s">
        <v>440</v>
      </c>
      <c r="G442" s="1" t="s">
        <v>13</v>
      </c>
      <c r="H442" s="1">
        <v>227000.0</v>
      </c>
      <c r="I442" s="1" t="s">
        <v>14</v>
      </c>
      <c r="J442" s="1" t="s">
        <v>25</v>
      </c>
    </row>
    <row r="443">
      <c r="A443" s="1">
        <v>451.0</v>
      </c>
      <c r="B443" s="2">
        <v>45995.72332175926</v>
      </c>
      <c r="C443" s="1" t="s">
        <v>565</v>
      </c>
      <c r="D443" s="1">
        <v>2.0</v>
      </c>
      <c r="E443" s="1" t="s">
        <v>94</v>
      </c>
      <c r="F443" s="1" t="s">
        <v>440</v>
      </c>
      <c r="G443" s="1" t="s">
        <v>13</v>
      </c>
      <c r="H443" s="1">
        <v>72000.0</v>
      </c>
      <c r="I443" s="1" t="s">
        <v>14</v>
      </c>
      <c r="J443" s="1" t="s">
        <v>25</v>
      </c>
    </row>
    <row r="444">
      <c r="A444" s="1">
        <v>452.0</v>
      </c>
      <c r="B444" s="2">
        <v>45995.75984953704</v>
      </c>
      <c r="C444" s="1" t="s">
        <v>566</v>
      </c>
      <c r="D444" s="1">
        <v>2.0</v>
      </c>
      <c r="E444" s="1" t="s">
        <v>94</v>
      </c>
      <c r="F444" s="1" t="s">
        <v>440</v>
      </c>
      <c r="G444" s="1" t="s">
        <v>13</v>
      </c>
      <c r="H444" s="1">
        <v>180000.0</v>
      </c>
      <c r="I444" s="1" t="s">
        <v>14</v>
      </c>
      <c r="J444" s="1" t="s">
        <v>25</v>
      </c>
    </row>
    <row r="445">
      <c r="A445" s="1">
        <v>453.0</v>
      </c>
      <c r="B445" s="2">
        <v>45996.68201388889</v>
      </c>
      <c r="C445" s="1" t="s">
        <v>567</v>
      </c>
      <c r="D445" s="1">
        <v>2.0</v>
      </c>
      <c r="E445" s="1" t="s">
        <v>119</v>
      </c>
      <c r="F445" s="1" t="s">
        <v>440</v>
      </c>
      <c r="G445" s="1" t="s">
        <v>20</v>
      </c>
      <c r="H445" s="1">
        <v>795000.0</v>
      </c>
      <c r="I445" s="1" t="s">
        <v>14</v>
      </c>
      <c r="J445" s="1" t="s">
        <v>568</v>
      </c>
    </row>
    <row r="446">
      <c r="A446" s="1">
        <v>454.0</v>
      </c>
      <c r="B446" s="2">
        <v>45997.46771990741</v>
      </c>
      <c r="C446" s="1" t="s">
        <v>569</v>
      </c>
      <c r="D446" s="1">
        <v>2.0</v>
      </c>
      <c r="E446" s="1" t="s">
        <v>78</v>
      </c>
      <c r="F446" s="1" t="s">
        <v>440</v>
      </c>
      <c r="G446" s="1" t="s">
        <v>131</v>
      </c>
      <c r="H446" s="1">
        <v>189000.0</v>
      </c>
      <c r="I446" s="1" t="s">
        <v>43</v>
      </c>
      <c r="J446" s="1" t="s">
        <v>25</v>
      </c>
    </row>
    <row r="447">
      <c r="A447" s="1">
        <v>455.0</v>
      </c>
      <c r="B447" s="2">
        <v>45997.504907407405</v>
      </c>
      <c r="C447" s="1" t="s">
        <v>570</v>
      </c>
      <c r="D447" s="1">
        <v>2.0</v>
      </c>
      <c r="E447" s="1" t="s">
        <v>89</v>
      </c>
      <c r="F447" s="1" t="s">
        <v>440</v>
      </c>
      <c r="G447" s="1" t="s">
        <v>13</v>
      </c>
      <c r="H447" s="1">
        <v>290000.0</v>
      </c>
      <c r="I447" s="1" t="s">
        <v>14</v>
      </c>
      <c r="J447" s="1" t="s">
        <v>25</v>
      </c>
    </row>
    <row r="448">
      <c r="A448" s="1">
        <v>456.0</v>
      </c>
      <c r="B448" s="2">
        <v>46000.706712962965</v>
      </c>
      <c r="C448" s="1" t="s">
        <v>571</v>
      </c>
      <c r="D448" s="1">
        <v>2.0</v>
      </c>
      <c r="E448" s="1" t="s">
        <v>78</v>
      </c>
      <c r="F448" s="1" t="s">
        <v>440</v>
      </c>
      <c r="G448" s="1" t="s">
        <v>13</v>
      </c>
      <c r="H448" s="1">
        <v>152000.0</v>
      </c>
      <c r="I448" s="1" t="s">
        <v>14</v>
      </c>
      <c r="J448" s="1" t="s">
        <v>25</v>
      </c>
    </row>
    <row r="449">
      <c r="A449" s="1">
        <v>457.0</v>
      </c>
      <c r="B449" s="2">
        <v>46000.7124537037</v>
      </c>
      <c r="C449" s="1" t="s">
        <v>572</v>
      </c>
      <c r="D449" s="1">
        <v>2.0</v>
      </c>
      <c r="E449" s="1" t="s">
        <v>78</v>
      </c>
      <c r="F449" s="1" t="s">
        <v>440</v>
      </c>
      <c r="G449" s="1" t="s">
        <v>13</v>
      </c>
      <c r="H449" s="1">
        <v>740000.0</v>
      </c>
      <c r="I449" s="1" t="s">
        <v>14</v>
      </c>
      <c r="J449" s="1" t="s">
        <v>25</v>
      </c>
    </row>
    <row r="450">
      <c r="A450" s="1">
        <v>458.0</v>
      </c>
      <c r="B450" s="2">
        <v>46000.71810185185</v>
      </c>
      <c r="C450" s="1" t="s">
        <v>573</v>
      </c>
      <c r="D450" s="1">
        <v>2.0</v>
      </c>
      <c r="E450" s="1" t="s">
        <v>94</v>
      </c>
      <c r="F450" s="1" t="s">
        <v>440</v>
      </c>
      <c r="G450" s="1" t="s">
        <v>131</v>
      </c>
      <c r="H450" s="1">
        <v>155550.0</v>
      </c>
      <c r="I450" s="1" t="s">
        <v>60</v>
      </c>
      <c r="J450" s="1" t="s">
        <v>25</v>
      </c>
    </row>
    <row r="451">
      <c r="A451" s="1">
        <v>459.0</v>
      </c>
      <c r="B451" s="2">
        <v>46000.71916666667</v>
      </c>
      <c r="C451" s="1" t="s">
        <v>574</v>
      </c>
      <c r="D451" s="1">
        <v>2.0</v>
      </c>
      <c r="E451" s="1" t="s">
        <v>78</v>
      </c>
      <c r="F451" s="1" t="s">
        <v>440</v>
      </c>
      <c r="G451" s="1" t="s">
        <v>20</v>
      </c>
      <c r="H451" s="1">
        <v>50000.0</v>
      </c>
      <c r="I451" s="1" t="s">
        <v>14</v>
      </c>
      <c r="J451" s="1" t="s">
        <v>25</v>
      </c>
    </row>
    <row r="452">
      <c r="A452" s="1">
        <v>460.0</v>
      </c>
      <c r="B452" s="2">
        <v>46000.73171296297</v>
      </c>
      <c r="C452" s="1" t="s">
        <v>575</v>
      </c>
      <c r="D452" s="1">
        <v>2.0</v>
      </c>
      <c r="E452" s="1" t="s">
        <v>83</v>
      </c>
      <c r="F452" s="1" t="s">
        <v>23</v>
      </c>
      <c r="G452" s="1" t="s">
        <v>20</v>
      </c>
      <c r="H452" s="1">
        <v>312000.0</v>
      </c>
      <c r="I452" s="1" t="s">
        <v>14</v>
      </c>
      <c r="J452" s="1" t="s">
        <v>576</v>
      </c>
    </row>
    <row r="453">
      <c r="A453" s="1">
        <v>461.0</v>
      </c>
      <c r="B453" s="2">
        <v>46003.72403935185</v>
      </c>
      <c r="C453" s="1" t="s">
        <v>577</v>
      </c>
      <c r="D453" s="1">
        <v>2.0</v>
      </c>
      <c r="E453" s="1" t="s">
        <v>89</v>
      </c>
      <c r="F453" s="1" t="s">
        <v>440</v>
      </c>
      <c r="G453" s="1" t="s">
        <v>20</v>
      </c>
      <c r="H453" s="1">
        <v>320000.0</v>
      </c>
      <c r="I453" s="1" t="s">
        <v>14</v>
      </c>
      <c r="J453" s="1" t="s">
        <v>578</v>
      </c>
    </row>
    <row r="454">
      <c r="A454" s="1">
        <v>462.0</v>
      </c>
      <c r="B454" s="2">
        <v>46007.72746527778</v>
      </c>
      <c r="C454" s="1" t="s">
        <v>579</v>
      </c>
      <c r="D454" s="1">
        <v>2.0</v>
      </c>
      <c r="E454" s="1" t="s">
        <v>89</v>
      </c>
      <c r="F454" s="1" t="s">
        <v>440</v>
      </c>
      <c r="G454" s="1" t="s">
        <v>20</v>
      </c>
      <c r="H454" s="1">
        <v>140000.0</v>
      </c>
      <c r="I454" s="1" t="s">
        <v>14</v>
      </c>
      <c r="J454" s="1" t="s">
        <v>25</v>
      </c>
    </row>
    <row r="455">
      <c r="A455" s="1">
        <v>463.0</v>
      </c>
      <c r="B455" s="2">
        <v>46007.77773148148</v>
      </c>
      <c r="C455" s="1" t="s">
        <v>580</v>
      </c>
      <c r="D455" s="1">
        <v>2.0</v>
      </c>
      <c r="E455" s="1" t="s">
        <v>83</v>
      </c>
      <c r="F455" s="1" t="s">
        <v>440</v>
      </c>
      <c r="G455" s="1" t="s">
        <v>131</v>
      </c>
      <c r="H455" s="1">
        <v>272000.0</v>
      </c>
      <c r="I455" s="1" t="s">
        <v>60</v>
      </c>
      <c r="J455" s="1" t="s">
        <v>25</v>
      </c>
    </row>
    <row r="456">
      <c r="A456" s="1">
        <v>464.0</v>
      </c>
      <c r="B456" s="2">
        <v>46007.79638888889</v>
      </c>
      <c r="C456" s="1" t="s">
        <v>581</v>
      </c>
      <c r="D456" s="1">
        <v>2.0</v>
      </c>
      <c r="E456" s="1" t="s">
        <v>83</v>
      </c>
      <c r="F456" s="1" t="s">
        <v>440</v>
      </c>
      <c r="G456" s="1" t="s">
        <v>13</v>
      </c>
      <c r="H456" s="1">
        <v>210000.0</v>
      </c>
      <c r="I456" s="1" t="s">
        <v>14</v>
      </c>
      <c r="J456" s="1" t="s">
        <v>25</v>
      </c>
    </row>
    <row r="457">
      <c r="A457" s="1">
        <v>465.0</v>
      </c>
      <c r="B457" s="2">
        <v>46008.49248842592</v>
      </c>
      <c r="C457" s="1" t="s">
        <v>582</v>
      </c>
      <c r="D457" s="1">
        <v>2.0</v>
      </c>
      <c r="E457" s="1" t="s">
        <v>97</v>
      </c>
      <c r="F457" s="1" t="s">
        <v>440</v>
      </c>
      <c r="G457" s="1" t="s">
        <v>13</v>
      </c>
      <c r="H457" s="1">
        <v>300000.0</v>
      </c>
      <c r="I457" s="1" t="s">
        <v>14</v>
      </c>
      <c r="J457" s="1" t="s">
        <v>583</v>
      </c>
    </row>
    <row r="458">
      <c r="A458" s="1">
        <v>466.0</v>
      </c>
      <c r="B458" s="2">
        <v>46009.4799537037</v>
      </c>
      <c r="C458" s="1" t="s">
        <v>584</v>
      </c>
      <c r="D458" s="1">
        <v>2.0</v>
      </c>
      <c r="E458" s="1" t="s">
        <v>97</v>
      </c>
      <c r="F458" s="1" t="s">
        <v>440</v>
      </c>
      <c r="G458" s="1" t="s">
        <v>20</v>
      </c>
      <c r="H458" s="1">
        <v>935000.0</v>
      </c>
      <c r="I458" s="1" t="s">
        <v>60</v>
      </c>
      <c r="J458" s="1" t="s">
        <v>25</v>
      </c>
    </row>
    <row r="459">
      <c r="A459" s="1">
        <v>467.0</v>
      </c>
      <c r="B459" s="2">
        <v>46009.71040509259</v>
      </c>
      <c r="C459" s="1" t="s">
        <v>585</v>
      </c>
      <c r="D459" s="1">
        <v>2.0</v>
      </c>
      <c r="E459" s="1" t="s">
        <v>119</v>
      </c>
      <c r="F459" s="1" t="s">
        <v>440</v>
      </c>
      <c r="G459" s="1" t="s">
        <v>20</v>
      </c>
      <c r="H459" s="1">
        <v>222700.0</v>
      </c>
      <c r="I459" s="1" t="s">
        <v>60</v>
      </c>
      <c r="J459" s="1" t="s">
        <v>25</v>
      </c>
    </row>
    <row r="460">
      <c r="A460" s="1">
        <v>468.0</v>
      </c>
      <c r="B460" s="2">
        <v>46009.812951388885</v>
      </c>
      <c r="C460" s="1" t="s">
        <v>586</v>
      </c>
      <c r="D460" s="1">
        <v>2.0</v>
      </c>
      <c r="E460" s="1" t="s">
        <v>78</v>
      </c>
      <c r="F460" s="1" t="s">
        <v>440</v>
      </c>
      <c r="G460" s="1" t="s">
        <v>13</v>
      </c>
      <c r="H460" s="1">
        <v>180000.0</v>
      </c>
      <c r="I460" s="1" t="s">
        <v>14</v>
      </c>
      <c r="J460" s="1" t="s">
        <v>25</v>
      </c>
    </row>
    <row r="461">
      <c r="A461" s="1">
        <v>469.0</v>
      </c>
      <c r="B461" s="2">
        <v>46011.51935185185</v>
      </c>
      <c r="C461" s="1" t="s">
        <v>315</v>
      </c>
      <c r="D461" s="1">
        <v>2.0</v>
      </c>
      <c r="E461" s="1" t="s">
        <v>119</v>
      </c>
      <c r="F461" s="1" t="s">
        <v>440</v>
      </c>
      <c r="G461" s="1" t="s">
        <v>13</v>
      </c>
      <c r="H461" s="1">
        <v>172001.0</v>
      </c>
      <c r="I461" s="1" t="s">
        <v>14</v>
      </c>
      <c r="J461" s="1" t="s">
        <v>25</v>
      </c>
    </row>
    <row r="462">
      <c r="A462" s="1">
        <v>470.0</v>
      </c>
      <c r="B462" s="2">
        <v>46011.52064814815</v>
      </c>
      <c r="C462" s="1" t="s">
        <v>315</v>
      </c>
      <c r="D462" s="1">
        <v>1.0</v>
      </c>
      <c r="E462" s="1" t="s">
        <v>119</v>
      </c>
      <c r="F462" s="1" t="s">
        <v>440</v>
      </c>
      <c r="G462" s="1" t="s">
        <v>20</v>
      </c>
      <c r="H462" s="1">
        <v>150000.0</v>
      </c>
      <c r="I462" s="1" t="s">
        <v>14</v>
      </c>
      <c r="J462" s="1" t="s">
        <v>25</v>
      </c>
    </row>
    <row r="463">
      <c r="A463" s="1">
        <v>471.0</v>
      </c>
      <c r="B463" s="2">
        <v>46011.54393518518</v>
      </c>
      <c r="C463" s="1" t="s">
        <v>279</v>
      </c>
      <c r="D463" s="1">
        <v>1.0</v>
      </c>
      <c r="E463" s="1" t="s">
        <v>119</v>
      </c>
      <c r="F463" s="1" t="s">
        <v>440</v>
      </c>
      <c r="G463" s="1" t="s">
        <v>20</v>
      </c>
      <c r="H463" s="1">
        <v>78000.0</v>
      </c>
      <c r="I463" s="1" t="s">
        <v>14</v>
      </c>
      <c r="J463" s="1" t="s">
        <v>25</v>
      </c>
    </row>
    <row r="464">
      <c r="A464" s="1">
        <v>472.0</v>
      </c>
      <c r="B464" s="2">
        <v>46014.46861111111</v>
      </c>
      <c r="C464" s="1" t="s">
        <v>587</v>
      </c>
      <c r="D464" s="1">
        <v>2.0</v>
      </c>
      <c r="E464" s="1" t="s">
        <v>78</v>
      </c>
      <c r="F464" s="1" t="s">
        <v>440</v>
      </c>
      <c r="G464" s="1" t="s">
        <v>20</v>
      </c>
      <c r="H464" s="1">
        <v>67000.0</v>
      </c>
      <c r="I464" s="1" t="s">
        <v>14</v>
      </c>
      <c r="J464" s="1" t="s">
        <v>25</v>
      </c>
    </row>
    <row r="465">
      <c r="A465" s="1">
        <v>473.0</v>
      </c>
      <c r="B465" s="2">
        <v>46014.67270833333</v>
      </c>
      <c r="C465" s="1" t="s">
        <v>588</v>
      </c>
      <c r="D465" s="1">
        <v>2.0</v>
      </c>
      <c r="E465" s="1" t="s">
        <v>119</v>
      </c>
      <c r="F465" s="1" t="s">
        <v>440</v>
      </c>
      <c r="G465" s="1" t="s">
        <v>20</v>
      </c>
      <c r="H465" s="1">
        <v>980000.0</v>
      </c>
      <c r="I465" s="1" t="s">
        <v>14</v>
      </c>
      <c r="J465" s="1" t="s">
        <v>25</v>
      </c>
    </row>
    <row r="466">
      <c r="A466" s="1">
        <v>474.0</v>
      </c>
      <c r="B466" s="2">
        <v>46014.676875</v>
      </c>
      <c r="C466" s="1" t="s">
        <v>589</v>
      </c>
      <c r="D466" s="1">
        <v>1.0</v>
      </c>
      <c r="E466" s="1" t="s">
        <v>201</v>
      </c>
      <c r="F466" s="1" t="s">
        <v>440</v>
      </c>
      <c r="G466" s="1" t="s">
        <v>13</v>
      </c>
      <c r="H466" s="1">
        <v>229400.0</v>
      </c>
      <c r="I466" s="1" t="s">
        <v>14</v>
      </c>
      <c r="J466" s="1" t="s">
        <v>25</v>
      </c>
    </row>
    <row r="467">
      <c r="A467" s="1">
        <v>475.0</v>
      </c>
      <c r="B467" s="2">
        <v>46014.68146990741</v>
      </c>
      <c r="C467" s="1" t="s">
        <v>590</v>
      </c>
      <c r="D467" s="1">
        <v>1.0</v>
      </c>
      <c r="E467" s="1" t="s">
        <v>78</v>
      </c>
      <c r="F467" s="1" t="s">
        <v>440</v>
      </c>
      <c r="G467" s="1" t="s">
        <v>13</v>
      </c>
      <c r="H467" s="1">
        <v>166000.0</v>
      </c>
      <c r="I467" s="1" t="s">
        <v>14</v>
      </c>
      <c r="J467" s="1" t="s">
        <v>25</v>
      </c>
    </row>
    <row r="468">
      <c r="A468" s="1">
        <v>476.0</v>
      </c>
      <c r="B468" s="2">
        <v>46014.68515046296</v>
      </c>
      <c r="C468" s="1" t="s">
        <v>591</v>
      </c>
      <c r="D468" s="1">
        <v>2.0</v>
      </c>
      <c r="E468" s="1" t="s">
        <v>83</v>
      </c>
      <c r="F468" s="1" t="s">
        <v>440</v>
      </c>
      <c r="G468" s="1" t="s">
        <v>20</v>
      </c>
      <c r="H468" s="1">
        <v>120000.0</v>
      </c>
      <c r="I468" s="1" t="s">
        <v>14</v>
      </c>
      <c r="J468" s="1" t="s">
        <v>25</v>
      </c>
    </row>
    <row r="469">
      <c r="A469" s="1">
        <v>477.0</v>
      </c>
      <c r="B469" s="2">
        <v>46014.68703703704</v>
      </c>
      <c r="C469" s="1" t="s">
        <v>592</v>
      </c>
      <c r="D469" s="1">
        <v>2.0</v>
      </c>
      <c r="E469" s="1" t="s">
        <v>83</v>
      </c>
      <c r="F469" s="1" t="s">
        <v>440</v>
      </c>
      <c r="G469" s="1" t="s">
        <v>20</v>
      </c>
      <c r="H469" s="1">
        <v>119000.0</v>
      </c>
      <c r="I469" s="1" t="s">
        <v>60</v>
      </c>
      <c r="J469" s="1" t="s">
        <v>25</v>
      </c>
    </row>
    <row r="470">
      <c r="A470" s="1">
        <v>478.0</v>
      </c>
      <c r="B470" s="2">
        <v>46014.688101851854</v>
      </c>
      <c r="C470" s="1" t="s">
        <v>104</v>
      </c>
      <c r="D470" s="1">
        <v>2.0</v>
      </c>
      <c r="E470" s="1" t="s">
        <v>83</v>
      </c>
      <c r="F470" s="1" t="s">
        <v>440</v>
      </c>
      <c r="G470" s="1" t="s">
        <v>20</v>
      </c>
      <c r="H470" s="1">
        <v>120000.0</v>
      </c>
      <c r="I470" s="1" t="s">
        <v>14</v>
      </c>
      <c r="J470" s="1" t="s">
        <v>25</v>
      </c>
    </row>
    <row r="471">
      <c r="A471" s="1">
        <v>479.0</v>
      </c>
      <c r="B471" s="2">
        <v>46015.65451388889</v>
      </c>
      <c r="C471" s="1" t="s">
        <v>593</v>
      </c>
      <c r="D471" s="1">
        <v>1.0</v>
      </c>
      <c r="E471" s="1" t="s">
        <v>89</v>
      </c>
      <c r="F471" s="1" t="s">
        <v>440</v>
      </c>
      <c r="G471" s="1" t="s">
        <v>20</v>
      </c>
      <c r="H471" s="1">
        <v>70000.0</v>
      </c>
      <c r="I471" s="1" t="s">
        <v>14</v>
      </c>
      <c r="J471" s="1" t="s">
        <v>25</v>
      </c>
    </row>
    <row r="472">
      <c r="A472" s="1">
        <v>480.0</v>
      </c>
      <c r="B472" s="2">
        <v>46017.443715277775</v>
      </c>
      <c r="C472" s="1" t="s">
        <v>594</v>
      </c>
      <c r="D472" s="1">
        <v>2.0</v>
      </c>
      <c r="E472" s="1" t="s">
        <v>89</v>
      </c>
      <c r="F472" s="1" t="s">
        <v>440</v>
      </c>
      <c r="G472" s="1" t="s">
        <v>13</v>
      </c>
      <c r="H472" s="1">
        <v>765000.0</v>
      </c>
      <c r="I472" s="1" t="s">
        <v>14</v>
      </c>
      <c r="J472" s="1" t="s">
        <v>595</v>
      </c>
    </row>
    <row r="473">
      <c r="A473" s="1">
        <v>481.0</v>
      </c>
      <c r="B473" s="2">
        <v>46017.55197916667</v>
      </c>
      <c r="C473" s="1" t="s">
        <v>596</v>
      </c>
      <c r="D473" s="1">
        <v>1.0</v>
      </c>
      <c r="E473" s="1" t="s">
        <v>89</v>
      </c>
      <c r="F473" s="1" t="s">
        <v>440</v>
      </c>
      <c r="G473" s="1" t="s">
        <v>20</v>
      </c>
      <c r="H473" s="1">
        <v>11000.0</v>
      </c>
      <c r="I473" s="1" t="s">
        <v>14</v>
      </c>
      <c r="J473" s="1" t="s">
        <v>597</v>
      </c>
    </row>
    <row r="474">
      <c r="A474" s="1">
        <v>482.0</v>
      </c>
      <c r="B474" s="2">
        <v>46017.71364583333</v>
      </c>
      <c r="C474" s="1" t="s">
        <v>598</v>
      </c>
      <c r="D474" s="1">
        <v>2.0</v>
      </c>
      <c r="E474" s="1" t="s">
        <v>89</v>
      </c>
      <c r="F474" s="1" t="s">
        <v>440</v>
      </c>
      <c r="G474" s="1" t="s">
        <v>13</v>
      </c>
      <c r="H474" s="1">
        <v>332000.0</v>
      </c>
      <c r="I474" s="1" t="s">
        <v>14</v>
      </c>
      <c r="J474" s="1" t="s">
        <v>25</v>
      </c>
    </row>
    <row r="475">
      <c r="A475" s="1">
        <v>483.0</v>
      </c>
      <c r="B475" s="2">
        <v>46017.79517361111</v>
      </c>
      <c r="C475" s="1" t="s">
        <v>599</v>
      </c>
      <c r="D475" s="1">
        <v>1.0</v>
      </c>
      <c r="E475" s="1" t="s">
        <v>83</v>
      </c>
      <c r="F475" s="1" t="s">
        <v>440</v>
      </c>
      <c r="G475" s="1" t="s">
        <v>20</v>
      </c>
      <c r="H475" s="1">
        <v>75000.0</v>
      </c>
      <c r="I475" s="1" t="s">
        <v>14</v>
      </c>
      <c r="J475" s="1" t="s">
        <v>25</v>
      </c>
    </row>
    <row r="476">
      <c r="A476" s="1">
        <v>484.0</v>
      </c>
      <c r="B476" s="2">
        <v>46017.798530092594</v>
      </c>
      <c r="C476" s="1" t="s">
        <v>600</v>
      </c>
      <c r="D476" s="1">
        <v>1.0</v>
      </c>
      <c r="E476" s="1" t="s">
        <v>119</v>
      </c>
      <c r="F476" s="1" t="s">
        <v>440</v>
      </c>
      <c r="G476" s="1" t="s">
        <v>13</v>
      </c>
      <c r="H476" s="1">
        <v>260000.0</v>
      </c>
      <c r="I476" s="1" t="s">
        <v>14</v>
      </c>
      <c r="J476" s="1" t="s">
        <v>25</v>
      </c>
    </row>
    <row r="477">
      <c r="A477" s="1">
        <v>485.0</v>
      </c>
      <c r="B477" s="2">
        <v>46017.80021990741</v>
      </c>
      <c r="C477" s="1" t="s">
        <v>601</v>
      </c>
      <c r="D477" s="1">
        <v>1.0</v>
      </c>
      <c r="E477" s="1" t="s">
        <v>89</v>
      </c>
      <c r="F477" s="1" t="s">
        <v>440</v>
      </c>
      <c r="G477" s="1" t="s">
        <v>131</v>
      </c>
      <c r="H477" s="1">
        <v>64800.0</v>
      </c>
      <c r="I477" s="1" t="s">
        <v>43</v>
      </c>
      <c r="J477" s="1" t="s">
        <v>25</v>
      </c>
    </row>
    <row r="478">
      <c r="A478" s="1">
        <v>486.0</v>
      </c>
      <c r="B478" s="2">
        <v>46018.58146990741</v>
      </c>
      <c r="C478" s="1" t="s">
        <v>602</v>
      </c>
      <c r="D478" s="1">
        <v>1.0</v>
      </c>
      <c r="E478" s="1" t="s">
        <v>119</v>
      </c>
      <c r="F478" s="1" t="s">
        <v>440</v>
      </c>
      <c r="G478" s="1" t="s">
        <v>13</v>
      </c>
      <c r="H478" s="1">
        <v>120000.0</v>
      </c>
      <c r="I478" s="1" t="s">
        <v>14</v>
      </c>
      <c r="J478" s="1" t="s">
        <v>25</v>
      </c>
    </row>
    <row r="479">
      <c r="A479" s="1">
        <v>487.0</v>
      </c>
      <c r="B479" s="2">
        <v>46018.58346064815</v>
      </c>
      <c r="C479" s="1" t="s">
        <v>603</v>
      </c>
      <c r="D479" s="1">
        <v>1.0</v>
      </c>
      <c r="E479" s="1" t="s">
        <v>78</v>
      </c>
      <c r="F479" s="1" t="s">
        <v>440</v>
      </c>
      <c r="G479" s="1" t="s">
        <v>131</v>
      </c>
      <c r="H479" s="1">
        <v>146200.0</v>
      </c>
      <c r="I479" s="1" t="s">
        <v>60</v>
      </c>
      <c r="J479" s="1" t="s">
        <v>25</v>
      </c>
    </row>
    <row r="480">
      <c r="A480" s="1">
        <v>488.0</v>
      </c>
      <c r="B480" s="2">
        <v>46021.4855787037</v>
      </c>
      <c r="C480" s="1" t="s">
        <v>604</v>
      </c>
      <c r="D480" s="1">
        <v>2.0</v>
      </c>
      <c r="E480" s="1" t="s">
        <v>89</v>
      </c>
      <c r="F480" s="1" t="s">
        <v>440</v>
      </c>
      <c r="G480" s="1" t="s">
        <v>38</v>
      </c>
      <c r="H480" s="1">
        <v>200000.0</v>
      </c>
      <c r="I480" s="1" t="s">
        <v>14</v>
      </c>
      <c r="J480" s="1" t="s">
        <v>25</v>
      </c>
    </row>
    <row r="481">
      <c r="A481" s="1">
        <v>489.0</v>
      </c>
      <c r="B481" s="2">
        <v>46021.48693287037</v>
      </c>
      <c r="C481" s="1" t="s">
        <v>605</v>
      </c>
      <c r="D481" s="1">
        <v>2.0</v>
      </c>
      <c r="E481" s="1" t="s">
        <v>119</v>
      </c>
      <c r="F481" s="1" t="s">
        <v>440</v>
      </c>
      <c r="G481" s="1" t="s">
        <v>13</v>
      </c>
      <c r="H481" s="1">
        <v>71000.0</v>
      </c>
      <c r="I481" s="1" t="s">
        <v>14</v>
      </c>
      <c r="J481" s="1" t="s">
        <v>25</v>
      </c>
    </row>
    <row r="482">
      <c r="A482" s="1">
        <v>490.0</v>
      </c>
      <c r="B482" s="2">
        <v>46021.49202546296</v>
      </c>
      <c r="C482" s="1" t="s">
        <v>606</v>
      </c>
      <c r="D482" s="1">
        <v>2.0</v>
      </c>
      <c r="E482" s="1" t="s">
        <v>89</v>
      </c>
      <c r="F482" s="1" t="s">
        <v>440</v>
      </c>
      <c r="G482" s="1" t="s">
        <v>20</v>
      </c>
      <c r="H482" s="1">
        <v>454000.0</v>
      </c>
      <c r="I482" s="1" t="s">
        <v>14</v>
      </c>
      <c r="J482" s="1" t="s">
        <v>25</v>
      </c>
    </row>
    <row r="483">
      <c r="A483" s="1">
        <v>491.0</v>
      </c>
      <c r="B483" s="2">
        <v>46021.50392361111</v>
      </c>
      <c r="C483" s="1" t="s">
        <v>607</v>
      </c>
      <c r="D483" s="1">
        <v>2.0</v>
      </c>
      <c r="E483" s="1" t="s">
        <v>89</v>
      </c>
      <c r="F483" s="1" t="s">
        <v>440</v>
      </c>
      <c r="G483" s="1" t="s">
        <v>20</v>
      </c>
      <c r="H483" s="1">
        <v>200000.0</v>
      </c>
      <c r="I483" s="1" t="s">
        <v>14</v>
      </c>
      <c r="J483" s="1" t="s">
        <v>25</v>
      </c>
    </row>
    <row r="484">
      <c r="A484" s="1">
        <v>492.0</v>
      </c>
      <c r="B484" s="2">
        <v>46021.505740740744</v>
      </c>
      <c r="C484" s="1" t="s">
        <v>608</v>
      </c>
      <c r="D484" s="1">
        <v>2.0</v>
      </c>
      <c r="E484" s="1" t="s">
        <v>89</v>
      </c>
      <c r="F484" s="1" t="s">
        <v>440</v>
      </c>
      <c r="G484" s="1" t="s">
        <v>20</v>
      </c>
      <c r="H484" s="1">
        <v>830000.0</v>
      </c>
      <c r="I484" s="1" t="s">
        <v>14</v>
      </c>
      <c r="J484" s="1" t="s">
        <v>25</v>
      </c>
    </row>
    <row r="485">
      <c r="A485" s="1">
        <v>493.0</v>
      </c>
      <c r="B485" s="2">
        <v>46021.50680555555</v>
      </c>
      <c r="C485" s="1" t="s">
        <v>609</v>
      </c>
      <c r="D485" s="1">
        <v>1.0</v>
      </c>
      <c r="E485" s="1" t="s">
        <v>129</v>
      </c>
      <c r="F485" s="1" t="s">
        <v>440</v>
      </c>
      <c r="G485" s="1" t="s">
        <v>13</v>
      </c>
      <c r="H485" s="1">
        <v>120000.0</v>
      </c>
      <c r="I485" s="1" t="s">
        <v>14</v>
      </c>
      <c r="J485" s="1" t="s">
        <v>25</v>
      </c>
    </row>
    <row r="486">
      <c r="A486" s="1">
        <v>494.0</v>
      </c>
      <c r="B486" s="2">
        <v>46021.507372685184</v>
      </c>
      <c r="C486" s="1" t="s">
        <v>610</v>
      </c>
      <c r="D486" s="1">
        <v>2.0</v>
      </c>
      <c r="E486" s="1" t="s">
        <v>78</v>
      </c>
      <c r="F486" s="1" t="s">
        <v>440</v>
      </c>
      <c r="G486" s="1" t="s">
        <v>20</v>
      </c>
      <c r="H486" s="1">
        <v>23000.0</v>
      </c>
      <c r="I486" s="1" t="s">
        <v>14</v>
      </c>
      <c r="J486" s="1" t="s">
        <v>25</v>
      </c>
    </row>
    <row r="487">
      <c r="A487" s="1">
        <v>495.0</v>
      </c>
      <c r="B487" s="2">
        <v>46022.404861111114</v>
      </c>
      <c r="C487" s="1" t="s">
        <v>611</v>
      </c>
      <c r="D487" s="1">
        <v>2.0</v>
      </c>
      <c r="E487" s="1" t="s">
        <v>83</v>
      </c>
      <c r="F487" s="1" t="s">
        <v>440</v>
      </c>
      <c r="G487" s="1" t="s">
        <v>20</v>
      </c>
      <c r="H487" s="1">
        <v>1105000.0</v>
      </c>
      <c r="I487" s="1" t="s">
        <v>60</v>
      </c>
      <c r="J487" s="1" t="s">
        <v>612</v>
      </c>
    </row>
    <row r="488">
      <c r="A488" s="1">
        <v>496.0</v>
      </c>
      <c r="B488" s="2">
        <v>46022.4162037037</v>
      </c>
      <c r="C488" s="1" t="s">
        <v>613</v>
      </c>
      <c r="D488" s="1">
        <v>1.0</v>
      </c>
      <c r="E488" s="1" t="s">
        <v>83</v>
      </c>
      <c r="F488" s="1" t="s">
        <v>440</v>
      </c>
      <c r="G488" s="1" t="s">
        <v>131</v>
      </c>
      <c r="H488" s="1">
        <v>162900.0</v>
      </c>
      <c r="I488" s="1" t="s">
        <v>14</v>
      </c>
      <c r="J488" s="1" t="s">
        <v>25</v>
      </c>
    </row>
    <row r="489">
      <c r="A489" s="1">
        <v>497.0</v>
      </c>
      <c r="B489" s="2">
        <v>46022.43728009259</v>
      </c>
      <c r="C489" s="1" t="s">
        <v>614</v>
      </c>
      <c r="D489" s="1">
        <v>2.0</v>
      </c>
      <c r="E489" s="1" t="s">
        <v>78</v>
      </c>
      <c r="F489" s="1" t="s">
        <v>440</v>
      </c>
      <c r="G489" s="1" t="s">
        <v>13</v>
      </c>
      <c r="H489" s="1">
        <v>130000.0</v>
      </c>
      <c r="I489" s="1" t="s">
        <v>14</v>
      </c>
      <c r="J489" s="1" t="s">
        <v>25</v>
      </c>
    </row>
    <row r="490">
      <c r="A490" s="1">
        <v>498.0</v>
      </c>
      <c r="B490" s="2">
        <v>46022.48197916667</v>
      </c>
      <c r="C490" s="1" t="s">
        <v>615</v>
      </c>
      <c r="D490" s="1">
        <v>2.0</v>
      </c>
      <c r="E490" s="1" t="s">
        <v>97</v>
      </c>
      <c r="F490" s="1" t="s">
        <v>440</v>
      </c>
      <c r="G490" s="1" t="s">
        <v>131</v>
      </c>
      <c r="H490" s="1">
        <v>159800.0</v>
      </c>
      <c r="I490" s="1" t="s">
        <v>60</v>
      </c>
      <c r="J490" s="1" t="s">
        <v>25</v>
      </c>
    </row>
    <row r="491">
      <c r="A491" s="1">
        <v>499.0</v>
      </c>
      <c r="B491" s="2">
        <v>46022.492314814815</v>
      </c>
      <c r="C491" s="1" t="s">
        <v>615</v>
      </c>
      <c r="D491" s="1">
        <v>2.0</v>
      </c>
      <c r="E491" s="1" t="s">
        <v>97</v>
      </c>
      <c r="F491" s="1" t="s">
        <v>440</v>
      </c>
      <c r="G491" s="1" t="s">
        <v>131</v>
      </c>
      <c r="H491" s="1">
        <v>191250.0</v>
      </c>
      <c r="I491" s="1" t="s">
        <v>60</v>
      </c>
      <c r="J491" s="1" t="s">
        <v>616</v>
      </c>
    </row>
    <row r="492">
      <c r="A492" s="1">
        <v>500.0</v>
      </c>
      <c r="B492" s="2">
        <v>46022.565254629626</v>
      </c>
      <c r="C492" s="1" t="s">
        <v>617</v>
      </c>
      <c r="D492" s="1">
        <v>2.0</v>
      </c>
      <c r="E492" s="1" t="s">
        <v>83</v>
      </c>
      <c r="F492" s="1" t="s">
        <v>440</v>
      </c>
      <c r="G492" s="1" t="s">
        <v>13</v>
      </c>
      <c r="H492" s="1">
        <v>220000.0</v>
      </c>
      <c r="I492" s="1" t="s">
        <v>14</v>
      </c>
      <c r="J492" s="1" t="s">
        <v>25</v>
      </c>
    </row>
    <row r="493">
      <c r="A493" s="1">
        <v>501.0</v>
      </c>
      <c r="B493" s="2">
        <v>46022.57980324074</v>
      </c>
      <c r="C493" s="1" t="s">
        <v>575</v>
      </c>
      <c r="D493" s="1">
        <v>1.0</v>
      </c>
      <c r="E493" s="1" t="s">
        <v>119</v>
      </c>
      <c r="F493" s="1" t="s">
        <v>440</v>
      </c>
      <c r="G493" s="1" t="s">
        <v>13</v>
      </c>
      <c r="H493" s="1">
        <v>250000.0</v>
      </c>
      <c r="I493" s="1" t="s">
        <v>14</v>
      </c>
      <c r="J493" s="1" t="s">
        <v>25</v>
      </c>
    </row>
    <row r="494">
      <c r="A494" s="1">
        <v>502.0</v>
      </c>
      <c r="B494" s="2">
        <v>46028.77837962963</v>
      </c>
      <c r="C494" s="1" t="s">
        <v>618</v>
      </c>
      <c r="D494" s="1">
        <v>2.0</v>
      </c>
      <c r="E494" s="1" t="s">
        <v>119</v>
      </c>
      <c r="F494" s="1" t="s">
        <v>440</v>
      </c>
      <c r="G494" s="1" t="s">
        <v>13</v>
      </c>
      <c r="H494" s="1">
        <v>500000.0</v>
      </c>
      <c r="I494" s="1" t="s">
        <v>14</v>
      </c>
      <c r="J494" s="1" t="s">
        <v>25</v>
      </c>
    </row>
    <row r="495">
      <c r="A495" s="1">
        <v>503.0</v>
      </c>
      <c r="B495" s="2">
        <v>46030.55851851852</v>
      </c>
      <c r="C495" s="1" t="s">
        <v>619</v>
      </c>
      <c r="D495" s="1">
        <v>2.0</v>
      </c>
      <c r="E495" s="1" t="s">
        <v>89</v>
      </c>
      <c r="F495" s="1" t="s">
        <v>440</v>
      </c>
      <c r="G495" s="1" t="s">
        <v>13</v>
      </c>
      <c r="H495" s="1">
        <v>90000.0</v>
      </c>
      <c r="I495" s="1" t="s">
        <v>14</v>
      </c>
      <c r="J495" s="1" t="s">
        <v>620</v>
      </c>
    </row>
    <row r="496">
      <c r="A496" s="1">
        <v>504.0</v>
      </c>
      <c r="B496" s="2">
        <v>46030.57511574074</v>
      </c>
      <c r="C496" s="1" t="s">
        <v>621</v>
      </c>
      <c r="D496" s="1">
        <v>2.0</v>
      </c>
      <c r="E496" s="1" t="s">
        <v>78</v>
      </c>
      <c r="F496" s="1" t="s">
        <v>440</v>
      </c>
      <c r="G496" s="1" t="s">
        <v>131</v>
      </c>
      <c r="H496" s="1">
        <v>151300.0</v>
      </c>
      <c r="I496" s="1" t="s">
        <v>60</v>
      </c>
      <c r="J496" s="1" t="s">
        <v>25</v>
      </c>
    </row>
    <row r="497">
      <c r="A497" s="1">
        <v>505.0</v>
      </c>
      <c r="B497" s="2">
        <v>46031.50604166667</v>
      </c>
      <c r="C497" s="1" t="s">
        <v>331</v>
      </c>
      <c r="D497" s="1">
        <v>1.0</v>
      </c>
      <c r="E497" s="1" t="s">
        <v>119</v>
      </c>
      <c r="F497" s="1" t="s">
        <v>440</v>
      </c>
      <c r="G497" s="1" t="s">
        <v>13</v>
      </c>
      <c r="H497" s="1">
        <v>120000.0</v>
      </c>
      <c r="I497" s="1" t="s">
        <v>14</v>
      </c>
      <c r="J497" s="1" t="s">
        <v>25</v>
      </c>
    </row>
    <row r="498">
      <c r="A498" s="1">
        <v>506.0</v>
      </c>
      <c r="B498" s="2">
        <v>46031.77662037037</v>
      </c>
      <c r="C498" s="1" t="s">
        <v>622</v>
      </c>
      <c r="D498" s="1">
        <v>2.0</v>
      </c>
      <c r="E498" s="1" t="s">
        <v>89</v>
      </c>
      <c r="F498" s="1" t="s">
        <v>440</v>
      </c>
      <c r="G498" s="1" t="s">
        <v>20</v>
      </c>
      <c r="H498" s="1">
        <v>140000.0</v>
      </c>
      <c r="I498" s="1" t="s">
        <v>14</v>
      </c>
      <c r="J498" s="1" t="s">
        <v>623</v>
      </c>
    </row>
    <row r="499">
      <c r="A499" s="1">
        <v>507.0</v>
      </c>
      <c r="B499" s="2">
        <v>46031.78482638889</v>
      </c>
      <c r="C499" s="1" t="s">
        <v>624</v>
      </c>
      <c r="D499" s="1">
        <v>2.0</v>
      </c>
      <c r="E499" s="1" t="s">
        <v>89</v>
      </c>
      <c r="F499" s="1" t="s">
        <v>440</v>
      </c>
      <c r="G499" s="1" t="s">
        <v>38</v>
      </c>
      <c r="H499" s="1">
        <v>120000.0</v>
      </c>
      <c r="I499" s="1" t="s">
        <v>14</v>
      </c>
      <c r="J499" s="1" t="s">
        <v>625</v>
      </c>
    </row>
    <row r="500">
      <c r="A500" s="1">
        <v>508.0</v>
      </c>
      <c r="B500" s="2">
        <v>46031.78554398148</v>
      </c>
      <c r="C500" s="1" t="s">
        <v>624</v>
      </c>
      <c r="D500" s="1">
        <v>1.0</v>
      </c>
      <c r="E500" s="1" t="s">
        <v>119</v>
      </c>
      <c r="F500" s="1" t="s">
        <v>440</v>
      </c>
      <c r="G500" s="1" t="s">
        <v>38</v>
      </c>
      <c r="H500" s="1">
        <v>270000.0</v>
      </c>
      <c r="I500" s="1" t="s">
        <v>14</v>
      </c>
      <c r="J500" s="1" t="s">
        <v>25</v>
      </c>
    </row>
    <row r="501">
      <c r="A501" s="1">
        <v>509.0</v>
      </c>
      <c r="B501" s="2">
        <v>46031.79565972222</v>
      </c>
      <c r="C501" s="1" t="s">
        <v>382</v>
      </c>
      <c r="D501" s="1">
        <v>1.0</v>
      </c>
      <c r="E501" s="1" t="s">
        <v>119</v>
      </c>
      <c r="F501" s="1" t="s">
        <v>440</v>
      </c>
      <c r="G501" s="1" t="s">
        <v>131</v>
      </c>
      <c r="H501" s="1">
        <v>212000.0</v>
      </c>
      <c r="I501" s="1" t="s">
        <v>14</v>
      </c>
      <c r="J501" s="1" t="s">
        <v>626</v>
      </c>
    </row>
    <row r="502">
      <c r="A502" s="1">
        <v>510.0</v>
      </c>
      <c r="B502" s="2">
        <v>46032.503333333334</v>
      </c>
      <c r="C502" s="1" t="s">
        <v>627</v>
      </c>
      <c r="D502" s="1">
        <v>2.0</v>
      </c>
      <c r="E502" s="1" t="s">
        <v>97</v>
      </c>
      <c r="F502" s="1" t="s">
        <v>440</v>
      </c>
      <c r="G502" s="1" t="s">
        <v>13</v>
      </c>
      <c r="H502" s="1">
        <v>880000.0</v>
      </c>
      <c r="I502" s="1" t="s">
        <v>14</v>
      </c>
      <c r="J502" s="1" t="s">
        <v>25</v>
      </c>
    </row>
    <row r="503">
      <c r="A503" s="1">
        <v>511.0</v>
      </c>
      <c r="B503" s="2">
        <v>46032.50891203704</v>
      </c>
      <c r="C503" s="1" t="s">
        <v>628</v>
      </c>
      <c r="D503" s="1">
        <v>1.0</v>
      </c>
      <c r="E503" s="1" t="s">
        <v>78</v>
      </c>
      <c r="F503" s="1" t="s">
        <v>23</v>
      </c>
      <c r="G503" s="1" t="s">
        <v>13</v>
      </c>
      <c r="H503" s="1">
        <v>250000.0</v>
      </c>
      <c r="I503" s="1" t="s">
        <v>14</v>
      </c>
      <c r="J503" s="1" t="s">
        <v>25</v>
      </c>
    </row>
    <row r="504">
      <c r="A504" s="1">
        <v>512.0</v>
      </c>
      <c r="B504" s="2">
        <v>46032.53037037037</v>
      </c>
      <c r="C504" s="1" t="s">
        <v>629</v>
      </c>
      <c r="D504" s="1">
        <v>2.0</v>
      </c>
      <c r="E504" s="1" t="s">
        <v>201</v>
      </c>
      <c r="F504" s="1" t="s">
        <v>440</v>
      </c>
      <c r="G504" s="1" t="s">
        <v>131</v>
      </c>
      <c r="H504" s="1">
        <v>170000.0</v>
      </c>
      <c r="I504" s="1" t="s">
        <v>14</v>
      </c>
      <c r="J504" s="1" t="s">
        <v>25</v>
      </c>
    </row>
    <row r="505">
      <c r="A505" s="1">
        <v>513.0</v>
      </c>
      <c r="B505" s="2">
        <v>46034.55179398148</v>
      </c>
      <c r="C505" s="1" t="s">
        <v>630</v>
      </c>
      <c r="D505" s="1">
        <v>2.0</v>
      </c>
      <c r="E505" s="1" t="s">
        <v>89</v>
      </c>
      <c r="F505" s="1" t="s">
        <v>440</v>
      </c>
      <c r="G505" s="1" t="s">
        <v>13</v>
      </c>
      <c r="H505" s="1">
        <v>180000.0</v>
      </c>
      <c r="I505" s="1" t="s">
        <v>14</v>
      </c>
      <c r="J505" s="1" t="s">
        <v>25</v>
      </c>
    </row>
    <row r="506">
      <c r="A506" s="1">
        <v>514.0</v>
      </c>
      <c r="B506" s="2">
        <v>46035.78582175926</v>
      </c>
      <c r="C506" s="1" t="s">
        <v>631</v>
      </c>
      <c r="D506" s="1">
        <v>2.0</v>
      </c>
      <c r="E506" s="1" t="s">
        <v>97</v>
      </c>
      <c r="F506" s="1" t="s">
        <v>440</v>
      </c>
      <c r="G506" s="1" t="s">
        <v>13</v>
      </c>
      <c r="H506" s="1">
        <v>372000.0</v>
      </c>
      <c r="I506" s="1" t="s">
        <v>14</v>
      </c>
      <c r="J506" s="1" t="s">
        <v>25</v>
      </c>
    </row>
    <row r="507">
      <c r="A507" s="1">
        <v>515.0</v>
      </c>
      <c r="B507" s="2">
        <v>46035.81413194445</v>
      </c>
      <c r="C507" s="1" t="s">
        <v>632</v>
      </c>
      <c r="D507" s="1">
        <v>1.0</v>
      </c>
      <c r="E507" s="1" t="s">
        <v>78</v>
      </c>
      <c r="F507" s="1" t="s">
        <v>440</v>
      </c>
      <c r="G507" s="1" t="s">
        <v>20</v>
      </c>
      <c r="H507" s="1">
        <v>184000.0</v>
      </c>
      <c r="I507" s="1" t="s">
        <v>14</v>
      </c>
      <c r="J507" s="1" t="s">
        <v>25</v>
      </c>
    </row>
    <row r="508">
      <c r="A508" s="1">
        <v>516.0</v>
      </c>
      <c r="B508" s="2">
        <v>46036.565092592595</v>
      </c>
      <c r="C508" s="1" t="s">
        <v>633</v>
      </c>
      <c r="D508" s="1">
        <v>2.0</v>
      </c>
      <c r="E508" s="1" t="s">
        <v>78</v>
      </c>
      <c r="F508" s="1" t="s">
        <v>440</v>
      </c>
      <c r="G508" s="1" t="s">
        <v>131</v>
      </c>
      <c r="H508" s="1">
        <v>54000.0</v>
      </c>
      <c r="I508" s="1" t="s">
        <v>43</v>
      </c>
      <c r="J508" s="1" t="s">
        <v>25</v>
      </c>
    </row>
    <row r="509">
      <c r="A509" s="1">
        <v>517.0</v>
      </c>
      <c r="B509" s="2">
        <v>46036.7415625</v>
      </c>
      <c r="C509" s="1" t="s">
        <v>634</v>
      </c>
      <c r="D509" s="1">
        <v>2.0</v>
      </c>
      <c r="E509" s="1" t="s">
        <v>97</v>
      </c>
      <c r="F509" s="1" t="s">
        <v>440</v>
      </c>
      <c r="G509" s="1" t="s">
        <v>13</v>
      </c>
      <c r="H509" s="1">
        <v>170000.0</v>
      </c>
      <c r="I509" s="1" t="s">
        <v>14</v>
      </c>
      <c r="J509" s="1" t="s">
        <v>25</v>
      </c>
    </row>
    <row r="510">
      <c r="A510" s="1">
        <v>518.0</v>
      </c>
      <c r="B510" s="2">
        <v>46037.438888888886</v>
      </c>
      <c r="C510" s="1" t="s">
        <v>635</v>
      </c>
      <c r="D510" s="1">
        <v>2.0</v>
      </c>
      <c r="E510" s="1" t="s">
        <v>89</v>
      </c>
      <c r="F510" s="1" t="s">
        <v>440</v>
      </c>
      <c r="G510" s="1" t="s">
        <v>131</v>
      </c>
      <c r="H510" s="1">
        <v>1350000.0</v>
      </c>
      <c r="I510" s="1" t="s">
        <v>14</v>
      </c>
      <c r="J510" s="1" t="s">
        <v>636</v>
      </c>
    </row>
    <row r="511">
      <c r="A511" s="1">
        <v>519.0</v>
      </c>
      <c r="B511" s="2">
        <v>46037.75711805555</v>
      </c>
      <c r="C511" s="1" t="s">
        <v>637</v>
      </c>
      <c r="D511" s="1">
        <v>2.0</v>
      </c>
      <c r="E511" s="1" t="s">
        <v>89</v>
      </c>
      <c r="F511" s="1" t="s">
        <v>440</v>
      </c>
      <c r="G511" s="1" t="s">
        <v>13</v>
      </c>
      <c r="H511" s="1">
        <v>300000.0</v>
      </c>
      <c r="I511" s="1" t="s">
        <v>14</v>
      </c>
      <c r="J511" s="1" t="s">
        <v>25</v>
      </c>
    </row>
    <row r="512">
      <c r="A512" s="1">
        <v>520.0</v>
      </c>
      <c r="B512" s="2">
        <v>46038.76519675926</v>
      </c>
      <c r="C512" s="1" t="s">
        <v>638</v>
      </c>
      <c r="D512" s="1">
        <v>2.0</v>
      </c>
      <c r="E512" s="1" t="s">
        <v>89</v>
      </c>
      <c r="F512" s="1" t="s">
        <v>440</v>
      </c>
      <c r="G512" s="1" t="s">
        <v>13</v>
      </c>
      <c r="H512" s="1">
        <v>1320000.0</v>
      </c>
      <c r="I512" s="1" t="s">
        <v>14</v>
      </c>
      <c r="J512" s="1" t="s">
        <v>25</v>
      </c>
    </row>
    <row r="513">
      <c r="A513" s="1">
        <v>521.0</v>
      </c>
      <c r="B513" s="2">
        <v>46039.48195601852</v>
      </c>
      <c r="C513" s="1" t="s">
        <v>639</v>
      </c>
      <c r="D513" s="1">
        <v>2.0</v>
      </c>
      <c r="E513" s="1" t="s">
        <v>89</v>
      </c>
      <c r="F513" s="1" t="s">
        <v>440</v>
      </c>
      <c r="G513" s="1" t="s">
        <v>13</v>
      </c>
      <c r="H513" s="1">
        <v>565000.0</v>
      </c>
      <c r="I513" s="1" t="s">
        <v>14</v>
      </c>
      <c r="J513" s="1" t="s">
        <v>25</v>
      </c>
    </row>
    <row r="514">
      <c r="A514" s="1">
        <v>522.0</v>
      </c>
      <c r="B514" s="2">
        <v>46044.565405092595</v>
      </c>
      <c r="C514" s="1" t="s">
        <v>640</v>
      </c>
      <c r="D514" s="1">
        <v>2.0</v>
      </c>
      <c r="E514" s="1" t="s">
        <v>89</v>
      </c>
      <c r="F514" s="1" t="s">
        <v>440</v>
      </c>
      <c r="G514" s="1" t="s">
        <v>131</v>
      </c>
      <c r="H514" s="1">
        <v>920000.0</v>
      </c>
      <c r="I514" s="1" t="s">
        <v>14</v>
      </c>
      <c r="J514" s="1" t="s">
        <v>25</v>
      </c>
    </row>
    <row r="515">
      <c r="A515" s="1">
        <v>523.0</v>
      </c>
      <c r="B515" s="2">
        <v>46044.65275462963</v>
      </c>
      <c r="C515" s="1" t="s">
        <v>641</v>
      </c>
      <c r="D515" s="1">
        <v>1.0</v>
      </c>
      <c r="E515" s="1" t="s">
        <v>78</v>
      </c>
      <c r="F515" s="1" t="s">
        <v>440</v>
      </c>
      <c r="G515" s="1" t="s">
        <v>13</v>
      </c>
      <c r="H515" s="1">
        <v>170000.0</v>
      </c>
      <c r="I515" s="1" t="s">
        <v>14</v>
      </c>
      <c r="J515" s="1" t="s">
        <v>642</v>
      </c>
    </row>
    <row r="516">
      <c r="A516" s="1">
        <v>524.0</v>
      </c>
      <c r="B516" s="2">
        <v>46044.691666666666</v>
      </c>
      <c r="C516" s="1" t="s">
        <v>308</v>
      </c>
      <c r="D516" s="1">
        <v>1.0</v>
      </c>
      <c r="E516" s="1" t="s">
        <v>119</v>
      </c>
      <c r="F516" s="1" t="s">
        <v>440</v>
      </c>
      <c r="G516" s="1" t="s">
        <v>80</v>
      </c>
      <c r="H516" s="1">
        <v>60000.0</v>
      </c>
      <c r="I516" s="1" t="s">
        <v>14</v>
      </c>
      <c r="J516" s="1" t="s">
        <v>25</v>
      </c>
    </row>
    <row r="517">
      <c r="A517" s="1">
        <v>525.0</v>
      </c>
      <c r="B517" s="2">
        <v>46044.69459490741</v>
      </c>
      <c r="C517" s="1" t="s">
        <v>643</v>
      </c>
      <c r="D517" s="1">
        <v>1.0</v>
      </c>
      <c r="E517" s="1" t="s">
        <v>201</v>
      </c>
      <c r="F517" s="1" t="s">
        <v>440</v>
      </c>
      <c r="G517" s="1" t="s">
        <v>20</v>
      </c>
      <c r="H517" s="1">
        <v>126000.0</v>
      </c>
      <c r="I517" s="1" t="s">
        <v>14</v>
      </c>
      <c r="J517" s="1" t="s">
        <v>25</v>
      </c>
    </row>
    <row r="518">
      <c r="A518" s="1">
        <v>526.0</v>
      </c>
      <c r="B518" s="2">
        <v>46044.69797453703</v>
      </c>
      <c r="C518" s="1" t="s">
        <v>644</v>
      </c>
      <c r="D518" s="1">
        <v>2.0</v>
      </c>
      <c r="E518" s="1" t="s">
        <v>83</v>
      </c>
      <c r="F518" s="1" t="s">
        <v>440</v>
      </c>
      <c r="G518" s="1" t="s">
        <v>20</v>
      </c>
      <c r="H518" s="1">
        <v>270000.0</v>
      </c>
      <c r="I518" s="1" t="s">
        <v>14</v>
      </c>
      <c r="J518" s="1" t="s">
        <v>25</v>
      </c>
    </row>
    <row r="519">
      <c r="A519" s="1">
        <v>527.0</v>
      </c>
      <c r="B519" s="2">
        <v>46044.72591435185</v>
      </c>
      <c r="C519" s="1" t="s">
        <v>517</v>
      </c>
      <c r="D519" s="1">
        <v>2.0</v>
      </c>
      <c r="E519" s="1" t="s">
        <v>94</v>
      </c>
      <c r="F519" s="1" t="s">
        <v>440</v>
      </c>
      <c r="G519" s="1" t="s">
        <v>13</v>
      </c>
      <c r="H519" s="1">
        <v>960000.0</v>
      </c>
      <c r="I519" s="1" t="s">
        <v>14</v>
      </c>
      <c r="J519" s="1" t="s">
        <v>645</v>
      </c>
    </row>
    <row r="520">
      <c r="A520" s="1">
        <v>528.0</v>
      </c>
      <c r="B520" s="2">
        <v>46044.78496527778</v>
      </c>
      <c r="C520" s="1" t="s">
        <v>646</v>
      </c>
      <c r="D520" s="1">
        <v>2.0</v>
      </c>
      <c r="E520" s="1" t="s">
        <v>94</v>
      </c>
      <c r="F520" s="1" t="s">
        <v>440</v>
      </c>
      <c r="G520" s="1" t="s">
        <v>13</v>
      </c>
      <c r="H520" s="1">
        <v>244000.0</v>
      </c>
      <c r="I520" s="1" t="s">
        <v>14</v>
      </c>
      <c r="J520" s="1" t="s">
        <v>25</v>
      </c>
    </row>
    <row r="521">
      <c r="A521" s="1">
        <v>529.0</v>
      </c>
      <c r="B521" s="2">
        <v>46044.81445601852</v>
      </c>
      <c r="C521" s="1" t="s">
        <v>647</v>
      </c>
      <c r="D521" s="1">
        <v>2.0</v>
      </c>
      <c r="E521" s="1" t="s">
        <v>119</v>
      </c>
      <c r="F521" s="1" t="s">
        <v>440</v>
      </c>
      <c r="G521" s="1" t="s">
        <v>13</v>
      </c>
      <c r="H521" s="1">
        <v>80000.0</v>
      </c>
      <c r="I521" s="1" t="s">
        <v>14</v>
      </c>
      <c r="J521" s="1" t="s">
        <v>25</v>
      </c>
    </row>
    <row r="522">
      <c r="A522" s="1">
        <v>530.0</v>
      </c>
      <c r="B522" s="2">
        <v>46044.81630787037</v>
      </c>
      <c r="C522" s="1" t="s">
        <v>648</v>
      </c>
      <c r="D522" s="1">
        <v>2.0</v>
      </c>
      <c r="E522" s="1" t="s">
        <v>89</v>
      </c>
      <c r="F522" s="1" t="s">
        <v>440</v>
      </c>
      <c r="G522" s="1" t="s">
        <v>20</v>
      </c>
      <c r="H522" s="1">
        <v>225000.0</v>
      </c>
      <c r="I522" s="1" t="s">
        <v>14</v>
      </c>
      <c r="J522" s="1" t="s">
        <v>25</v>
      </c>
    </row>
    <row r="523">
      <c r="A523" s="1">
        <v>531.0</v>
      </c>
      <c r="B523" s="2">
        <v>46045.73983796296</v>
      </c>
      <c r="C523" s="1" t="s">
        <v>649</v>
      </c>
      <c r="D523" s="1">
        <v>2.0</v>
      </c>
      <c r="E523" s="1" t="s">
        <v>83</v>
      </c>
      <c r="F523" s="1" t="s">
        <v>440</v>
      </c>
      <c r="G523" s="1" t="s">
        <v>20</v>
      </c>
      <c r="H523" s="1">
        <v>210226.0</v>
      </c>
      <c r="I523" s="1" t="s">
        <v>14</v>
      </c>
      <c r="J523" s="1" t="s">
        <v>25</v>
      </c>
    </row>
    <row r="524">
      <c r="A524" s="1">
        <v>532.0</v>
      </c>
      <c r="B524" s="2">
        <v>46045.742002314815</v>
      </c>
      <c r="C524" s="1" t="s">
        <v>650</v>
      </c>
      <c r="D524" s="1">
        <v>1.0</v>
      </c>
      <c r="E524" s="1" t="s">
        <v>78</v>
      </c>
      <c r="F524" s="1" t="s">
        <v>440</v>
      </c>
      <c r="G524" s="1" t="s">
        <v>131</v>
      </c>
      <c r="H524" s="1">
        <v>120000.0</v>
      </c>
      <c r="I524" s="1" t="s">
        <v>14</v>
      </c>
      <c r="J524" s="1" t="s">
        <v>25</v>
      </c>
    </row>
    <row r="525">
      <c r="A525" s="1">
        <v>533.0</v>
      </c>
      <c r="B525" s="2">
        <v>46045.74292824074</v>
      </c>
      <c r="C525" s="1" t="s">
        <v>651</v>
      </c>
      <c r="D525" s="1">
        <v>2.0</v>
      </c>
      <c r="E525" s="1" t="s">
        <v>119</v>
      </c>
      <c r="F525" s="1" t="s">
        <v>440</v>
      </c>
      <c r="G525" s="1" t="s">
        <v>20</v>
      </c>
      <c r="H525" s="1">
        <v>200000.0</v>
      </c>
      <c r="I525" s="1" t="s">
        <v>14</v>
      </c>
      <c r="J525" s="1" t="s">
        <v>25</v>
      </c>
    </row>
    <row r="526">
      <c r="A526" s="1">
        <v>534.0</v>
      </c>
      <c r="B526" s="2">
        <v>46045.74554398148</v>
      </c>
      <c r="C526" s="1" t="s">
        <v>652</v>
      </c>
      <c r="D526" s="1">
        <v>2.0</v>
      </c>
      <c r="E526" s="1" t="s">
        <v>119</v>
      </c>
      <c r="F526" s="1" t="s">
        <v>440</v>
      </c>
      <c r="G526" s="1" t="s">
        <v>13</v>
      </c>
      <c r="H526" s="1">
        <v>295705.99</v>
      </c>
      <c r="I526" s="1" t="s">
        <v>14</v>
      </c>
      <c r="J526" s="1" t="s">
        <v>25</v>
      </c>
    </row>
    <row r="527">
      <c r="A527" s="1">
        <v>535.0</v>
      </c>
      <c r="B527" s="2">
        <v>46046.55693287037</v>
      </c>
      <c r="C527" s="1" t="s">
        <v>653</v>
      </c>
      <c r="D527" s="1">
        <v>2.0</v>
      </c>
      <c r="E527" s="1" t="s">
        <v>89</v>
      </c>
      <c r="F527" s="1" t="s">
        <v>440</v>
      </c>
      <c r="G527" s="1" t="s">
        <v>13</v>
      </c>
      <c r="H527" s="1">
        <v>1095000.0</v>
      </c>
      <c r="I527" s="1" t="s">
        <v>14</v>
      </c>
      <c r="J527" s="1" t="s">
        <v>25</v>
      </c>
    </row>
    <row r="528">
      <c r="A528" s="1">
        <v>536.0</v>
      </c>
      <c r="B528" s="2">
        <v>46046.55767361111</v>
      </c>
      <c r="C528" s="1" t="s">
        <v>653</v>
      </c>
      <c r="D528" s="1">
        <v>1.0</v>
      </c>
      <c r="E528" s="1" t="s">
        <v>119</v>
      </c>
      <c r="F528" s="1" t="s">
        <v>440</v>
      </c>
      <c r="G528" s="1" t="s">
        <v>13</v>
      </c>
      <c r="H528" s="1">
        <v>135000.0</v>
      </c>
      <c r="I528" s="1" t="s">
        <v>14</v>
      </c>
      <c r="J528" s="1" t="s">
        <v>25</v>
      </c>
    </row>
    <row r="529">
      <c r="A529" s="1">
        <v>537.0</v>
      </c>
      <c r="B529" s="2">
        <v>46046.58326388889</v>
      </c>
      <c r="C529" s="1" t="s">
        <v>654</v>
      </c>
      <c r="D529" s="1">
        <v>2.0</v>
      </c>
      <c r="E529" s="1" t="s">
        <v>201</v>
      </c>
      <c r="F529" s="1" t="s">
        <v>440</v>
      </c>
      <c r="G529" s="1" t="s">
        <v>20</v>
      </c>
      <c r="H529" s="1">
        <v>200000.0</v>
      </c>
      <c r="I529" s="1" t="s">
        <v>14</v>
      </c>
      <c r="J529" s="1" t="s">
        <v>25</v>
      </c>
    </row>
    <row r="530">
      <c r="A530" s="1">
        <v>538.0</v>
      </c>
      <c r="B530" s="2">
        <v>46048.64990740741</v>
      </c>
      <c r="C530" s="1" t="s">
        <v>655</v>
      </c>
      <c r="D530" s="1">
        <v>2.0</v>
      </c>
      <c r="E530" s="1" t="s">
        <v>83</v>
      </c>
      <c r="F530" s="1" t="s">
        <v>440</v>
      </c>
      <c r="G530" s="1" t="s">
        <v>13</v>
      </c>
      <c r="H530" s="1">
        <v>220000.0</v>
      </c>
      <c r="I530" s="1" t="s">
        <v>14</v>
      </c>
      <c r="J530" s="1" t="s">
        <v>25</v>
      </c>
    </row>
    <row r="531">
      <c r="A531" s="1">
        <v>539.0</v>
      </c>
      <c r="B531" s="2">
        <v>46048.7237962963</v>
      </c>
      <c r="C531" s="1" t="s">
        <v>656</v>
      </c>
      <c r="D531" s="1">
        <v>2.0</v>
      </c>
      <c r="E531" s="1" t="s">
        <v>78</v>
      </c>
      <c r="F531" s="1" t="s">
        <v>440</v>
      </c>
      <c r="G531" s="1" t="s">
        <v>20</v>
      </c>
      <c r="H531" s="1">
        <v>288000.0</v>
      </c>
      <c r="I531" s="1" t="s">
        <v>14</v>
      </c>
      <c r="J531" s="1" t="s">
        <v>25</v>
      </c>
    </row>
    <row r="532">
      <c r="A532" s="1">
        <v>540.0</v>
      </c>
      <c r="B532" s="2">
        <v>46048.82979166666</v>
      </c>
      <c r="C532" s="1" t="s">
        <v>657</v>
      </c>
      <c r="D532" s="1">
        <v>2.0</v>
      </c>
      <c r="E532" s="1" t="s">
        <v>78</v>
      </c>
      <c r="F532" s="1" t="s">
        <v>440</v>
      </c>
      <c r="G532" s="1" t="s">
        <v>20</v>
      </c>
      <c r="H532" s="1">
        <v>145000.0</v>
      </c>
      <c r="I532" s="1" t="s">
        <v>14</v>
      </c>
      <c r="J532" s="1" t="s">
        <v>658</v>
      </c>
    </row>
    <row r="533">
      <c r="A533" s="1">
        <v>541.0</v>
      </c>
      <c r="B533" s="2">
        <v>46049.76461805555</v>
      </c>
      <c r="C533" s="1" t="s">
        <v>659</v>
      </c>
      <c r="D533" s="1">
        <v>2.0</v>
      </c>
      <c r="E533" s="1" t="s">
        <v>94</v>
      </c>
      <c r="F533" s="1" t="s">
        <v>440</v>
      </c>
      <c r="G533" s="1" t="s">
        <v>38</v>
      </c>
      <c r="H533" s="1">
        <v>55000.0</v>
      </c>
      <c r="I533" s="1" t="s">
        <v>14</v>
      </c>
      <c r="J533" s="1" t="s">
        <v>660</v>
      </c>
    </row>
    <row r="534">
      <c r="A534" s="1">
        <v>542.0</v>
      </c>
      <c r="B534" s="2">
        <v>46051.61310185185</v>
      </c>
      <c r="C534" s="1" t="s">
        <v>661</v>
      </c>
      <c r="D534" s="1">
        <v>2.0</v>
      </c>
      <c r="E534" s="1" t="s">
        <v>97</v>
      </c>
      <c r="F534" s="1" t="s">
        <v>440</v>
      </c>
      <c r="G534" s="1" t="s">
        <v>20</v>
      </c>
      <c r="H534" s="1">
        <v>235000.0</v>
      </c>
      <c r="I534" s="1" t="s">
        <v>14</v>
      </c>
      <c r="J534" s="1" t="s">
        <v>25</v>
      </c>
    </row>
    <row r="535">
      <c r="A535" s="1">
        <v>543.0</v>
      </c>
      <c r="B535" s="2">
        <v>46051.78524305556</v>
      </c>
      <c r="C535" s="1" t="s">
        <v>662</v>
      </c>
      <c r="D535" s="1">
        <v>2.0</v>
      </c>
      <c r="E535" s="1" t="s">
        <v>94</v>
      </c>
      <c r="F535" s="1" t="s">
        <v>440</v>
      </c>
      <c r="G535" s="1" t="s">
        <v>20</v>
      </c>
      <c r="H535" s="1">
        <v>280000.0</v>
      </c>
      <c r="I535" s="1" t="s">
        <v>14</v>
      </c>
      <c r="J535" s="1" t="s">
        <v>25</v>
      </c>
    </row>
    <row r="536">
      <c r="A536" s="1">
        <v>544.0</v>
      </c>
      <c r="B536" s="2">
        <v>46052.615694444445</v>
      </c>
      <c r="C536" s="1" t="s">
        <v>663</v>
      </c>
      <c r="D536" s="1">
        <v>2.0</v>
      </c>
      <c r="E536" s="1" t="s">
        <v>97</v>
      </c>
      <c r="F536" s="1" t="s">
        <v>440</v>
      </c>
      <c r="G536" s="1" t="s">
        <v>13</v>
      </c>
      <c r="H536" s="1">
        <v>637000.0</v>
      </c>
      <c r="I536" s="1" t="s">
        <v>14</v>
      </c>
      <c r="J536" s="1" t="s">
        <v>664</v>
      </c>
    </row>
    <row r="537">
      <c r="A537" s="1">
        <v>545.0</v>
      </c>
      <c r="B537" s="2">
        <v>46052.82791666667</v>
      </c>
      <c r="C537" s="1" t="s">
        <v>665</v>
      </c>
      <c r="D537" s="1">
        <v>2.0</v>
      </c>
      <c r="E537" s="1" t="s">
        <v>78</v>
      </c>
      <c r="F537" s="1" t="s">
        <v>440</v>
      </c>
      <c r="G537" s="1" t="s">
        <v>20</v>
      </c>
      <c r="H537" s="1">
        <v>335046.8</v>
      </c>
      <c r="I537" s="1" t="s">
        <v>14</v>
      </c>
      <c r="J537" s="1" t="s">
        <v>25</v>
      </c>
    </row>
    <row r="538">
      <c r="A538" s="1">
        <v>546.0</v>
      </c>
      <c r="B538" s="2">
        <v>46053.53163194445</v>
      </c>
      <c r="C538" s="1" t="s">
        <v>666</v>
      </c>
      <c r="D538" s="1">
        <v>2.0</v>
      </c>
      <c r="E538" s="1" t="s">
        <v>89</v>
      </c>
      <c r="F538" s="1" t="s">
        <v>440</v>
      </c>
      <c r="G538" s="1" t="s">
        <v>20</v>
      </c>
      <c r="H538" s="1">
        <v>196950.94</v>
      </c>
      <c r="I538" s="1" t="s">
        <v>60</v>
      </c>
      <c r="J538" s="1" t="s">
        <v>25</v>
      </c>
    </row>
    <row r="539">
      <c r="A539" s="1">
        <v>547.0</v>
      </c>
      <c r="B539" s="2">
        <v>46053.56831018518</v>
      </c>
      <c r="C539" s="1" t="s">
        <v>628</v>
      </c>
      <c r="D539" s="1">
        <v>2.0</v>
      </c>
      <c r="E539" s="1" t="s">
        <v>78</v>
      </c>
      <c r="F539" s="1" t="s">
        <v>440</v>
      </c>
      <c r="G539" s="1" t="s">
        <v>20</v>
      </c>
      <c r="H539" s="1">
        <v>190000.0</v>
      </c>
      <c r="I539" s="1" t="s">
        <v>14</v>
      </c>
      <c r="J539" s="1" t="s">
        <v>25</v>
      </c>
    </row>
    <row r="540">
      <c r="A540" s="1">
        <v>548.0</v>
      </c>
      <c r="B540" s="2">
        <v>46053.569340277776</v>
      </c>
      <c r="C540" s="1" t="s">
        <v>630</v>
      </c>
      <c r="D540" s="1">
        <v>2.0</v>
      </c>
      <c r="E540" s="1" t="s">
        <v>119</v>
      </c>
      <c r="F540" s="1" t="s">
        <v>440</v>
      </c>
      <c r="G540" s="1" t="s">
        <v>20</v>
      </c>
      <c r="H540" s="1">
        <v>245000.0</v>
      </c>
      <c r="I540" s="1" t="s">
        <v>14</v>
      </c>
      <c r="J540" s="1" t="s">
        <v>25</v>
      </c>
    </row>
    <row r="541">
      <c r="A541" s="1">
        <v>549.0</v>
      </c>
      <c r="B541" s="2">
        <v>46053.5778587963</v>
      </c>
      <c r="C541" s="1" t="s">
        <v>82</v>
      </c>
      <c r="D541" s="1">
        <v>1.0</v>
      </c>
      <c r="E541" s="1" t="s">
        <v>119</v>
      </c>
      <c r="F541" s="1" t="s">
        <v>440</v>
      </c>
      <c r="G541" s="1" t="s">
        <v>20</v>
      </c>
      <c r="H541" s="1">
        <v>170000.0</v>
      </c>
      <c r="I541" s="1" t="s">
        <v>14</v>
      </c>
      <c r="J541" s="1" t="s">
        <v>25</v>
      </c>
    </row>
    <row r="542">
      <c r="A542" s="1">
        <v>550.0</v>
      </c>
      <c r="B542" s="2">
        <v>46053.57902777778</v>
      </c>
      <c r="C542" s="1" t="s">
        <v>667</v>
      </c>
      <c r="D542" s="1">
        <v>2.0</v>
      </c>
      <c r="E542" s="1" t="s">
        <v>78</v>
      </c>
      <c r="F542" s="1" t="s">
        <v>440</v>
      </c>
      <c r="G542" s="1" t="s">
        <v>20</v>
      </c>
      <c r="H542" s="1">
        <v>231226.0</v>
      </c>
      <c r="I542" s="1" t="s">
        <v>14</v>
      </c>
      <c r="J542" s="1" t="s">
        <v>25</v>
      </c>
    </row>
    <row r="543">
      <c r="A543" s="1">
        <v>551.0</v>
      </c>
      <c r="B543" s="2">
        <v>46053.57938657407</v>
      </c>
      <c r="C543" s="1" t="s">
        <v>308</v>
      </c>
      <c r="D543" s="1">
        <v>1.0</v>
      </c>
      <c r="E543" s="1" t="s">
        <v>119</v>
      </c>
      <c r="F543" s="1" t="s">
        <v>440</v>
      </c>
      <c r="G543" s="1" t="s">
        <v>20</v>
      </c>
      <c r="H543" s="1">
        <v>60000.0</v>
      </c>
      <c r="I543" s="1" t="s">
        <v>14</v>
      </c>
      <c r="J543" s="1" t="s">
        <v>25</v>
      </c>
    </row>
    <row r="544">
      <c r="A544" s="1">
        <v>552.0</v>
      </c>
      <c r="B544" s="2">
        <v>46053.58107638889</v>
      </c>
      <c r="C544" s="1" t="s">
        <v>668</v>
      </c>
      <c r="D544" s="1">
        <v>2.0</v>
      </c>
      <c r="E544" s="1" t="s">
        <v>89</v>
      </c>
      <c r="F544" s="1" t="s">
        <v>440</v>
      </c>
      <c r="G544" s="1" t="s">
        <v>20</v>
      </c>
      <c r="H544" s="1">
        <v>404000.0</v>
      </c>
      <c r="I544" s="1" t="s">
        <v>14</v>
      </c>
      <c r="J544" s="1" t="s">
        <v>25</v>
      </c>
    </row>
    <row r="545">
      <c r="A545" s="1">
        <v>553.0</v>
      </c>
      <c r="B545" s="2">
        <v>46053.58834490741</v>
      </c>
      <c r="C545" s="1" t="s">
        <v>669</v>
      </c>
      <c r="D545" s="1">
        <v>2.0</v>
      </c>
      <c r="E545" s="1" t="s">
        <v>89</v>
      </c>
      <c r="F545" s="1" t="s">
        <v>440</v>
      </c>
      <c r="G545" s="1" t="s">
        <v>13</v>
      </c>
      <c r="H545" s="1">
        <v>306000.0</v>
      </c>
      <c r="I545" s="1" t="s">
        <v>14</v>
      </c>
      <c r="J545" s="1" t="s">
        <v>25</v>
      </c>
    </row>
    <row r="546">
      <c r="A546" s="1">
        <v>554.0</v>
      </c>
      <c r="B546" s="2">
        <v>46055.525717592594</v>
      </c>
      <c r="C546" s="1" t="s">
        <v>670</v>
      </c>
      <c r="D546" s="1">
        <v>2.0</v>
      </c>
      <c r="E546" s="1" t="s">
        <v>89</v>
      </c>
      <c r="F546" s="1" t="s">
        <v>440</v>
      </c>
      <c r="G546" s="1" t="s">
        <v>20</v>
      </c>
      <c r="H546" s="1">
        <v>130029.96</v>
      </c>
      <c r="I546" s="1" t="s">
        <v>14</v>
      </c>
      <c r="J546" s="1" t="s">
        <v>671</v>
      </c>
    </row>
    <row r="547">
      <c r="A547" s="1">
        <v>555.0</v>
      </c>
      <c r="B547" s="2">
        <v>46055.69913194444</v>
      </c>
      <c r="C547" s="1" t="s">
        <v>672</v>
      </c>
      <c r="D547" s="1">
        <v>2.0</v>
      </c>
      <c r="E547" s="1" t="s">
        <v>78</v>
      </c>
      <c r="F547" s="1" t="s">
        <v>440</v>
      </c>
      <c r="G547" s="1" t="s">
        <v>13</v>
      </c>
      <c r="H547" s="1">
        <v>340000.0</v>
      </c>
      <c r="I547" s="1" t="s">
        <v>14</v>
      </c>
      <c r="J547" s="1" t="s">
        <v>25</v>
      </c>
    </row>
    <row r="548">
      <c r="A548" s="1">
        <v>556.0</v>
      </c>
      <c r="B548" s="2">
        <v>46055.807800925926</v>
      </c>
      <c r="C548" s="1" t="s">
        <v>342</v>
      </c>
      <c r="D548" s="1">
        <v>1.0</v>
      </c>
      <c r="E548" s="1" t="s">
        <v>119</v>
      </c>
      <c r="F548" s="1" t="s">
        <v>440</v>
      </c>
      <c r="G548" s="1" t="s">
        <v>13</v>
      </c>
      <c r="H548" s="1">
        <v>352800.0</v>
      </c>
      <c r="I548" s="1" t="s">
        <v>43</v>
      </c>
      <c r="J548" s="1" t="s">
        <v>25</v>
      </c>
    </row>
    <row r="549">
      <c r="A549" s="1">
        <v>557.0</v>
      </c>
      <c r="B549" s="2">
        <v>46056.49071759259</v>
      </c>
      <c r="C549" s="1" t="s">
        <v>673</v>
      </c>
      <c r="D549" s="1">
        <v>2.0</v>
      </c>
      <c r="E549" s="1" t="s">
        <v>94</v>
      </c>
      <c r="F549" s="1" t="s">
        <v>23</v>
      </c>
      <c r="G549" s="1" t="s">
        <v>20</v>
      </c>
      <c r="H549" s="1">
        <v>822000.0</v>
      </c>
      <c r="I549" s="1" t="s">
        <v>14</v>
      </c>
      <c r="J549" s="1" t="s">
        <v>674</v>
      </c>
    </row>
    <row r="550">
      <c r="A550" s="1">
        <v>558.0</v>
      </c>
      <c r="B550" s="2">
        <v>46056.49729166667</v>
      </c>
      <c r="C550" s="1" t="s">
        <v>673</v>
      </c>
      <c r="D550" s="1">
        <v>2.0</v>
      </c>
      <c r="E550" s="1" t="s">
        <v>94</v>
      </c>
      <c r="F550" s="1" t="s">
        <v>440</v>
      </c>
      <c r="G550" s="1" t="s">
        <v>20</v>
      </c>
      <c r="H550" s="1">
        <v>698700.0</v>
      </c>
      <c r="I550" s="1" t="s">
        <v>60</v>
      </c>
      <c r="J550" s="1" t="s">
        <v>675</v>
      </c>
    </row>
    <row r="551">
      <c r="A551" s="1">
        <v>559.0</v>
      </c>
      <c r="B551" s="2">
        <v>46056.50347222222</v>
      </c>
      <c r="C551" s="1" t="s">
        <v>641</v>
      </c>
      <c r="D551" s="1">
        <v>1.0</v>
      </c>
      <c r="E551" s="1" t="s">
        <v>94</v>
      </c>
      <c r="F551" s="1" t="s">
        <v>440</v>
      </c>
      <c r="G551" s="1" t="s">
        <v>20</v>
      </c>
      <c r="H551" s="1">
        <v>315000.0</v>
      </c>
      <c r="I551" s="1" t="s">
        <v>14</v>
      </c>
      <c r="J551" s="1" t="s">
        <v>25</v>
      </c>
    </row>
    <row r="552">
      <c r="A552" s="1">
        <v>560.0</v>
      </c>
      <c r="B552" s="2">
        <v>46056.52979166667</v>
      </c>
      <c r="C552" s="1" t="s">
        <v>676</v>
      </c>
      <c r="D552" s="1">
        <v>1.0</v>
      </c>
      <c r="E552" s="1" t="s">
        <v>78</v>
      </c>
      <c r="F552" s="1" t="s">
        <v>440</v>
      </c>
      <c r="G552" s="1" t="s">
        <v>13</v>
      </c>
      <c r="H552" s="1">
        <v>80000.0</v>
      </c>
      <c r="I552" s="1" t="s">
        <v>14</v>
      </c>
      <c r="J552" s="1" t="s">
        <v>25</v>
      </c>
    </row>
    <row r="553">
      <c r="A553" s="1">
        <v>561.0</v>
      </c>
      <c r="B553" s="2">
        <v>46056.731620370374</v>
      </c>
      <c r="C553" s="1" t="s">
        <v>677</v>
      </c>
      <c r="D553" s="1">
        <v>2.0</v>
      </c>
      <c r="E553" s="1" t="s">
        <v>97</v>
      </c>
      <c r="F553" s="1" t="s">
        <v>440</v>
      </c>
      <c r="G553" s="1" t="s">
        <v>20</v>
      </c>
      <c r="H553" s="1">
        <v>161500.0</v>
      </c>
      <c r="I553" s="1" t="s">
        <v>60</v>
      </c>
      <c r="J553" s="1" t="s">
        <v>25</v>
      </c>
    </row>
    <row r="554">
      <c r="A554" s="1">
        <v>562.0</v>
      </c>
      <c r="B554" s="2">
        <v>46056.8599537037</v>
      </c>
      <c r="C554" s="1" t="s">
        <v>678</v>
      </c>
      <c r="D554" s="1">
        <v>2.0</v>
      </c>
      <c r="E554" s="1" t="s">
        <v>97</v>
      </c>
      <c r="F554" s="1" t="s">
        <v>440</v>
      </c>
      <c r="G554" s="1" t="s">
        <v>20</v>
      </c>
      <c r="H554" s="1">
        <v>828000.0</v>
      </c>
      <c r="I554" s="1" t="s">
        <v>14</v>
      </c>
      <c r="J554" s="1" t="s">
        <v>25</v>
      </c>
    </row>
    <row r="555">
      <c r="A555" s="1">
        <v>563.0</v>
      </c>
      <c r="B555" s="2">
        <v>46057.42534722222</v>
      </c>
      <c r="C555" s="1" t="s">
        <v>679</v>
      </c>
      <c r="D555" s="1">
        <v>2.0</v>
      </c>
      <c r="E555" s="1" t="s">
        <v>119</v>
      </c>
      <c r="F555" s="1" t="s">
        <v>440</v>
      </c>
      <c r="G555" s="1" t="s">
        <v>20</v>
      </c>
      <c r="H555" s="1">
        <v>765376.0</v>
      </c>
      <c r="I555" s="1" t="s">
        <v>14</v>
      </c>
      <c r="J555" s="1" t="s">
        <v>25</v>
      </c>
    </row>
    <row r="556">
      <c r="A556" s="1">
        <v>564.0</v>
      </c>
      <c r="B556" s="2">
        <v>46057.43486111111</v>
      </c>
      <c r="C556" s="1" t="s">
        <v>680</v>
      </c>
      <c r="D556" s="1">
        <v>2.0</v>
      </c>
      <c r="E556" s="1" t="s">
        <v>94</v>
      </c>
      <c r="F556" s="1" t="s">
        <v>440</v>
      </c>
      <c r="G556" s="1" t="s">
        <v>20</v>
      </c>
      <c r="H556" s="1">
        <v>61226.0</v>
      </c>
      <c r="I556" s="1" t="s">
        <v>14</v>
      </c>
      <c r="J556" s="1" t="s">
        <v>25</v>
      </c>
    </row>
    <row r="557">
      <c r="A557" s="1">
        <v>565.0</v>
      </c>
      <c r="B557" s="2">
        <v>46057.53858796296</v>
      </c>
      <c r="C557" s="1" t="s">
        <v>681</v>
      </c>
      <c r="D557" s="1">
        <v>1.0</v>
      </c>
      <c r="E557" s="1" t="s">
        <v>129</v>
      </c>
      <c r="F557" s="1" t="s">
        <v>440</v>
      </c>
      <c r="G557" s="1" t="s">
        <v>38</v>
      </c>
      <c r="H557" s="1">
        <v>130000.0</v>
      </c>
      <c r="I557" s="1" t="s">
        <v>14</v>
      </c>
      <c r="J557" s="1" t="s">
        <v>25</v>
      </c>
    </row>
    <row r="558">
      <c r="A558" s="1">
        <v>566.0</v>
      </c>
      <c r="B558" s="2">
        <v>46057.73385416667</v>
      </c>
      <c r="C558" s="1" t="s">
        <v>682</v>
      </c>
      <c r="D558" s="1">
        <v>1.0</v>
      </c>
      <c r="E558" s="1" t="s">
        <v>89</v>
      </c>
      <c r="F558" s="1" t="s">
        <v>23</v>
      </c>
      <c r="G558" s="1" t="s">
        <v>20</v>
      </c>
      <c r="H558" s="1">
        <v>233000.0</v>
      </c>
      <c r="I558" s="1" t="s">
        <v>14</v>
      </c>
      <c r="J558" s="1" t="s">
        <v>683</v>
      </c>
    </row>
    <row r="559">
      <c r="A559" s="1">
        <v>567.0</v>
      </c>
      <c r="B559" s="2">
        <v>46057.752118055556</v>
      </c>
      <c r="C559" s="1" t="s">
        <v>109</v>
      </c>
      <c r="D559" s="1">
        <v>2.0</v>
      </c>
      <c r="E559" s="1" t="s">
        <v>119</v>
      </c>
      <c r="F559" s="1" t="s">
        <v>440</v>
      </c>
      <c r="G559" s="1" t="s">
        <v>38</v>
      </c>
      <c r="H559" s="1">
        <v>510000.0</v>
      </c>
      <c r="I559" s="1" t="s">
        <v>14</v>
      </c>
      <c r="J559" s="1" t="s">
        <v>25</v>
      </c>
    </row>
    <row r="560">
      <c r="A560" s="1">
        <v>568.0</v>
      </c>
      <c r="B560" s="2">
        <v>46057.83320601852</v>
      </c>
      <c r="C560" s="1" t="s">
        <v>684</v>
      </c>
      <c r="D560" s="1">
        <v>2.0</v>
      </c>
      <c r="E560" s="1" t="s">
        <v>83</v>
      </c>
      <c r="F560" s="1" t="s">
        <v>440</v>
      </c>
      <c r="G560" s="1" t="s">
        <v>13</v>
      </c>
      <c r="H560" s="1">
        <v>1588000.0</v>
      </c>
      <c r="I560" s="1" t="s">
        <v>14</v>
      </c>
      <c r="J560" s="1" t="s">
        <v>25</v>
      </c>
    </row>
    <row r="561">
      <c r="A561" s="1">
        <v>569.0</v>
      </c>
      <c r="B561" s="2">
        <v>46058.69414351852</v>
      </c>
      <c r="C561" s="1" t="s">
        <v>685</v>
      </c>
      <c r="D561" s="1">
        <v>1.0</v>
      </c>
      <c r="E561" s="1" t="s">
        <v>201</v>
      </c>
      <c r="F561" s="1" t="s">
        <v>23</v>
      </c>
      <c r="G561" s="1" t="s">
        <v>20</v>
      </c>
      <c r="H561" s="1">
        <v>170100.0</v>
      </c>
      <c r="I561" s="1" t="s">
        <v>43</v>
      </c>
      <c r="J561" s="1" t="s">
        <v>686</v>
      </c>
    </row>
    <row r="562">
      <c r="A562" s="1">
        <v>570.0</v>
      </c>
      <c r="B562" s="2">
        <v>46058.846967592595</v>
      </c>
      <c r="C562" s="1" t="s">
        <v>687</v>
      </c>
      <c r="D562" s="1">
        <v>2.0</v>
      </c>
      <c r="E562" s="1" t="s">
        <v>89</v>
      </c>
      <c r="F562" s="1" t="s">
        <v>23</v>
      </c>
      <c r="G562" s="1" t="s">
        <v>20</v>
      </c>
      <c r="H562" s="1">
        <v>220014.74</v>
      </c>
      <c r="I562" s="1" t="s">
        <v>14</v>
      </c>
      <c r="J562" s="1" t="s">
        <v>688</v>
      </c>
    </row>
    <row r="563">
      <c r="A563" s="1">
        <v>571.0</v>
      </c>
      <c r="B563" s="2">
        <v>46058.85119212963</v>
      </c>
      <c r="C563" s="1" t="s">
        <v>687</v>
      </c>
      <c r="D563" s="1">
        <v>2.0</v>
      </c>
      <c r="E563" s="1" t="s">
        <v>89</v>
      </c>
      <c r="F563" s="1" t="s">
        <v>440</v>
      </c>
      <c r="G563" s="1" t="s">
        <v>131</v>
      </c>
      <c r="H563" s="1">
        <v>165000.0</v>
      </c>
      <c r="I563" s="1" t="s">
        <v>14</v>
      </c>
      <c r="J563" s="1" t="s">
        <v>689</v>
      </c>
    </row>
    <row r="564">
      <c r="A564" s="1">
        <v>572.0</v>
      </c>
      <c r="B564" s="2">
        <v>46059.420694444445</v>
      </c>
      <c r="C564" s="1" t="s">
        <v>685</v>
      </c>
      <c r="D564" s="1">
        <v>1.0</v>
      </c>
      <c r="E564" s="1" t="s">
        <v>201</v>
      </c>
      <c r="F564" s="1" t="s">
        <v>440</v>
      </c>
      <c r="G564" s="1" t="s">
        <v>20</v>
      </c>
      <c r="H564" s="1">
        <v>120000.0</v>
      </c>
      <c r="I564" s="1" t="s">
        <v>14</v>
      </c>
      <c r="J564" s="1" t="s">
        <v>25</v>
      </c>
    </row>
    <row r="565">
      <c r="A565" s="1">
        <v>573.0</v>
      </c>
      <c r="B565" s="2">
        <v>46059.52829861111</v>
      </c>
      <c r="C565" s="1" t="s">
        <v>690</v>
      </c>
      <c r="D565" s="1">
        <v>2.0</v>
      </c>
      <c r="E565" s="1" t="s">
        <v>83</v>
      </c>
      <c r="F565" s="1" t="s">
        <v>440</v>
      </c>
      <c r="G565" s="1" t="s">
        <v>38</v>
      </c>
      <c r="H565" s="1">
        <v>230000.0</v>
      </c>
      <c r="I565" s="1" t="s">
        <v>14</v>
      </c>
      <c r="J565" s="1" t="s">
        <v>25</v>
      </c>
    </row>
    <row r="566">
      <c r="A566" s="1">
        <v>574.0</v>
      </c>
      <c r="B566" s="2">
        <v>46059.677152777775</v>
      </c>
      <c r="C566" s="1" t="s">
        <v>682</v>
      </c>
      <c r="D566" s="1">
        <v>2.0</v>
      </c>
      <c r="E566" s="1" t="s">
        <v>89</v>
      </c>
      <c r="F566" s="1" t="s">
        <v>440</v>
      </c>
      <c r="G566" s="1" t="s">
        <v>38</v>
      </c>
      <c r="H566" s="1">
        <v>160000.0</v>
      </c>
      <c r="I566" s="1" t="s">
        <v>14</v>
      </c>
      <c r="J566" s="1" t="s">
        <v>25</v>
      </c>
    </row>
    <row r="567">
      <c r="A567" s="1">
        <v>575.0</v>
      </c>
      <c r="B567" s="2">
        <v>46059.75068287037</v>
      </c>
      <c r="C567" s="1" t="s">
        <v>691</v>
      </c>
      <c r="D567" s="1">
        <v>2.0</v>
      </c>
      <c r="E567" s="1" t="s">
        <v>97</v>
      </c>
      <c r="F567" s="1" t="s">
        <v>440</v>
      </c>
      <c r="G567" s="1" t="s">
        <v>20</v>
      </c>
      <c r="H567" s="1">
        <v>628000.0</v>
      </c>
      <c r="I567" s="1" t="s">
        <v>14</v>
      </c>
      <c r="J567" s="1" t="s">
        <v>692</v>
      </c>
    </row>
    <row r="568">
      <c r="A568" s="1">
        <v>576.0</v>
      </c>
      <c r="B568" s="2">
        <v>46059.771365740744</v>
      </c>
      <c r="C568" s="1" t="s">
        <v>693</v>
      </c>
      <c r="D568" s="1">
        <v>1.0</v>
      </c>
      <c r="E568" s="1" t="s">
        <v>89</v>
      </c>
      <c r="F568" s="1" t="s">
        <v>440</v>
      </c>
      <c r="G568" s="1" t="s">
        <v>20</v>
      </c>
      <c r="H568" s="1">
        <v>310000.0</v>
      </c>
      <c r="I568" s="1" t="s">
        <v>14</v>
      </c>
      <c r="J568" s="1" t="s">
        <v>25</v>
      </c>
    </row>
    <row r="569">
      <c r="A569" s="1">
        <v>577.0</v>
      </c>
      <c r="B569" s="2">
        <v>46060.54158564815</v>
      </c>
      <c r="C569" s="1" t="s">
        <v>694</v>
      </c>
      <c r="D569" s="1">
        <v>2.0</v>
      </c>
      <c r="E569" s="1" t="s">
        <v>89</v>
      </c>
      <c r="F569" s="1" t="s">
        <v>440</v>
      </c>
      <c r="G569" s="1" t="s">
        <v>20</v>
      </c>
      <c r="H569" s="1">
        <v>210000.0</v>
      </c>
      <c r="I569" s="1" t="s">
        <v>14</v>
      </c>
      <c r="J569" s="1" t="s">
        <v>25</v>
      </c>
    </row>
    <row r="570">
      <c r="A570" s="1">
        <v>578.0</v>
      </c>
      <c r="B570" s="2">
        <v>46060.59005787037</v>
      </c>
      <c r="C570" s="1" t="s">
        <v>372</v>
      </c>
      <c r="D570" s="1">
        <v>2.0</v>
      </c>
      <c r="E570" s="1" t="s">
        <v>119</v>
      </c>
      <c r="F570" s="1" t="s">
        <v>440</v>
      </c>
      <c r="G570" s="1" t="s">
        <v>13</v>
      </c>
      <c r="H570" s="1">
        <v>166000.0</v>
      </c>
      <c r="I570" s="1" t="s">
        <v>14</v>
      </c>
      <c r="J570" s="1" t="s">
        <v>25</v>
      </c>
    </row>
    <row r="571">
      <c r="A571" s="1">
        <v>579.0</v>
      </c>
      <c r="B571" s="2">
        <v>46062.562048611115</v>
      </c>
      <c r="C571" s="1" t="s">
        <v>695</v>
      </c>
      <c r="D571" s="1">
        <v>2.0</v>
      </c>
      <c r="E571" s="1" t="s">
        <v>89</v>
      </c>
      <c r="F571" s="1" t="s">
        <v>440</v>
      </c>
      <c r="G571" s="1" t="s">
        <v>20</v>
      </c>
      <c r="H571" s="1">
        <v>200000.0</v>
      </c>
      <c r="I571" s="1" t="s">
        <v>14</v>
      </c>
      <c r="J571" s="1" t="s">
        <v>25</v>
      </c>
    </row>
    <row r="572">
      <c r="A572" s="1">
        <v>580.0</v>
      </c>
      <c r="B572" s="2">
        <v>46062.731875</v>
      </c>
      <c r="C572" s="1" t="s">
        <v>696</v>
      </c>
      <c r="D572" s="1">
        <v>2.0</v>
      </c>
      <c r="E572" s="1" t="s">
        <v>78</v>
      </c>
      <c r="F572" s="1" t="s">
        <v>440</v>
      </c>
      <c r="G572" s="1" t="s">
        <v>20</v>
      </c>
      <c r="H572" s="1">
        <v>222008.6</v>
      </c>
      <c r="I572" s="1" t="s">
        <v>14</v>
      </c>
      <c r="J572" s="1" t="s">
        <v>25</v>
      </c>
    </row>
    <row r="573">
      <c r="A573" s="1">
        <v>581.0</v>
      </c>
      <c r="B573" s="2">
        <v>46062.81133101852</v>
      </c>
      <c r="C573" s="1" t="s">
        <v>697</v>
      </c>
      <c r="D573" s="1">
        <v>2.0</v>
      </c>
      <c r="E573" s="1" t="s">
        <v>78</v>
      </c>
      <c r="F573" s="1" t="s">
        <v>440</v>
      </c>
      <c r="G573" s="1" t="s">
        <v>20</v>
      </c>
      <c r="H573" s="1">
        <v>154042.1</v>
      </c>
      <c r="I573" s="1" t="s">
        <v>60</v>
      </c>
      <c r="J573" s="1" t="s">
        <v>25</v>
      </c>
    </row>
    <row r="574">
      <c r="A574" s="1">
        <v>582.0</v>
      </c>
      <c r="B574" s="2">
        <v>46063.69667824074</v>
      </c>
      <c r="C574" s="1" t="s">
        <v>698</v>
      </c>
      <c r="D574" s="1">
        <v>2.0</v>
      </c>
      <c r="E574" s="1" t="s">
        <v>89</v>
      </c>
      <c r="F574" s="1" t="s">
        <v>440</v>
      </c>
      <c r="G574" s="1" t="s">
        <v>13</v>
      </c>
      <c r="H574" s="1">
        <v>718000.0</v>
      </c>
      <c r="I574" s="1" t="s">
        <v>14</v>
      </c>
      <c r="J574" s="1" t="s">
        <v>25</v>
      </c>
    </row>
    <row r="575">
      <c r="A575" s="1">
        <v>583.0</v>
      </c>
      <c r="B575" s="2">
        <v>46063.79008101852</v>
      </c>
      <c r="C575" s="1" t="s">
        <v>699</v>
      </c>
      <c r="D575" s="1">
        <v>2.0</v>
      </c>
      <c r="E575" s="1" t="s">
        <v>89</v>
      </c>
      <c r="F575" s="1" t="s">
        <v>23</v>
      </c>
      <c r="G575" s="1" t="s">
        <v>20</v>
      </c>
      <c r="H575" s="1">
        <v>69000.0</v>
      </c>
      <c r="I575" s="1" t="s">
        <v>14</v>
      </c>
      <c r="J575" s="1" t="s">
        <v>25</v>
      </c>
    </row>
    <row r="576">
      <c r="A576" s="1">
        <v>584.0</v>
      </c>
      <c r="B576" s="2">
        <v>46064.45396990741</v>
      </c>
      <c r="C576" s="1" t="s">
        <v>700</v>
      </c>
      <c r="D576" s="1">
        <v>2.0</v>
      </c>
      <c r="E576" s="1" t="s">
        <v>129</v>
      </c>
      <c r="F576" s="1" t="s">
        <v>440</v>
      </c>
      <c r="G576" s="1" t="s">
        <v>20</v>
      </c>
      <c r="H576" s="1">
        <v>160200.0</v>
      </c>
      <c r="I576" s="1" t="s">
        <v>43</v>
      </c>
      <c r="J576" s="1" t="s">
        <v>25</v>
      </c>
    </row>
    <row r="577">
      <c r="A577" s="1">
        <v>585.0</v>
      </c>
      <c r="B577" s="2">
        <v>46064.75717592592</v>
      </c>
      <c r="C577" s="1" t="s">
        <v>701</v>
      </c>
      <c r="D577" s="1">
        <v>2.0</v>
      </c>
      <c r="E577" s="1" t="s">
        <v>119</v>
      </c>
      <c r="F577" s="1" t="s">
        <v>440</v>
      </c>
      <c r="G577" s="1" t="s">
        <v>13</v>
      </c>
      <c r="H577" s="1">
        <v>964840.0</v>
      </c>
      <c r="I577" s="1" t="s">
        <v>14</v>
      </c>
      <c r="J577" s="1" t="s">
        <v>25</v>
      </c>
    </row>
    <row r="578">
      <c r="A578" s="1">
        <v>586.0</v>
      </c>
      <c r="B578" s="2">
        <v>46065.800532407404</v>
      </c>
      <c r="C578" s="1" t="s">
        <v>702</v>
      </c>
      <c r="D578" s="1">
        <v>1.0</v>
      </c>
      <c r="E578" s="1" t="s">
        <v>201</v>
      </c>
      <c r="F578" s="1" t="s">
        <v>440</v>
      </c>
      <c r="G578" s="1" t="s">
        <v>20</v>
      </c>
      <c r="H578" s="1">
        <v>145000.0</v>
      </c>
      <c r="I578" s="1" t="s">
        <v>14</v>
      </c>
      <c r="J578" s="1" t="s">
        <v>703</v>
      </c>
    </row>
    <row r="579">
      <c r="A579" s="1">
        <v>587.0</v>
      </c>
      <c r="B579" s="2">
        <v>46066.51792824074</v>
      </c>
      <c r="C579" s="1" t="s">
        <v>704</v>
      </c>
      <c r="D579" s="1">
        <v>2.0</v>
      </c>
      <c r="E579" s="1" t="s">
        <v>119</v>
      </c>
      <c r="F579" s="1" t="s">
        <v>440</v>
      </c>
      <c r="G579" s="1" t="s">
        <v>20</v>
      </c>
      <c r="H579" s="1">
        <v>130000.0</v>
      </c>
      <c r="I579" s="1" t="s">
        <v>14</v>
      </c>
      <c r="J579" s="1" t="s">
        <v>25</v>
      </c>
    </row>
    <row r="580">
      <c r="A580" s="1">
        <v>588.0</v>
      </c>
      <c r="B580" s="2">
        <v>46066.53655092593</v>
      </c>
      <c r="C580" s="1" t="s">
        <v>705</v>
      </c>
      <c r="D580" s="1">
        <v>2.0</v>
      </c>
      <c r="E580" s="1" t="s">
        <v>129</v>
      </c>
      <c r="F580" s="1" t="s">
        <v>440</v>
      </c>
      <c r="G580" s="1" t="s">
        <v>20</v>
      </c>
      <c r="H580" s="1">
        <v>123190.47</v>
      </c>
      <c r="I580" s="1" t="s">
        <v>60</v>
      </c>
      <c r="J580" s="1" t="s">
        <v>25</v>
      </c>
    </row>
    <row r="581">
      <c r="A581" s="1">
        <v>589.0</v>
      </c>
      <c r="B581" s="2">
        <v>46066.556238425925</v>
      </c>
      <c r="C581" s="1" t="s">
        <v>706</v>
      </c>
      <c r="D581" s="1">
        <v>1.0</v>
      </c>
      <c r="E581" s="1" t="s">
        <v>78</v>
      </c>
      <c r="F581" s="1" t="s">
        <v>440</v>
      </c>
      <c r="G581" s="1" t="s">
        <v>20</v>
      </c>
      <c r="H581" s="1">
        <v>162000.0</v>
      </c>
      <c r="I581" s="1" t="s">
        <v>43</v>
      </c>
      <c r="J581" s="1" t="s">
        <v>25</v>
      </c>
    </row>
    <row r="582">
      <c r="A582" s="1">
        <v>590.0</v>
      </c>
      <c r="B582" s="2">
        <v>46066.75309027778</v>
      </c>
      <c r="C582" s="1" t="s">
        <v>707</v>
      </c>
      <c r="D582" s="1">
        <v>2.0</v>
      </c>
      <c r="E582" s="1" t="s">
        <v>89</v>
      </c>
      <c r="F582" s="1" t="s">
        <v>440</v>
      </c>
      <c r="G582" s="1" t="s">
        <v>20</v>
      </c>
      <c r="H582" s="1">
        <v>161226.0</v>
      </c>
      <c r="I582" s="1" t="s">
        <v>14</v>
      </c>
      <c r="J582" s="1" t="s">
        <v>25</v>
      </c>
    </row>
    <row r="583">
      <c r="A583" s="1">
        <v>591.0</v>
      </c>
      <c r="B583" s="2">
        <v>46070.73347222222</v>
      </c>
      <c r="C583" s="1" t="s">
        <v>708</v>
      </c>
      <c r="D583" s="1">
        <v>2.0</v>
      </c>
      <c r="E583" s="1" t="s">
        <v>89</v>
      </c>
      <c r="F583" s="1" t="s">
        <v>440</v>
      </c>
      <c r="G583" s="1" t="s">
        <v>20</v>
      </c>
      <c r="H583" s="1">
        <v>98000.0</v>
      </c>
      <c r="I583" s="1" t="s">
        <v>14</v>
      </c>
      <c r="J583" s="1" t="s">
        <v>25</v>
      </c>
    </row>
    <row r="584">
      <c r="A584" s="1">
        <v>592.0</v>
      </c>
      <c r="B584" s="2">
        <v>46070.73449074074</v>
      </c>
      <c r="C584" s="1" t="s">
        <v>708</v>
      </c>
      <c r="D584" s="1">
        <v>2.0</v>
      </c>
      <c r="E584" s="1" t="s">
        <v>119</v>
      </c>
      <c r="F584" s="1" t="s">
        <v>440</v>
      </c>
      <c r="G584" s="1" t="s">
        <v>20</v>
      </c>
      <c r="H584" s="1">
        <v>70000.0</v>
      </c>
      <c r="I584" s="1" t="s">
        <v>14</v>
      </c>
      <c r="J584" s="1" t="s">
        <v>25</v>
      </c>
    </row>
    <row r="585">
      <c r="A585" s="1">
        <v>593.0</v>
      </c>
      <c r="B585" s="2">
        <v>46071.410266203704</v>
      </c>
      <c r="C585" s="1" t="s">
        <v>709</v>
      </c>
      <c r="D585" s="1">
        <v>2.0</v>
      </c>
      <c r="E585" s="1" t="s">
        <v>97</v>
      </c>
      <c r="F585" s="1" t="s">
        <v>440</v>
      </c>
      <c r="G585" s="1" t="s">
        <v>13</v>
      </c>
      <c r="H585" s="1">
        <v>729000.0</v>
      </c>
      <c r="I585" s="1" t="s">
        <v>14</v>
      </c>
      <c r="J585" s="1" t="s">
        <v>25</v>
      </c>
    </row>
    <row r="586">
      <c r="A586" s="1">
        <v>594.0</v>
      </c>
      <c r="B586" s="2">
        <v>46071.46880787037</v>
      </c>
      <c r="C586" s="1" t="s">
        <v>710</v>
      </c>
      <c r="D586" s="1">
        <v>2.0</v>
      </c>
      <c r="E586" s="1" t="s">
        <v>83</v>
      </c>
      <c r="F586" s="1" t="s">
        <v>440</v>
      </c>
      <c r="G586" s="1" t="s">
        <v>20</v>
      </c>
      <c r="H586" s="1">
        <v>163104.3</v>
      </c>
      <c r="I586" s="1" t="s">
        <v>43</v>
      </c>
      <c r="J586" s="1" t="s">
        <v>25</v>
      </c>
    </row>
    <row r="587">
      <c r="A587" s="1">
        <v>595.0</v>
      </c>
      <c r="B587" s="2">
        <v>46071.6893287037</v>
      </c>
      <c r="C587" s="1" t="s">
        <v>711</v>
      </c>
      <c r="D587" s="1">
        <v>1.0</v>
      </c>
      <c r="E587" s="1" t="s">
        <v>201</v>
      </c>
      <c r="F587" s="1" t="s">
        <v>440</v>
      </c>
      <c r="G587" s="1" t="s">
        <v>20</v>
      </c>
      <c r="H587" s="1">
        <v>240000.0</v>
      </c>
      <c r="I587" s="1" t="s">
        <v>14</v>
      </c>
      <c r="J587" s="1" t="s">
        <v>25</v>
      </c>
    </row>
    <row r="588">
      <c r="A588" s="1">
        <v>596.0</v>
      </c>
      <c r="B588" s="2">
        <v>46071.764814814815</v>
      </c>
      <c r="C588" s="1" t="s">
        <v>712</v>
      </c>
      <c r="D588" s="1">
        <v>1.0</v>
      </c>
      <c r="E588" s="1" t="s">
        <v>89</v>
      </c>
      <c r="F588" s="1" t="s">
        <v>440</v>
      </c>
      <c r="G588" s="1" t="s">
        <v>131</v>
      </c>
      <c r="H588" s="1">
        <v>135000.0</v>
      </c>
      <c r="I588" s="1" t="s">
        <v>14</v>
      </c>
      <c r="J588" s="1" t="s">
        <v>25</v>
      </c>
    </row>
    <row r="589">
      <c r="A589" s="1">
        <v>597.0</v>
      </c>
      <c r="B589" s="2">
        <v>46071.79493055555</v>
      </c>
      <c r="C589" s="1" t="s">
        <v>713</v>
      </c>
      <c r="D589" s="1">
        <v>2.0</v>
      </c>
      <c r="E589" s="1" t="s">
        <v>89</v>
      </c>
      <c r="F589" s="1" t="s">
        <v>440</v>
      </c>
      <c r="G589" s="1" t="s">
        <v>20</v>
      </c>
      <c r="H589" s="1">
        <v>1038700.0</v>
      </c>
      <c r="I589" s="1" t="s">
        <v>60</v>
      </c>
      <c r="J589" s="1" t="s">
        <v>25</v>
      </c>
    </row>
    <row r="590">
      <c r="A590" s="1">
        <v>598.0</v>
      </c>
      <c r="B590" s="2">
        <v>46072.4953125</v>
      </c>
      <c r="C590" s="1" t="s">
        <v>714</v>
      </c>
      <c r="D590" s="1">
        <v>2.0</v>
      </c>
      <c r="E590" s="1" t="s">
        <v>78</v>
      </c>
      <c r="F590" s="1" t="s">
        <v>440</v>
      </c>
      <c r="G590" s="1" t="s">
        <v>20</v>
      </c>
      <c r="H590" s="1">
        <v>182500.0</v>
      </c>
      <c r="I590" s="1" t="s">
        <v>14</v>
      </c>
      <c r="J590" s="1" t="s">
        <v>715</v>
      </c>
    </row>
    <row r="591">
      <c r="A591" s="1">
        <v>599.0</v>
      </c>
      <c r="B591" s="2">
        <v>46072.49594907407</v>
      </c>
      <c r="C591" s="1" t="s">
        <v>714</v>
      </c>
      <c r="D591" s="1">
        <v>1.0</v>
      </c>
      <c r="E591" s="1" t="s">
        <v>119</v>
      </c>
      <c r="F591" s="1" t="s">
        <v>440</v>
      </c>
      <c r="G591" s="1" t="s">
        <v>20</v>
      </c>
      <c r="H591" s="1">
        <v>180000.0</v>
      </c>
      <c r="I591" s="1" t="s">
        <v>14</v>
      </c>
      <c r="J591" s="1" t="s">
        <v>25</v>
      </c>
    </row>
    <row r="592">
      <c r="A592" s="1">
        <v>600.0</v>
      </c>
      <c r="B592" s="2">
        <v>46072.6796412037</v>
      </c>
      <c r="C592" s="1" t="s">
        <v>716</v>
      </c>
      <c r="D592" s="1">
        <v>1.0</v>
      </c>
      <c r="E592" s="1" t="s">
        <v>83</v>
      </c>
      <c r="F592" s="1" t="s">
        <v>23</v>
      </c>
      <c r="G592" s="1" t="s">
        <v>20</v>
      </c>
      <c r="H592" s="1">
        <v>187200.0</v>
      </c>
      <c r="I592" s="1" t="s">
        <v>14</v>
      </c>
      <c r="J592" s="1" t="s">
        <v>25</v>
      </c>
    </row>
    <row r="593">
      <c r="A593" s="1">
        <v>601.0</v>
      </c>
      <c r="B593" s="2">
        <v>46072.684525462966</v>
      </c>
      <c r="C593" s="1" t="s">
        <v>716</v>
      </c>
      <c r="D593" s="1">
        <v>1.0</v>
      </c>
      <c r="E593" s="1" t="s">
        <v>83</v>
      </c>
      <c r="F593" s="1" t="s">
        <v>440</v>
      </c>
      <c r="G593" s="1" t="s">
        <v>20</v>
      </c>
      <c r="H593" s="1">
        <v>168480.0</v>
      </c>
      <c r="I593" s="1" t="s">
        <v>43</v>
      </c>
      <c r="J593" s="1" t="s">
        <v>25</v>
      </c>
    </row>
    <row r="594">
      <c r="A594" s="1">
        <v>602.0</v>
      </c>
      <c r="B594" s="2">
        <v>46072.69053240741</v>
      </c>
      <c r="C594" s="1" t="s">
        <v>717</v>
      </c>
      <c r="D594" s="1">
        <v>1.0</v>
      </c>
      <c r="E594" s="1" t="s">
        <v>83</v>
      </c>
      <c r="F594" s="1" t="s">
        <v>440</v>
      </c>
      <c r="G594" s="1" t="s">
        <v>20</v>
      </c>
      <c r="H594" s="1">
        <v>190000.0</v>
      </c>
      <c r="I594" s="1" t="s">
        <v>14</v>
      </c>
      <c r="J594" s="1" t="s">
        <v>25</v>
      </c>
    </row>
    <row r="595">
      <c r="A595" s="1">
        <v>603.0</v>
      </c>
      <c r="B595" s="2">
        <v>46072.8184837963</v>
      </c>
      <c r="C595" s="1" t="s">
        <v>718</v>
      </c>
      <c r="D595" s="1">
        <v>2.0</v>
      </c>
      <c r="E595" s="1" t="s">
        <v>83</v>
      </c>
      <c r="F595" s="1" t="s">
        <v>440</v>
      </c>
      <c r="G595" s="1" t="s">
        <v>20</v>
      </c>
      <c r="H595" s="1">
        <v>260000.0</v>
      </c>
      <c r="I595" s="1" t="s">
        <v>14</v>
      </c>
      <c r="J595" s="1" t="s">
        <v>25</v>
      </c>
    </row>
    <row r="596">
      <c r="A596" s="1">
        <v>604.0</v>
      </c>
      <c r="B596" s="2">
        <v>46073.414131944446</v>
      </c>
      <c r="C596" s="1" t="s">
        <v>716</v>
      </c>
      <c r="D596" s="1">
        <v>1.0</v>
      </c>
      <c r="E596" s="1" t="s">
        <v>119</v>
      </c>
      <c r="F596" s="1" t="s">
        <v>440</v>
      </c>
      <c r="G596" s="1" t="s">
        <v>20</v>
      </c>
      <c r="H596" s="1">
        <v>123250.0</v>
      </c>
      <c r="I596" s="1" t="s">
        <v>60</v>
      </c>
      <c r="J596" s="1" t="s">
        <v>25</v>
      </c>
    </row>
    <row r="597">
      <c r="A597" s="1">
        <v>605.0</v>
      </c>
      <c r="B597" s="2">
        <v>46073.75822916667</v>
      </c>
      <c r="C597" s="1" t="s">
        <v>719</v>
      </c>
      <c r="D597" s="1">
        <v>2.0</v>
      </c>
      <c r="E597" s="1" t="s">
        <v>97</v>
      </c>
      <c r="F597" s="1" t="s">
        <v>440</v>
      </c>
      <c r="G597" s="1" t="s">
        <v>20</v>
      </c>
      <c r="H597" s="1">
        <v>190000.0</v>
      </c>
      <c r="I597" s="1" t="s">
        <v>14</v>
      </c>
      <c r="J597" s="1" t="s">
        <v>720</v>
      </c>
    </row>
    <row r="598">
      <c r="A598" s="1">
        <v>606.0</v>
      </c>
      <c r="B598" s="2">
        <v>46073.76354166667</v>
      </c>
      <c r="C598" s="1" t="s">
        <v>721</v>
      </c>
      <c r="D598" s="1">
        <v>2.0</v>
      </c>
      <c r="E598" s="1" t="s">
        <v>89</v>
      </c>
      <c r="F598" s="1" t="s">
        <v>440</v>
      </c>
      <c r="G598" s="1" t="s">
        <v>38</v>
      </c>
      <c r="H598" s="1">
        <v>68463.0</v>
      </c>
      <c r="I598" s="1" t="s">
        <v>14</v>
      </c>
      <c r="J598" s="1" t="s">
        <v>722</v>
      </c>
    </row>
    <row r="599">
      <c r="A599" s="1">
        <v>607.0</v>
      </c>
      <c r="B599" s="2">
        <v>46073.93085648148</v>
      </c>
      <c r="C599" s="1" t="s">
        <v>723</v>
      </c>
      <c r="D599" s="1">
        <v>2.0</v>
      </c>
      <c r="E599" s="1" t="s">
        <v>83</v>
      </c>
      <c r="F599" s="1" t="s">
        <v>440</v>
      </c>
      <c r="G599" s="1" t="s">
        <v>20</v>
      </c>
      <c r="H599" s="1">
        <v>269968.0</v>
      </c>
      <c r="I599" s="1" t="s">
        <v>14</v>
      </c>
      <c r="J599" s="1" t="s">
        <v>724</v>
      </c>
    </row>
    <row r="600">
      <c r="A600" s="1">
        <v>608.0</v>
      </c>
      <c r="B600" s="2">
        <v>46074.42733796296</v>
      </c>
      <c r="C600" s="1" t="s">
        <v>725</v>
      </c>
      <c r="D600" s="1">
        <v>2.0</v>
      </c>
      <c r="E600" s="1" t="s">
        <v>89</v>
      </c>
      <c r="F600" s="1" t="s">
        <v>440</v>
      </c>
      <c r="G600" s="1" t="s">
        <v>13</v>
      </c>
      <c r="H600" s="1">
        <v>1400000.0</v>
      </c>
      <c r="I600" s="1" t="s">
        <v>14</v>
      </c>
      <c r="J600" s="1" t="s">
        <v>25</v>
      </c>
    </row>
    <row r="601">
      <c r="A601" s="1">
        <v>609.0</v>
      </c>
      <c r="B601" s="2">
        <v>46076.47688657408</v>
      </c>
      <c r="C601" s="1" t="s">
        <v>592</v>
      </c>
      <c r="D601" s="1">
        <v>2.0</v>
      </c>
      <c r="E601" s="1" t="s">
        <v>119</v>
      </c>
      <c r="F601" s="1" t="s">
        <v>440</v>
      </c>
      <c r="G601" s="1" t="s">
        <v>20</v>
      </c>
      <c r="H601" s="1">
        <v>78200.0</v>
      </c>
      <c r="I601" s="1" t="s">
        <v>60</v>
      </c>
      <c r="J601" s="1" t="s">
        <v>25</v>
      </c>
    </row>
    <row r="602">
      <c r="A602" s="1">
        <v>610.0</v>
      </c>
      <c r="B602" s="2">
        <v>46076.68478009259</v>
      </c>
      <c r="C602" s="1" t="s">
        <v>726</v>
      </c>
      <c r="D602" s="1">
        <v>2.0</v>
      </c>
      <c r="E602" s="1" t="s">
        <v>119</v>
      </c>
      <c r="F602" s="1" t="s">
        <v>23</v>
      </c>
      <c r="G602" s="1" t="s">
        <v>20</v>
      </c>
      <c r="H602" s="1">
        <v>68000.0</v>
      </c>
      <c r="I602" s="1" t="s">
        <v>14</v>
      </c>
      <c r="J602" s="3" t="str">
        <f>+0.25 0
+0.25 145</f>
        <v>#ERROR!</v>
      </c>
    </row>
    <row r="603">
      <c r="A603" s="1">
        <v>611.0</v>
      </c>
      <c r="B603" s="2">
        <v>46076.71853009259</v>
      </c>
      <c r="C603" s="1" t="s">
        <v>726</v>
      </c>
      <c r="D603" s="1">
        <v>2.0</v>
      </c>
      <c r="E603" s="1" t="s">
        <v>119</v>
      </c>
      <c r="F603" s="1" t="s">
        <v>440</v>
      </c>
      <c r="G603" s="1" t="s">
        <v>20</v>
      </c>
      <c r="H603" s="1">
        <v>61200.0</v>
      </c>
      <c r="I603" s="1" t="s">
        <v>14</v>
      </c>
      <c r="J603" s="1" t="s">
        <v>25</v>
      </c>
    </row>
    <row r="604">
      <c r="A604" s="1">
        <v>612.0</v>
      </c>
      <c r="B604" s="2">
        <v>46077.5403125</v>
      </c>
      <c r="C604" s="1" t="s">
        <v>727</v>
      </c>
      <c r="D604" s="1">
        <v>2.0</v>
      </c>
      <c r="E604" s="1" t="s">
        <v>83</v>
      </c>
      <c r="F604" s="1" t="s">
        <v>440</v>
      </c>
      <c r="G604" s="1" t="s">
        <v>20</v>
      </c>
      <c r="H604" s="1">
        <v>220000.0</v>
      </c>
      <c r="I604" s="1" t="s">
        <v>14</v>
      </c>
      <c r="J604" s="1" t="s">
        <v>25</v>
      </c>
    </row>
    <row r="605">
      <c r="A605" s="1">
        <v>613.0</v>
      </c>
      <c r="B605" s="2">
        <v>46077.70123842593</v>
      </c>
      <c r="C605" s="1" t="s">
        <v>728</v>
      </c>
      <c r="D605" s="1">
        <v>2.0</v>
      </c>
      <c r="E605" s="1" t="s">
        <v>97</v>
      </c>
      <c r="F605" s="1" t="s">
        <v>440</v>
      </c>
      <c r="G605" s="1" t="s">
        <v>20</v>
      </c>
      <c r="H605" s="1">
        <v>90000.8</v>
      </c>
      <c r="I605" s="1" t="s">
        <v>14</v>
      </c>
      <c r="J605" s="1" t="s">
        <v>25</v>
      </c>
    </row>
    <row r="606">
      <c r="A606" s="1">
        <v>614.0</v>
      </c>
      <c r="B606" s="2">
        <v>46077.79178240741</v>
      </c>
      <c r="C606" s="1" t="s">
        <v>538</v>
      </c>
      <c r="D606" s="1">
        <v>2.0</v>
      </c>
      <c r="E606" s="1" t="s">
        <v>119</v>
      </c>
      <c r="F606" s="1" t="s">
        <v>440</v>
      </c>
      <c r="G606" s="1" t="s">
        <v>20</v>
      </c>
      <c r="H606" s="1">
        <v>181226.0</v>
      </c>
      <c r="I606" s="1" t="s">
        <v>14</v>
      </c>
      <c r="J606" s="1" t="s">
        <v>25</v>
      </c>
    </row>
    <row r="607">
      <c r="A607" s="1">
        <v>615.0</v>
      </c>
      <c r="B607" s="2">
        <v>46078.42172453704</v>
      </c>
      <c r="C607" s="1" t="s">
        <v>729</v>
      </c>
      <c r="D607" s="1">
        <v>1.0</v>
      </c>
      <c r="E607" s="1" t="s">
        <v>78</v>
      </c>
      <c r="F607" s="1" t="s">
        <v>440</v>
      </c>
      <c r="G607" s="1" t="s">
        <v>20</v>
      </c>
      <c r="H607" s="1">
        <v>95000.0</v>
      </c>
      <c r="I607" s="1" t="s">
        <v>14</v>
      </c>
      <c r="J607" s="1" t="s">
        <v>25</v>
      </c>
    </row>
    <row r="608">
      <c r="A608" s="1">
        <v>616.0</v>
      </c>
      <c r="B608" s="2">
        <v>46078.516018518516</v>
      </c>
      <c r="C608" s="1" t="s">
        <v>730</v>
      </c>
      <c r="D608" s="1">
        <v>2.0</v>
      </c>
      <c r="E608" s="1" t="s">
        <v>78</v>
      </c>
      <c r="F608" s="1" t="s">
        <v>440</v>
      </c>
      <c r="G608" s="1" t="s">
        <v>20</v>
      </c>
      <c r="H608" s="1">
        <v>180000.0</v>
      </c>
      <c r="I608" s="1" t="s">
        <v>14</v>
      </c>
      <c r="J608" s="1" t="s">
        <v>25</v>
      </c>
    </row>
    <row r="609">
      <c r="A609" s="1">
        <v>617.0</v>
      </c>
      <c r="B609" s="2">
        <v>46078.516805555555</v>
      </c>
      <c r="C609" s="1" t="s">
        <v>730</v>
      </c>
      <c r="D609" s="1">
        <v>1.0</v>
      </c>
      <c r="E609" s="1" t="s">
        <v>119</v>
      </c>
      <c r="F609" s="1" t="s">
        <v>440</v>
      </c>
      <c r="G609" s="1" t="s">
        <v>20</v>
      </c>
      <c r="H609" s="1">
        <v>130000.0</v>
      </c>
      <c r="I609" s="1" t="s">
        <v>14</v>
      </c>
      <c r="J609" s="1" t="s">
        <v>25</v>
      </c>
    </row>
    <row r="610">
      <c r="A610" s="1">
        <v>618.0</v>
      </c>
      <c r="B610" s="2">
        <v>46078.773888888885</v>
      </c>
      <c r="C610" s="1" t="s">
        <v>731</v>
      </c>
      <c r="D610" s="1">
        <v>2.0</v>
      </c>
      <c r="E610" s="1" t="s">
        <v>89</v>
      </c>
      <c r="F610" s="1" t="s">
        <v>440</v>
      </c>
      <c r="G610" s="1" t="s">
        <v>131</v>
      </c>
      <c r="H610" s="1">
        <v>136000.0</v>
      </c>
      <c r="I610" s="1" t="s">
        <v>60</v>
      </c>
      <c r="J610" s="1" t="s">
        <v>25</v>
      </c>
    </row>
    <row r="611">
      <c r="A611" s="1">
        <v>619.0</v>
      </c>
      <c r="B611" s="2">
        <v>46083.77873842593</v>
      </c>
      <c r="C611" s="1" t="s">
        <v>417</v>
      </c>
      <c r="D611" s="1">
        <v>2.0</v>
      </c>
      <c r="E611" s="1" t="s">
        <v>78</v>
      </c>
      <c r="F611" s="1" t="s">
        <v>23</v>
      </c>
      <c r="G611" s="1" t="s">
        <v>20</v>
      </c>
      <c r="H611" s="1">
        <v>174000.0</v>
      </c>
      <c r="I611" s="1" t="s">
        <v>14</v>
      </c>
      <c r="J611" s="1" t="s">
        <v>732</v>
      </c>
    </row>
    <row r="612">
      <c r="A612" s="1">
        <v>620.0</v>
      </c>
      <c r="B612" s="2">
        <v>46084.532858796294</v>
      </c>
      <c r="C612" s="1" t="s">
        <v>487</v>
      </c>
      <c r="D612" s="1">
        <v>2.0</v>
      </c>
      <c r="E612" s="1" t="s">
        <v>119</v>
      </c>
      <c r="F612" s="1" t="s">
        <v>440</v>
      </c>
      <c r="G612" s="1" t="s">
        <v>13</v>
      </c>
      <c r="H612" s="1">
        <v>282000.0</v>
      </c>
      <c r="I612" s="1" t="s">
        <v>14</v>
      </c>
      <c r="J612" s="1" t="s">
        <v>733</v>
      </c>
    </row>
    <row r="613">
      <c r="A613" s="1">
        <v>621.0</v>
      </c>
      <c r="B613" s="2">
        <v>46084.79216435185</v>
      </c>
      <c r="C613" s="1" t="s">
        <v>734</v>
      </c>
      <c r="D613" s="1">
        <v>2.0</v>
      </c>
      <c r="E613" s="1" t="s">
        <v>89</v>
      </c>
      <c r="F613" s="1" t="s">
        <v>440</v>
      </c>
      <c r="G613" s="1" t="s">
        <v>20</v>
      </c>
      <c r="H613" s="1">
        <v>210000.0</v>
      </c>
      <c r="I613" s="1" t="s">
        <v>14</v>
      </c>
      <c r="J613" s="1" t="s">
        <v>25</v>
      </c>
    </row>
    <row r="614">
      <c r="A614" s="1">
        <v>622.0</v>
      </c>
      <c r="B614" s="2">
        <v>46084.79697916667</v>
      </c>
      <c r="C614" s="1" t="s">
        <v>735</v>
      </c>
      <c r="D614" s="1">
        <v>1.0</v>
      </c>
      <c r="E614" s="1" t="s">
        <v>78</v>
      </c>
      <c r="F614" s="1" t="s">
        <v>440</v>
      </c>
      <c r="G614" s="1" t="s">
        <v>20</v>
      </c>
      <c r="H614" s="1">
        <v>220000.0</v>
      </c>
      <c r="I614" s="1" t="s">
        <v>14</v>
      </c>
      <c r="J614" s="1" t="s">
        <v>25</v>
      </c>
    </row>
    <row r="615">
      <c r="A615" s="1">
        <v>623.0</v>
      </c>
      <c r="B615" s="2">
        <v>46085.45438657407</v>
      </c>
      <c r="C615" s="1" t="s">
        <v>417</v>
      </c>
      <c r="D615" s="1">
        <v>2.0</v>
      </c>
      <c r="E615" s="1" t="s">
        <v>119</v>
      </c>
      <c r="F615" s="1" t="s">
        <v>440</v>
      </c>
      <c r="G615" s="1" t="s">
        <v>20</v>
      </c>
      <c r="H615" s="1">
        <v>211705.99</v>
      </c>
      <c r="I615" s="1" t="s">
        <v>14</v>
      </c>
      <c r="J615" s="1" t="s">
        <v>25</v>
      </c>
    </row>
    <row r="616">
      <c r="A616" s="1">
        <v>624.0</v>
      </c>
      <c r="B616" s="2">
        <v>46085.75042824074</v>
      </c>
      <c r="C616" s="1" t="s">
        <v>736</v>
      </c>
      <c r="D616" s="1">
        <v>2.0</v>
      </c>
      <c r="E616" s="1" t="s">
        <v>119</v>
      </c>
      <c r="F616" s="1" t="s">
        <v>440</v>
      </c>
      <c r="G616" s="1" t="s">
        <v>20</v>
      </c>
      <c r="H616" s="1">
        <v>337200.0</v>
      </c>
      <c r="I616" s="1" t="s">
        <v>14</v>
      </c>
      <c r="J616" s="1" t="s">
        <v>25</v>
      </c>
    </row>
    <row r="617">
      <c r="A617" s="1">
        <v>625.0</v>
      </c>
      <c r="B617" s="2">
        <v>46085.75350694444</v>
      </c>
      <c r="C617" s="1" t="s">
        <v>737</v>
      </c>
      <c r="D617" s="1">
        <v>2.0</v>
      </c>
      <c r="E617" s="1" t="s">
        <v>119</v>
      </c>
      <c r="F617" s="1" t="s">
        <v>440</v>
      </c>
      <c r="G617" s="1" t="s">
        <v>20</v>
      </c>
      <c r="H617" s="1">
        <v>300000.0</v>
      </c>
      <c r="I617" s="1" t="s">
        <v>14</v>
      </c>
      <c r="J617" s="1" t="s">
        <v>25</v>
      </c>
    </row>
    <row r="618">
      <c r="A618" s="1">
        <v>626.0</v>
      </c>
      <c r="B618" s="2">
        <v>46085.799155092594</v>
      </c>
      <c r="C618" s="1" t="s">
        <v>738</v>
      </c>
      <c r="D618" s="1">
        <v>2.0</v>
      </c>
      <c r="E618" s="1" t="s">
        <v>78</v>
      </c>
      <c r="F618" s="1" t="s">
        <v>440</v>
      </c>
      <c r="G618" s="1" t="s">
        <v>20</v>
      </c>
      <c r="H618" s="1">
        <v>306000.0</v>
      </c>
      <c r="I618" s="1" t="s">
        <v>14</v>
      </c>
      <c r="J618" s="1" t="s">
        <v>739</v>
      </c>
    </row>
    <row r="619">
      <c r="A619" s="1">
        <v>627.0</v>
      </c>
      <c r="B619" s="2">
        <v>46085.8109837963</v>
      </c>
      <c r="C619" s="1" t="s">
        <v>740</v>
      </c>
      <c r="D619" s="1">
        <v>2.0</v>
      </c>
      <c r="E619" s="1" t="s">
        <v>78</v>
      </c>
      <c r="F619" s="1" t="s">
        <v>440</v>
      </c>
      <c r="G619" s="1" t="s">
        <v>20</v>
      </c>
      <c r="H619" s="1">
        <v>265000.0</v>
      </c>
      <c r="I619" s="1" t="s">
        <v>14</v>
      </c>
      <c r="J619" s="1" t="s">
        <v>25</v>
      </c>
    </row>
    <row r="620">
      <c r="A620" s="1">
        <v>628.0</v>
      </c>
      <c r="B620" s="2">
        <v>46086.57116898148</v>
      </c>
      <c r="C620" s="1" t="s">
        <v>741</v>
      </c>
      <c r="D620" s="1">
        <v>2.0</v>
      </c>
      <c r="E620" s="1" t="s">
        <v>78</v>
      </c>
      <c r="F620" s="1" t="s">
        <v>440</v>
      </c>
      <c r="G620" s="1" t="s">
        <v>20</v>
      </c>
      <c r="H620" s="1">
        <v>1109600.0</v>
      </c>
      <c r="I620" s="1" t="s">
        <v>14</v>
      </c>
      <c r="J620" s="1" t="s">
        <v>25</v>
      </c>
    </row>
    <row r="621">
      <c r="A621" s="1">
        <v>629.0</v>
      </c>
      <c r="B621" s="2">
        <v>46087.43670138889</v>
      </c>
      <c r="C621" s="1" t="s">
        <v>742</v>
      </c>
      <c r="D621" s="1">
        <v>2.0</v>
      </c>
      <c r="E621" s="1" t="s">
        <v>94</v>
      </c>
      <c r="F621" s="1" t="s">
        <v>440</v>
      </c>
      <c r="G621" s="1" t="s">
        <v>20</v>
      </c>
      <c r="H621" s="1">
        <v>114300.0</v>
      </c>
      <c r="I621" s="1" t="s">
        <v>43</v>
      </c>
      <c r="J621" s="1" t="s">
        <v>25</v>
      </c>
    </row>
    <row r="622">
      <c r="A622" s="1">
        <v>630.0</v>
      </c>
      <c r="B622" s="2">
        <v>46090.385092592594</v>
      </c>
      <c r="C622" s="1" t="s">
        <v>239</v>
      </c>
      <c r="D622" s="1">
        <v>2.0</v>
      </c>
      <c r="E622" s="1" t="s">
        <v>119</v>
      </c>
      <c r="F622" s="1" t="s">
        <v>440</v>
      </c>
      <c r="G622" s="1" t="s">
        <v>20</v>
      </c>
      <c r="H622" s="1">
        <v>230014.74</v>
      </c>
      <c r="I622" s="1" t="s">
        <v>14</v>
      </c>
      <c r="J622" s="1" t="s">
        <v>25</v>
      </c>
    </row>
    <row r="623">
      <c r="A623" s="1">
        <v>631.0</v>
      </c>
      <c r="B623" s="2">
        <v>46090.77658564815</v>
      </c>
      <c r="C623" s="1" t="s">
        <v>743</v>
      </c>
      <c r="D623" s="1">
        <v>2.0</v>
      </c>
      <c r="E623" s="1" t="s">
        <v>129</v>
      </c>
      <c r="F623" s="1" t="s">
        <v>440</v>
      </c>
      <c r="G623" s="1" t="s">
        <v>20</v>
      </c>
      <c r="H623" s="1">
        <v>120000.0</v>
      </c>
      <c r="I623" s="1" t="s">
        <v>14</v>
      </c>
      <c r="J623" s="1" t="s">
        <v>25</v>
      </c>
    </row>
    <row r="624">
      <c r="A624" s="1">
        <v>632.0</v>
      </c>
      <c r="B624" s="2">
        <v>46091.55525462963</v>
      </c>
      <c r="C624" s="1" t="s">
        <v>431</v>
      </c>
      <c r="D624" s="1">
        <v>2.0</v>
      </c>
      <c r="E624" s="1" t="s">
        <v>119</v>
      </c>
      <c r="F624" s="1" t="s">
        <v>440</v>
      </c>
      <c r="G624" s="1" t="s">
        <v>20</v>
      </c>
      <c r="H624" s="1">
        <v>177000.0</v>
      </c>
      <c r="I624" s="1" t="s">
        <v>14</v>
      </c>
      <c r="J624" s="1" t="s">
        <v>25</v>
      </c>
    </row>
    <row r="625">
      <c r="A625" s="1">
        <v>633.0</v>
      </c>
      <c r="B625" s="2">
        <v>46092.55550925926</v>
      </c>
      <c r="C625" s="1" t="s">
        <v>744</v>
      </c>
      <c r="D625" s="1">
        <v>1.0</v>
      </c>
      <c r="E625" s="1" t="s">
        <v>119</v>
      </c>
      <c r="F625" s="1" t="s">
        <v>440</v>
      </c>
      <c r="G625" s="1" t="s">
        <v>20</v>
      </c>
      <c r="H625" s="1">
        <v>150210.0</v>
      </c>
      <c r="I625" s="1" t="s">
        <v>43</v>
      </c>
      <c r="J625" s="1" t="s">
        <v>25</v>
      </c>
    </row>
    <row r="626">
      <c r="A626" s="1">
        <v>634.0</v>
      </c>
      <c r="B626" s="2">
        <v>46092.73396990741</v>
      </c>
      <c r="C626" s="1" t="s">
        <v>745</v>
      </c>
      <c r="D626" s="1">
        <v>2.0</v>
      </c>
      <c r="E626" s="1" t="s">
        <v>97</v>
      </c>
      <c r="F626" s="1" t="s">
        <v>440</v>
      </c>
      <c r="G626" s="1" t="s">
        <v>20</v>
      </c>
      <c r="H626" s="1">
        <v>261705.99</v>
      </c>
      <c r="I626" s="1" t="s">
        <v>14</v>
      </c>
      <c r="J626" s="1" t="s">
        <v>25</v>
      </c>
    </row>
    <row r="627">
      <c r="A627" s="1">
        <v>635.0</v>
      </c>
      <c r="B627" s="2">
        <v>46092.79931712963</v>
      </c>
      <c r="C627" s="1" t="s">
        <v>746</v>
      </c>
      <c r="D627" s="1">
        <v>1.0</v>
      </c>
      <c r="E627" s="1" t="s">
        <v>97</v>
      </c>
      <c r="F627" s="1" t="s">
        <v>440</v>
      </c>
      <c r="G627" s="1" t="s">
        <v>20</v>
      </c>
      <c r="H627" s="1">
        <v>96000.0</v>
      </c>
      <c r="I627" s="1" t="s">
        <v>14</v>
      </c>
      <c r="J627" s="1" t="s">
        <v>25</v>
      </c>
    </row>
    <row r="628">
      <c r="A628" s="1">
        <v>636.0</v>
      </c>
      <c r="B628" s="2">
        <v>46093.50164351852</v>
      </c>
      <c r="C628" s="1" t="s">
        <v>738</v>
      </c>
      <c r="D628" s="1">
        <v>1.0</v>
      </c>
      <c r="E628" s="1" t="s">
        <v>119</v>
      </c>
      <c r="F628" s="1" t="s">
        <v>440</v>
      </c>
      <c r="G628" s="1" t="s">
        <v>20</v>
      </c>
      <c r="H628" s="1">
        <v>46000.0</v>
      </c>
      <c r="I628" s="1" t="s">
        <v>14</v>
      </c>
      <c r="J628" s="1" t="s">
        <v>25</v>
      </c>
    </row>
    <row r="629">
      <c r="A629" s="1">
        <v>637.0</v>
      </c>
      <c r="B629" s="2">
        <v>46093.535104166665</v>
      </c>
      <c r="C629" s="1" t="s">
        <v>747</v>
      </c>
      <c r="D629" s="1">
        <v>2.0</v>
      </c>
      <c r="E629" s="1" t="s">
        <v>97</v>
      </c>
      <c r="F629" s="1" t="s">
        <v>440</v>
      </c>
      <c r="G629" s="1" t="s">
        <v>20</v>
      </c>
      <c r="H629" s="1">
        <v>330000.0</v>
      </c>
      <c r="I629" s="1" t="s">
        <v>14</v>
      </c>
      <c r="J629" s="1" t="s">
        <v>748</v>
      </c>
    </row>
    <row r="630">
      <c r="A630" s="1">
        <v>638.0</v>
      </c>
      <c r="B630" s="2">
        <v>46093.66804398148</v>
      </c>
      <c r="C630" s="1" t="s">
        <v>749</v>
      </c>
      <c r="D630" s="1">
        <v>2.0</v>
      </c>
      <c r="E630" s="1" t="s">
        <v>119</v>
      </c>
      <c r="F630" s="1" t="s">
        <v>440</v>
      </c>
      <c r="G630" s="1" t="s">
        <v>20</v>
      </c>
      <c r="H630" s="1">
        <v>181227.0</v>
      </c>
      <c r="I630" s="1" t="s">
        <v>14</v>
      </c>
      <c r="J630" s="1" t="s">
        <v>25</v>
      </c>
    </row>
    <row r="631">
      <c r="A631" s="1">
        <v>639.0</v>
      </c>
      <c r="B631" s="2">
        <v>46093.70087962963</v>
      </c>
      <c r="C631" s="1" t="s">
        <v>750</v>
      </c>
      <c r="D631" s="1">
        <v>2.0</v>
      </c>
      <c r="E631" s="1" t="s">
        <v>97</v>
      </c>
      <c r="F631" s="1" t="s">
        <v>23</v>
      </c>
      <c r="G631" s="1" t="s">
        <v>20</v>
      </c>
      <c r="H631" s="1">
        <v>385900.0</v>
      </c>
      <c r="I631" s="1" t="s">
        <v>60</v>
      </c>
      <c r="J631" s="1" t="s">
        <v>25</v>
      </c>
    </row>
    <row r="632">
      <c r="A632" s="1">
        <v>640.0</v>
      </c>
      <c r="B632" s="2">
        <v>46093.709965277776</v>
      </c>
      <c r="C632" s="1" t="s">
        <v>750</v>
      </c>
      <c r="D632" s="1">
        <v>2.0</v>
      </c>
      <c r="E632" s="1" t="s">
        <v>97</v>
      </c>
      <c r="F632" s="1" t="s">
        <v>440</v>
      </c>
      <c r="G632" s="1" t="s">
        <v>20</v>
      </c>
      <c r="H632" s="1">
        <v>432650.0</v>
      </c>
      <c r="I632" s="1" t="s">
        <v>60</v>
      </c>
      <c r="J632" s="1" t="s">
        <v>25</v>
      </c>
    </row>
    <row r="633">
      <c r="A633" s="1">
        <v>641.0</v>
      </c>
      <c r="B633" s="2">
        <v>46094.407789351855</v>
      </c>
      <c r="C633" s="1" t="s">
        <v>751</v>
      </c>
      <c r="D633" s="1">
        <v>2.0</v>
      </c>
      <c r="E633" s="1" t="s">
        <v>119</v>
      </c>
      <c r="F633" s="1" t="s">
        <v>440</v>
      </c>
      <c r="G633" s="1" t="s">
        <v>20</v>
      </c>
      <c r="H633" s="1">
        <v>246500.0</v>
      </c>
      <c r="I633" s="1" t="s">
        <v>60</v>
      </c>
      <c r="J633" s="1" t="s">
        <v>752</v>
      </c>
    </row>
    <row r="634">
      <c r="A634" s="1">
        <v>642.0</v>
      </c>
      <c r="B634" s="2">
        <v>46095.5134375</v>
      </c>
      <c r="C634" s="1" t="s">
        <v>753</v>
      </c>
      <c r="D634" s="1">
        <v>2.0</v>
      </c>
      <c r="E634" s="1" t="s">
        <v>97</v>
      </c>
      <c r="F634" s="1" t="s">
        <v>23</v>
      </c>
      <c r="G634" s="1" t="s">
        <v>20</v>
      </c>
      <c r="H634" s="1">
        <v>830000.0</v>
      </c>
      <c r="I634" s="1" t="s">
        <v>14</v>
      </c>
      <c r="J634" s="1" t="s">
        <v>25</v>
      </c>
    </row>
    <row r="635">
      <c r="A635" s="1">
        <v>643.0</v>
      </c>
      <c r="B635" s="2">
        <v>46095.51447916667</v>
      </c>
      <c r="C635" s="1" t="s">
        <v>753</v>
      </c>
      <c r="D635" s="1">
        <v>2.0</v>
      </c>
      <c r="E635" s="1" t="s">
        <v>97</v>
      </c>
      <c r="F635" s="1" t="s">
        <v>440</v>
      </c>
      <c r="G635" s="1" t="s">
        <v>20</v>
      </c>
      <c r="H635" s="1">
        <v>830000.0</v>
      </c>
      <c r="I635" s="1" t="s">
        <v>14</v>
      </c>
      <c r="J635" s="1" t="s">
        <v>25</v>
      </c>
    </row>
    <row r="636">
      <c r="A636" s="1">
        <v>644.0</v>
      </c>
      <c r="B636" s="2">
        <v>46095.53467592593</v>
      </c>
      <c r="C636" s="1" t="s">
        <v>754</v>
      </c>
      <c r="D636" s="1">
        <v>2.0</v>
      </c>
      <c r="E636" s="1" t="s">
        <v>97</v>
      </c>
      <c r="F636" s="1" t="s">
        <v>440</v>
      </c>
      <c r="G636" s="1" t="s">
        <v>20</v>
      </c>
      <c r="H636" s="1">
        <v>830000.0</v>
      </c>
      <c r="I636" s="1" t="s">
        <v>14</v>
      </c>
      <c r="J636" s="1" t="s">
        <v>755</v>
      </c>
    </row>
    <row r="637">
      <c r="A637" s="1">
        <v>645.0</v>
      </c>
      <c r="B637" s="2">
        <v>46095.57811342592</v>
      </c>
      <c r="C637" s="1" t="s">
        <v>756</v>
      </c>
      <c r="D637" s="1">
        <v>2.0</v>
      </c>
      <c r="E637" s="1" t="s">
        <v>97</v>
      </c>
      <c r="F637" s="1" t="s">
        <v>440</v>
      </c>
      <c r="G637" s="1" t="s">
        <v>20</v>
      </c>
      <c r="H637" s="1">
        <v>145000.0</v>
      </c>
      <c r="I637" s="1" t="s">
        <v>14</v>
      </c>
      <c r="J637" s="1" t="s">
        <v>757</v>
      </c>
    </row>
    <row r="638">
      <c r="A638" s="1">
        <v>646.0</v>
      </c>
      <c r="B638" s="2">
        <v>46097.790289351855</v>
      </c>
      <c r="C638" s="1" t="s">
        <v>758</v>
      </c>
      <c r="D638" s="1">
        <v>2.0</v>
      </c>
      <c r="E638" s="1" t="s">
        <v>89</v>
      </c>
      <c r="F638" s="1" t="s">
        <v>440</v>
      </c>
      <c r="G638" s="1" t="s">
        <v>20</v>
      </c>
      <c r="H638" s="1">
        <v>472000.0</v>
      </c>
      <c r="I638" s="1" t="s">
        <v>14</v>
      </c>
      <c r="J638" s="1" t="s">
        <v>25</v>
      </c>
    </row>
    <row r="639">
      <c r="A639" s="1">
        <v>647.0</v>
      </c>
      <c r="B639" s="2">
        <v>46098.67982638889</v>
      </c>
      <c r="C639" s="1" t="s">
        <v>759</v>
      </c>
      <c r="D639" s="1">
        <v>2.0</v>
      </c>
      <c r="E639" s="1" t="s">
        <v>129</v>
      </c>
      <c r="F639" s="1" t="s">
        <v>440</v>
      </c>
      <c r="G639" s="1" t="s">
        <v>13</v>
      </c>
      <c r="H639" s="1">
        <v>265401.0</v>
      </c>
      <c r="I639" s="1" t="s">
        <v>14</v>
      </c>
      <c r="J639" s="1" t="s">
        <v>25</v>
      </c>
    </row>
    <row r="640">
      <c r="A640" s="1">
        <v>648.0</v>
      </c>
      <c r="B640" s="2">
        <v>46099.516180555554</v>
      </c>
      <c r="C640" s="1" t="s">
        <v>760</v>
      </c>
      <c r="D640" s="1">
        <v>2.0</v>
      </c>
      <c r="E640" s="1" t="s">
        <v>89</v>
      </c>
      <c r="F640" s="1" t="s">
        <v>440</v>
      </c>
      <c r="G640" s="1" t="s">
        <v>20</v>
      </c>
      <c r="H640" s="1">
        <v>810000.0</v>
      </c>
      <c r="I640" s="1" t="s">
        <v>14</v>
      </c>
      <c r="J640" s="1" t="s">
        <v>25</v>
      </c>
    </row>
    <row r="641">
      <c r="A641" s="1">
        <v>649.0</v>
      </c>
      <c r="B641" s="2">
        <v>46099.51943287037</v>
      </c>
      <c r="C641" s="1" t="s">
        <v>761</v>
      </c>
      <c r="D641" s="1">
        <v>2.0</v>
      </c>
      <c r="E641" s="1" t="s">
        <v>89</v>
      </c>
      <c r="F641" s="1" t="s">
        <v>440</v>
      </c>
      <c r="G641" s="1" t="s">
        <v>20</v>
      </c>
      <c r="H641" s="1">
        <v>720800.0</v>
      </c>
      <c r="I641" s="1" t="s">
        <v>60</v>
      </c>
      <c r="J641" s="1" t="s">
        <v>762</v>
      </c>
    </row>
    <row r="642">
      <c r="A642" s="1">
        <v>650.0</v>
      </c>
      <c r="B642" s="2">
        <v>46099.54224537037</v>
      </c>
      <c r="C642" s="1" t="s">
        <v>763</v>
      </c>
      <c r="D642" s="1">
        <v>2.0</v>
      </c>
      <c r="E642" s="1" t="s">
        <v>89</v>
      </c>
      <c r="F642" s="1" t="s">
        <v>440</v>
      </c>
      <c r="G642" s="1" t="s">
        <v>20</v>
      </c>
      <c r="H642" s="1">
        <v>271000.0</v>
      </c>
      <c r="I642" s="1" t="s">
        <v>14</v>
      </c>
      <c r="J642" s="1" t="s">
        <v>25</v>
      </c>
    </row>
    <row r="643">
      <c r="A643" s="1">
        <v>651.0</v>
      </c>
      <c r="B643" s="2">
        <v>46099.54420138889</v>
      </c>
      <c r="C643" s="1" t="s">
        <v>764</v>
      </c>
      <c r="D643" s="1">
        <v>2.0</v>
      </c>
      <c r="E643" s="1" t="s">
        <v>89</v>
      </c>
      <c r="F643" s="1" t="s">
        <v>440</v>
      </c>
      <c r="G643" s="1" t="s">
        <v>20</v>
      </c>
      <c r="H643" s="1">
        <v>271000.0</v>
      </c>
      <c r="I643" s="1" t="s">
        <v>14</v>
      </c>
      <c r="J643" s="1" t="s">
        <v>25</v>
      </c>
    </row>
    <row r="644">
      <c r="A644" s="1">
        <v>652.0</v>
      </c>
      <c r="B644" s="2">
        <v>46099.72866898148</v>
      </c>
      <c r="C644" s="1" t="s">
        <v>765</v>
      </c>
      <c r="D644" s="1">
        <v>2.0</v>
      </c>
      <c r="E644" s="1" t="s">
        <v>119</v>
      </c>
      <c r="F644" s="1" t="s">
        <v>440</v>
      </c>
      <c r="G644" s="1" t="s">
        <v>20</v>
      </c>
      <c r="H644" s="1">
        <v>410000.0</v>
      </c>
      <c r="I644" s="1" t="s">
        <v>14</v>
      </c>
      <c r="J644" s="1" t="s">
        <v>766</v>
      </c>
    </row>
    <row r="645">
      <c r="A645" s="1">
        <v>653.0</v>
      </c>
      <c r="B645" s="2">
        <v>46099.73326388889</v>
      </c>
      <c r="C645" s="1" t="s">
        <v>767</v>
      </c>
      <c r="D645" s="1">
        <v>2.0</v>
      </c>
      <c r="E645" s="1" t="s">
        <v>89</v>
      </c>
      <c r="F645" s="1" t="s">
        <v>440</v>
      </c>
      <c r="G645" s="1" t="s">
        <v>20</v>
      </c>
      <c r="H645" s="1">
        <v>65000.0</v>
      </c>
      <c r="I645" s="1" t="s">
        <v>14</v>
      </c>
      <c r="J645" s="1" t="s">
        <v>25</v>
      </c>
    </row>
    <row r="646">
      <c r="A646" s="1">
        <v>654.0</v>
      </c>
      <c r="B646" s="2">
        <v>46099.7896412037</v>
      </c>
      <c r="C646" s="1" t="s">
        <v>768</v>
      </c>
      <c r="D646" s="1">
        <v>1.0</v>
      </c>
      <c r="E646" s="1" t="s">
        <v>78</v>
      </c>
      <c r="F646" s="1" t="s">
        <v>440</v>
      </c>
      <c r="G646" s="1" t="s">
        <v>38</v>
      </c>
      <c r="H646" s="1">
        <v>149000.0</v>
      </c>
      <c r="I646" s="1" t="s">
        <v>14</v>
      </c>
      <c r="J646" s="1" t="s">
        <v>25</v>
      </c>
    </row>
    <row r="647">
      <c r="A647" s="1">
        <v>655.0</v>
      </c>
      <c r="B647" s="2">
        <v>46099.791493055556</v>
      </c>
      <c r="C647" s="1" t="s">
        <v>769</v>
      </c>
      <c r="D647" s="1">
        <v>2.0</v>
      </c>
      <c r="E647" s="1" t="s">
        <v>201</v>
      </c>
      <c r="F647" s="1" t="s">
        <v>440</v>
      </c>
      <c r="G647" s="1" t="s">
        <v>13</v>
      </c>
      <c r="H647" s="1">
        <v>376002.0</v>
      </c>
      <c r="I647" s="1" t="s">
        <v>14</v>
      </c>
      <c r="J647" s="1" t="s">
        <v>25</v>
      </c>
    </row>
    <row r="648">
      <c r="A648" s="1">
        <v>656.0</v>
      </c>
      <c r="B648" s="2">
        <v>46100.74505787037</v>
      </c>
      <c r="C648" s="1" t="s">
        <v>770</v>
      </c>
      <c r="D648" s="1">
        <v>2.0</v>
      </c>
      <c r="E648" s="1" t="s">
        <v>97</v>
      </c>
      <c r="F648" s="1" t="s">
        <v>440</v>
      </c>
      <c r="G648" s="1" t="s">
        <v>20</v>
      </c>
      <c r="H648" s="1">
        <v>990650.51</v>
      </c>
      <c r="I648" s="1" t="s">
        <v>14</v>
      </c>
      <c r="J648" s="1" t="s">
        <v>25</v>
      </c>
    </row>
    <row r="649">
      <c r="A649" s="1">
        <v>657.0</v>
      </c>
      <c r="B649" s="2">
        <v>46100.772048611114</v>
      </c>
      <c r="C649" s="1" t="s">
        <v>771</v>
      </c>
      <c r="D649" s="1">
        <v>2.0</v>
      </c>
      <c r="E649" s="1" t="s">
        <v>83</v>
      </c>
      <c r="F649" s="1" t="s">
        <v>23</v>
      </c>
      <c r="G649" s="1" t="s">
        <v>20</v>
      </c>
      <c r="H649" s="1">
        <v>465000.0</v>
      </c>
      <c r="I649" s="1" t="s">
        <v>14</v>
      </c>
      <c r="J649" s="1" t="s">
        <v>25</v>
      </c>
    </row>
    <row r="650">
      <c r="A650" s="1">
        <v>658.0</v>
      </c>
      <c r="B650" s="2">
        <v>46100.7758912037</v>
      </c>
      <c r="C650" s="1" t="s">
        <v>771</v>
      </c>
      <c r="D650" s="1">
        <v>2.0</v>
      </c>
      <c r="E650" s="1" t="s">
        <v>83</v>
      </c>
      <c r="F650" s="1" t="s">
        <v>440</v>
      </c>
      <c r="G650" s="1" t="s">
        <v>20</v>
      </c>
      <c r="H650" s="1">
        <v>395250.0</v>
      </c>
      <c r="I650" s="1" t="s">
        <v>60</v>
      </c>
      <c r="J650" s="1" t="s">
        <v>25</v>
      </c>
    </row>
    <row r="651">
      <c r="A651" s="1">
        <v>659.0</v>
      </c>
      <c r="B651" s="2">
        <v>46101.438101851854</v>
      </c>
      <c r="C651" s="1" t="s">
        <v>772</v>
      </c>
      <c r="D651" s="1">
        <v>2.0</v>
      </c>
      <c r="E651" s="1" t="s">
        <v>89</v>
      </c>
      <c r="F651" s="1" t="s">
        <v>440</v>
      </c>
      <c r="G651" s="1" t="s">
        <v>20</v>
      </c>
      <c r="H651" s="1">
        <v>231226.0</v>
      </c>
      <c r="I651" s="1" t="s">
        <v>14</v>
      </c>
      <c r="J651" s="1" t="s">
        <v>25</v>
      </c>
    </row>
    <row r="652">
      <c r="A652" s="1">
        <v>660.0</v>
      </c>
      <c r="B652" s="2">
        <v>46102.49626157407</v>
      </c>
      <c r="C652" s="1" t="s">
        <v>773</v>
      </c>
      <c r="D652" s="1">
        <v>2.0</v>
      </c>
      <c r="E652" s="1" t="s">
        <v>78</v>
      </c>
      <c r="F652" s="1" t="s">
        <v>440</v>
      </c>
      <c r="G652" s="1" t="s">
        <v>20</v>
      </c>
      <c r="H652" s="1">
        <v>271000.0</v>
      </c>
      <c r="I652" s="1" t="s">
        <v>14</v>
      </c>
      <c r="J652" s="1" t="s">
        <v>25</v>
      </c>
    </row>
    <row r="653">
      <c r="A653" s="1">
        <v>661.0</v>
      </c>
      <c r="B653" s="2">
        <v>46102.57863425926</v>
      </c>
      <c r="C653" s="1" t="s">
        <v>774</v>
      </c>
      <c r="D653" s="1">
        <v>1.0</v>
      </c>
      <c r="E653" s="1" t="s">
        <v>97</v>
      </c>
      <c r="F653" s="1" t="s">
        <v>23</v>
      </c>
      <c r="G653" s="1" t="s">
        <v>20</v>
      </c>
      <c r="H653" s="1">
        <v>308550.0</v>
      </c>
      <c r="I653" s="1" t="s">
        <v>14</v>
      </c>
      <c r="J653" s="1" t="s">
        <v>25</v>
      </c>
    </row>
    <row r="654">
      <c r="A654" s="1">
        <v>662.0</v>
      </c>
      <c r="B654" s="2">
        <v>46102.59657407407</v>
      </c>
      <c r="C654" s="1" t="s">
        <v>775</v>
      </c>
      <c r="D654" s="1">
        <v>1.0</v>
      </c>
      <c r="E654" s="1" t="s">
        <v>83</v>
      </c>
      <c r="F654" s="1" t="s">
        <v>440</v>
      </c>
      <c r="G654" s="1" t="s">
        <v>20</v>
      </c>
      <c r="H654" s="1">
        <v>204800.0</v>
      </c>
      <c r="I654" s="1" t="s">
        <v>14</v>
      </c>
      <c r="J654" s="1" t="s">
        <v>25</v>
      </c>
    </row>
    <row r="655">
      <c r="A655" s="1">
        <v>663.0</v>
      </c>
      <c r="B655" s="2">
        <v>46102.59787037037</v>
      </c>
      <c r="C655" s="1" t="s">
        <v>585</v>
      </c>
      <c r="D655" s="1">
        <v>2.0</v>
      </c>
      <c r="E655" s="1" t="s">
        <v>119</v>
      </c>
      <c r="F655" s="1" t="s">
        <v>440</v>
      </c>
      <c r="G655" s="1" t="s">
        <v>20</v>
      </c>
      <c r="H655" s="1">
        <v>140000.0</v>
      </c>
      <c r="I655" s="1" t="s">
        <v>14</v>
      </c>
      <c r="J655" s="1" t="s">
        <v>25</v>
      </c>
    </row>
    <row r="656">
      <c r="A656" s="1">
        <v>664.0</v>
      </c>
      <c r="B656" s="2">
        <v>46102.6024537037</v>
      </c>
      <c r="C656" s="1" t="s">
        <v>774</v>
      </c>
      <c r="D656" s="1">
        <v>1.0</v>
      </c>
      <c r="E656" s="1" t="s">
        <v>97</v>
      </c>
      <c r="F656" s="1" t="s">
        <v>440</v>
      </c>
      <c r="G656" s="1" t="s">
        <v>20</v>
      </c>
      <c r="H656" s="1">
        <v>295800.0</v>
      </c>
      <c r="I656" s="1" t="s">
        <v>14</v>
      </c>
      <c r="J656" s="1" t="s">
        <v>776</v>
      </c>
    </row>
    <row r="657">
      <c r="A657" s="1">
        <v>665.0</v>
      </c>
      <c r="B657" s="2">
        <v>46104.49545138889</v>
      </c>
      <c r="C657" s="1" t="s">
        <v>777</v>
      </c>
      <c r="D657" s="1">
        <v>2.0</v>
      </c>
      <c r="E657" s="1" t="s">
        <v>97</v>
      </c>
      <c r="F657" s="1" t="s">
        <v>440</v>
      </c>
      <c r="G657" s="1" t="s">
        <v>20</v>
      </c>
      <c r="H657" s="1">
        <v>1035000.0</v>
      </c>
      <c r="I657" s="1" t="s">
        <v>14</v>
      </c>
      <c r="J657" s="1" t="s">
        <v>778</v>
      </c>
    </row>
    <row r="658">
      <c r="A658" s="1">
        <v>666.0</v>
      </c>
      <c r="B658" s="2">
        <v>46104.49949074074</v>
      </c>
      <c r="C658" s="1" t="s">
        <v>779</v>
      </c>
      <c r="D658" s="1">
        <v>2.0</v>
      </c>
      <c r="E658" s="1" t="s">
        <v>97</v>
      </c>
      <c r="F658" s="1" t="s">
        <v>440</v>
      </c>
      <c r="G658" s="1" t="s">
        <v>20</v>
      </c>
      <c r="H658" s="1">
        <v>1235000.0</v>
      </c>
      <c r="I658" s="1" t="s">
        <v>14</v>
      </c>
      <c r="J658" s="1" t="s">
        <v>25</v>
      </c>
    </row>
    <row r="659">
      <c r="A659" s="1">
        <v>667.0</v>
      </c>
      <c r="B659" s="2">
        <v>46104.72130787037</v>
      </c>
      <c r="C659" s="1" t="s">
        <v>774</v>
      </c>
      <c r="D659" s="1">
        <v>2.0</v>
      </c>
      <c r="E659" s="1" t="s">
        <v>119</v>
      </c>
      <c r="F659" s="1" t="s">
        <v>440</v>
      </c>
      <c r="G659" s="1" t="s">
        <v>20</v>
      </c>
      <c r="H659" s="1">
        <v>180000.0</v>
      </c>
      <c r="I659" s="1" t="s">
        <v>14</v>
      </c>
      <c r="J659" s="1" t="s">
        <v>25</v>
      </c>
    </row>
    <row r="660">
      <c r="A660" s="1">
        <v>668.0</v>
      </c>
      <c r="B660" s="2">
        <v>46106.41614583333</v>
      </c>
      <c r="C660" s="1" t="s">
        <v>780</v>
      </c>
      <c r="D660" s="1">
        <v>2.0</v>
      </c>
      <c r="E660" s="1" t="s">
        <v>201</v>
      </c>
      <c r="F660" s="1" t="s">
        <v>440</v>
      </c>
      <c r="G660" s="1" t="s">
        <v>13</v>
      </c>
      <c r="H660" s="1">
        <v>160000.0</v>
      </c>
      <c r="I660" s="1" t="s">
        <v>14</v>
      </c>
      <c r="J660" s="1" t="s">
        <v>25</v>
      </c>
    </row>
    <row r="661">
      <c r="A661" s="1">
        <v>669.0</v>
      </c>
      <c r="B661" s="2">
        <v>46106.701365740744</v>
      </c>
      <c r="C661" s="1" t="s">
        <v>781</v>
      </c>
      <c r="D661" s="1">
        <v>2.0</v>
      </c>
      <c r="E661" s="1" t="s">
        <v>97</v>
      </c>
      <c r="F661" s="1" t="s">
        <v>440</v>
      </c>
      <c r="G661" s="1" t="s">
        <v>20</v>
      </c>
      <c r="H661" s="1">
        <v>340000.0</v>
      </c>
      <c r="I661" s="1" t="s">
        <v>14</v>
      </c>
      <c r="J661" s="1" t="s">
        <v>25</v>
      </c>
    </row>
    <row r="662">
      <c r="A662" s="1">
        <v>670.0</v>
      </c>
      <c r="B662" s="2">
        <v>46107.48886574074</v>
      </c>
      <c r="C662" s="1" t="s">
        <v>782</v>
      </c>
      <c r="D662" s="1">
        <v>1.0</v>
      </c>
      <c r="E662" s="1" t="s">
        <v>78</v>
      </c>
      <c r="F662" s="1" t="s">
        <v>440</v>
      </c>
      <c r="G662" s="1" t="s">
        <v>20</v>
      </c>
      <c r="H662" s="1">
        <v>173000.0</v>
      </c>
      <c r="I662" s="1" t="s">
        <v>14</v>
      </c>
      <c r="J662" s="1" t="s">
        <v>25</v>
      </c>
    </row>
    <row r="663">
      <c r="A663" s="1">
        <v>671.0</v>
      </c>
      <c r="B663" s="2">
        <v>46108.71680555555</v>
      </c>
      <c r="C663" s="1" t="s">
        <v>783</v>
      </c>
      <c r="D663" s="1">
        <v>2.0</v>
      </c>
      <c r="E663" s="1" t="s">
        <v>97</v>
      </c>
      <c r="F663" s="1" t="s">
        <v>440</v>
      </c>
      <c r="G663" s="1" t="s">
        <v>20</v>
      </c>
      <c r="H663" s="1">
        <v>240000.0</v>
      </c>
      <c r="I663" s="1" t="s">
        <v>14</v>
      </c>
      <c r="J663" s="1" t="s">
        <v>25</v>
      </c>
    </row>
    <row r="664">
      <c r="A664" s="1">
        <v>672.0</v>
      </c>
      <c r="B664" s="2">
        <v>46108.76798611111</v>
      </c>
      <c r="C664" s="1" t="s">
        <v>784</v>
      </c>
      <c r="D664" s="1">
        <v>2.0</v>
      </c>
      <c r="E664" s="1" t="s">
        <v>78</v>
      </c>
      <c r="F664" s="1" t="s">
        <v>440</v>
      </c>
      <c r="G664" s="1" t="s">
        <v>20</v>
      </c>
      <c r="H664" s="1">
        <v>265000.0</v>
      </c>
      <c r="I664" s="1" t="s">
        <v>14</v>
      </c>
      <c r="J664" s="1" t="s">
        <v>25</v>
      </c>
    </row>
    <row r="665">
      <c r="A665" s="1">
        <v>673.0</v>
      </c>
      <c r="B665" s="2">
        <v>46109.4887962963</v>
      </c>
      <c r="C665" s="1" t="s">
        <v>785</v>
      </c>
      <c r="D665" s="1">
        <v>2.0</v>
      </c>
      <c r="E665" s="1" t="s">
        <v>89</v>
      </c>
      <c r="F665" s="1" t="s">
        <v>440</v>
      </c>
      <c r="G665" s="1" t="s">
        <v>20</v>
      </c>
      <c r="H665" s="1">
        <v>320000.0</v>
      </c>
      <c r="I665" s="1" t="s">
        <v>14</v>
      </c>
      <c r="J665" s="1" t="s">
        <v>25</v>
      </c>
    </row>
    <row r="666">
      <c r="A666" s="1">
        <v>674.0</v>
      </c>
      <c r="B666" s="2">
        <v>46109.50833333333</v>
      </c>
      <c r="C666" s="1" t="s">
        <v>786</v>
      </c>
      <c r="D666" s="1">
        <v>2.0</v>
      </c>
      <c r="E666" s="1" t="s">
        <v>201</v>
      </c>
      <c r="F666" s="1" t="s">
        <v>440</v>
      </c>
      <c r="G666" s="1" t="s">
        <v>20</v>
      </c>
      <c r="H666" s="1">
        <v>175000.0</v>
      </c>
      <c r="I666" s="1" t="s">
        <v>14</v>
      </c>
      <c r="J666" s="1" t="s">
        <v>25</v>
      </c>
    </row>
    <row r="667">
      <c r="A667" s="1">
        <v>675.0</v>
      </c>
      <c r="B667" s="2">
        <v>46109.56002314815</v>
      </c>
      <c r="C667" s="1" t="s">
        <v>787</v>
      </c>
      <c r="D667" s="1">
        <v>2.0</v>
      </c>
      <c r="E667" s="1" t="s">
        <v>89</v>
      </c>
      <c r="F667" s="1" t="s">
        <v>440</v>
      </c>
      <c r="G667" s="1" t="s">
        <v>20</v>
      </c>
      <c r="H667" s="1">
        <v>400000.0</v>
      </c>
      <c r="I667" s="1" t="s">
        <v>14</v>
      </c>
      <c r="J667" s="1" t="s">
        <v>788</v>
      </c>
    </row>
    <row r="668">
      <c r="A668" s="1">
        <v>676.0</v>
      </c>
      <c r="B668" s="2">
        <v>46111.732986111114</v>
      </c>
      <c r="C668" s="1" t="s">
        <v>789</v>
      </c>
      <c r="D668" s="1">
        <v>2.0</v>
      </c>
      <c r="E668" s="1" t="s">
        <v>89</v>
      </c>
      <c r="F668" s="1" t="s">
        <v>440</v>
      </c>
      <c r="G668" s="1" t="s">
        <v>20</v>
      </c>
      <c r="H668" s="1">
        <v>250000.0</v>
      </c>
      <c r="I668" s="1" t="s">
        <v>14</v>
      </c>
      <c r="J668" s="1" t="s">
        <v>25</v>
      </c>
    </row>
    <row r="669">
      <c r="A669" s="1">
        <v>677.0</v>
      </c>
      <c r="B669" s="2">
        <v>46112.54255787037</v>
      </c>
      <c r="C669" s="1" t="s">
        <v>790</v>
      </c>
      <c r="D669" s="1">
        <v>2.0</v>
      </c>
      <c r="E669" s="1" t="s">
        <v>97</v>
      </c>
      <c r="F669" s="1" t="s">
        <v>440</v>
      </c>
      <c r="G669" s="1" t="s">
        <v>20</v>
      </c>
      <c r="H669" s="1">
        <v>822000.0</v>
      </c>
      <c r="I669" s="1" t="s">
        <v>14</v>
      </c>
      <c r="J669" s="1" t="s">
        <v>25</v>
      </c>
    </row>
    <row r="670">
      <c r="A670" s="1">
        <v>678.0</v>
      </c>
      <c r="B670" s="2">
        <v>46112.686377314814</v>
      </c>
      <c r="C670" s="1" t="s">
        <v>791</v>
      </c>
      <c r="D670" s="1">
        <v>2.0</v>
      </c>
      <c r="E670" s="1" t="s">
        <v>83</v>
      </c>
      <c r="F670" s="1" t="s">
        <v>440</v>
      </c>
      <c r="G670" s="1" t="s">
        <v>20</v>
      </c>
      <c r="H670" s="1">
        <v>660000.0</v>
      </c>
      <c r="I670" s="1" t="s">
        <v>14</v>
      </c>
      <c r="J670" s="1" t="s">
        <v>25</v>
      </c>
    </row>
    <row r="671">
      <c r="A671" s="1">
        <v>679.0</v>
      </c>
      <c r="B671" s="2">
        <v>46112.705104166664</v>
      </c>
      <c r="C671" s="1" t="s">
        <v>792</v>
      </c>
      <c r="D671" s="1">
        <v>2.0</v>
      </c>
      <c r="E671" s="1" t="s">
        <v>89</v>
      </c>
      <c r="F671" s="1" t="s">
        <v>440</v>
      </c>
      <c r="G671" s="1" t="s">
        <v>20</v>
      </c>
      <c r="H671" s="1">
        <v>192100.0</v>
      </c>
      <c r="I671" s="1" t="s">
        <v>60</v>
      </c>
      <c r="J671" s="1" t="s">
        <v>25</v>
      </c>
    </row>
    <row r="672">
      <c r="A672" s="1">
        <v>680.0</v>
      </c>
      <c r="B672" s="2">
        <v>46113.48056712963</v>
      </c>
      <c r="C672" s="1" t="s">
        <v>793</v>
      </c>
      <c r="D672" s="1">
        <v>2.0</v>
      </c>
      <c r="E672" s="1" t="s">
        <v>119</v>
      </c>
      <c r="F672" s="1" t="s">
        <v>440</v>
      </c>
      <c r="G672" s="1" t="s">
        <v>20</v>
      </c>
      <c r="H672" s="1">
        <v>230000.0</v>
      </c>
      <c r="I672" s="1" t="s">
        <v>14</v>
      </c>
      <c r="J672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38"/>
  </cols>
  <sheetData>
    <row r="1">
      <c r="A1" s="1" t="s">
        <v>794</v>
      </c>
      <c r="B1" s="1" t="s">
        <v>795</v>
      </c>
      <c r="C1" s="1" t="s">
        <v>796</v>
      </c>
      <c r="D1" s="1" t="s">
        <v>797</v>
      </c>
      <c r="E1" s="1" t="s">
        <v>798</v>
      </c>
      <c r="F1" s="1" t="s">
        <v>799</v>
      </c>
      <c r="G1" s="1" t="s">
        <v>800</v>
      </c>
      <c r="H1" s="1" t="s">
        <v>801</v>
      </c>
      <c r="I1" s="1" t="s">
        <v>802</v>
      </c>
      <c r="J1" s="1" t="s">
        <v>803</v>
      </c>
      <c r="K1" s="1" t="s">
        <v>804</v>
      </c>
      <c r="L1" s="1" t="s">
        <v>805</v>
      </c>
    </row>
    <row r="2">
      <c r="A2" s="1">
        <v>10.0</v>
      </c>
      <c r="B2" s="1" t="s">
        <v>806</v>
      </c>
      <c r="C2" s="1" t="s">
        <v>807</v>
      </c>
      <c r="D2" s="1" t="s">
        <v>808</v>
      </c>
      <c r="E2" s="1">
        <v>-1.25</v>
      </c>
      <c r="F2" s="1">
        <v>-0.25</v>
      </c>
      <c r="G2" s="1">
        <v>115.0</v>
      </c>
      <c r="H2" s="1" t="s">
        <v>809</v>
      </c>
      <c r="I2" s="1">
        <v>30.0</v>
      </c>
      <c r="J2" s="1">
        <v>27.0</v>
      </c>
      <c r="K2" s="1">
        <v>1.0</v>
      </c>
      <c r="L2" s="1">
        <v>16500.0</v>
      </c>
    </row>
    <row r="3">
      <c r="A3" s="1">
        <v>10.0</v>
      </c>
      <c r="B3" s="1" t="s">
        <v>806</v>
      </c>
      <c r="C3" s="1" t="s">
        <v>810</v>
      </c>
      <c r="D3" s="1" t="s">
        <v>808</v>
      </c>
      <c r="E3" s="1">
        <v>-1.25</v>
      </c>
      <c r="F3" s="1">
        <v>-0.25</v>
      </c>
      <c r="G3" s="1">
        <v>35.0</v>
      </c>
      <c r="H3" s="1" t="s">
        <v>809</v>
      </c>
      <c r="I3" s="1">
        <v>31.0</v>
      </c>
      <c r="J3" s="1">
        <v>27.0</v>
      </c>
      <c r="K3" s="1">
        <v>1.0</v>
      </c>
      <c r="L3" s="1">
        <v>16500.0</v>
      </c>
    </row>
    <row r="4">
      <c r="A4" s="1">
        <v>10.0</v>
      </c>
      <c r="B4" s="1" t="s">
        <v>806</v>
      </c>
      <c r="C4" s="1" t="s">
        <v>809</v>
      </c>
      <c r="D4" s="1" t="s">
        <v>811</v>
      </c>
      <c r="E4" s="1" t="s">
        <v>809</v>
      </c>
      <c r="F4" s="1" t="s">
        <v>809</v>
      </c>
      <c r="G4" s="1" t="s">
        <v>809</v>
      </c>
      <c r="H4" s="1" t="s">
        <v>809</v>
      </c>
      <c r="I4" s="1" t="s">
        <v>809</v>
      </c>
      <c r="J4" s="1" t="s">
        <v>809</v>
      </c>
      <c r="K4" s="1">
        <v>1.0</v>
      </c>
      <c r="L4" s="1">
        <v>136000.13</v>
      </c>
    </row>
    <row r="5">
      <c r="A5" s="1">
        <v>11.0</v>
      </c>
      <c r="B5" s="1" t="s">
        <v>806</v>
      </c>
      <c r="C5" s="1" t="s">
        <v>807</v>
      </c>
      <c r="D5" s="1" t="s">
        <v>812</v>
      </c>
      <c r="E5" s="1">
        <v>-1.25</v>
      </c>
      <c r="F5" s="1">
        <v>-0.25</v>
      </c>
      <c r="G5" s="1">
        <v>115.0</v>
      </c>
      <c r="H5" s="1" t="s">
        <v>809</v>
      </c>
      <c r="I5" s="1">
        <v>30.0</v>
      </c>
      <c r="J5" s="1">
        <v>27.0</v>
      </c>
      <c r="K5" s="1">
        <v>1.0</v>
      </c>
      <c r="L5" s="1">
        <v>27500.0</v>
      </c>
    </row>
    <row r="6">
      <c r="A6" s="1">
        <v>11.0</v>
      </c>
      <c r="B6" s="1" t="s">
        <v>806</v>
      </c>
      <c r="C6" s="1" t="s">
        <v>810</v>
      </c>
      <c r="D6" s="1" t="s">
        <v>812</v>
      </c>
      <c r="E6" s="1">
        <v>-1.25</v>
      </c>
      <c r="F6" s="1">
        <v>-0.25</v>
      </c>
      <c r="G6" s="1">
        <v>35.0</v>
      </c>
      <c r="H6" s="1" t="s">
        <v>809</v>
      </c>
      <c r="I6" s="1">
        <v>31.0</v>
      </c>
      <c r="J6" s="1">
        <v>27.0</v>
      </c>
      <c r="K6" s="1">
        <v>1.0</v>
      </c>
      <c r="L6" s="1">
        <v>27500.0</v>
      </c>
    </row>
    <row r="7">
      <c r="A7" s="1">
        <v>12.0</v>
      </c>
      <c r="B7" s="1" t="s">
        <v>806</v>
      </c>
      <c r="C7" s="1" t="s">
        <v>807</v>
      </c>
      <c r="D7" s="1" t="s">
        <v>812</v>
      </c>
      <c r="E7" s="1">
        <v>0.75</v>
      </c>
      <c r="F7" s="1">
        <v>-3.25</v>
      </c>
      <c r="G7" s="1">
        <v>10.0</v>
      </c>
      <c r="H7" s="1" t="s">
        <v>809</v>
      </c>
      <c r="I7" s="1">
        <v>32.0</v>
      </c>
      <c r="J7" s="1">
        <v>27.0</v>
      </c>
      <c r="K7" s="1">
        <v>1.0</v>
      </c>
      <c r="L7" s="1">
        <v>27769.5</v>
      </c>
    </row>
    <row r="8">
      <c r="A8" s="1">
        <v>12.0</v>
      </c>
      <c r="B8" s="1" t="s">
        <v>806</v>
      </c>
      <c r="C8" s="1" t="s">
        <v>810</v>
      </c>
      <c r="D8" s="1" t="s">
        <v>812</v>
      </c>
      <c r="E8" s="1">
        <v>0.0</v>
      </c>
      <c r="F8" s="1">
        <v>-2.0</v>
      </c>
      <c r="G8" s="1">
        <v>175.0</v>
      </c>
      <c r="H8" s="1" t="s">
        <v>809</v>
      </c>
      <c r="I8" s="1">
        <v>31.0</v>
      </c>
      <c r="J8" s="1">
        <v>27.0</v>
      </c>
      <c r="K8" s="1">
        <v>1.0</v>
      </c>
      <c r="L8" s="1">
        <v>27769.5</v>
      </c>
    </row>
    <row r="9">
      <c r="A9" s="1">
        <v>12.0</v>
      </c>
      <c r="B9" s="1" t="s">
        <v>806</v>
      </c>
      <c r="C9" s="1" t="s">
        <v>809</v>
      </c>
      <c r="D9" s="1" t="s">
        <v>813</v>
      </c>
      <c r="E9" s="1" t="s">
        <v>809</v>
      </c>
      <c r="F9" s="1" t="s">
        <v>809</v>
      </c>
      <c r="G9" s="1" t="s">
        <v>809</v>
      </c>
      <c r="H9" s="1" t="s">
        <v>809</v>
      </c>
      <c r="I9" s="1" t="s">
        <v>809</v>
      </c>
      <c r="J9" s="1" t="s">
        <v>809</v>
      </c>
      <c r="K9" s="1">
        <v>1.0</v>
      </c>
      <c r="L9" s="1">
        <v>136800.0</v>
      </c>
    </row>
    <row r="10">
      <c r="A10" s="1">
        <v>13.0</v>
      </c>
      <c r="B10" s="1" t="s">
        <v>806</v>
      </c>
      <c r="C10" s="1" t="s">
        <v>807</v>
      </c>
      <c r="D10" s="1" t="s">
        <v>808</v>
      </c>
      <c r="E10" s="1">
        <v>-2.5</v>
      </c>
      <c r="F10" s="1">
        <v>-0.5</v>
      </c>
      <c r="G10" s="1">
        <v>55.0</v>
      </c>
      <c r="H10" s="1" t="s">
        <v>809</v>
      </c>
      <c r="I10" s="1">
        <v>32.0</v>
      </c>
      <c r="J10" s="1">
        <v>26.0</v>
      </c>
      <c r="K10" s="1">
        <v>1.0</v>
      </c>
      <c r="L10" s="1">
        <v>20000.0</v>
      </c>
    </row>
    <row r="11">
      <c r="A11" s="1">
        <v>13.0</v>
      </c>
      <c r="B11" s="1" t="s">
        <v>806</v>
      </c>
      <c r="C11" s="1" t="s">
        <v>810</v>
      </c>
      <c r="D11" s="1" t="s">
        <v>808</v>
      </c>
      <c r="E11" s="1">
        <v>-2.5</v>
      </c>
      <c r="F11" s="1">
        <v>-0.5</v>
      </c>
      <c r="G11" s="1">
        <v>125.0</v>
      </c>
      <c r="H11" s="1" t="s">
        <v>809</v>
      </c>
      <c r="I11" s="1">
        <v>32.0</v>
      </c>
      <c r="J11" s="1">
        <v>26.0</v>
      </c>
      <c r="K11" s="1">
        <v>1.0</v>
      </c>
      <c r="L11" s="1">
        <v>20000.0</v>
      </c>
    </row>
    <row r="12">
      <c r="A12" s="1">
        <v>13.0</v>
      </c>
      <c r="B12" s="1" t="s">
        <v>806</v>
      </c>
      <c r="C12" s="1" t="s">
        <v>809</v>
      </c>
      <c r="D12" s="1" t="s">
        <v>814</v>
      </c>
      <c r="E12" s="1" t="s">
        <v>809</v>
      </c>
      <c r="F12" s="1" t="s">
        <v>809</v>
      </c>
      <c r="G12" s="1" t="s">
        <v>809</v>
      </c>
      <c r="H12" s="1" t="s">
        <v>809</v>
      </c>
      <c r="I12" s="1" t="s">
        <v>809</v>
      </c>
      <c r="J12" s="1" t="s">
        <v>809</v>
      </c>
      <c r="K12" s="1">
        <v>1.0</v>
      </c>
      <c r="L12" s="1">
        <v>90000.0</v>
      </c>
    </row>
    <row r="13">
      <c r="A13" s="1">
        <v>14.0</v>
      </c>
      <c r="B13" s="1" t="s">
        <v>806</v>
      </c>
      <c r="C13" s="1" t="s">
        <v>807</v>
      </c>
      <c r="D13" s="1" t="s">
        <v>815</v>
      </c>
      <c r="E13" s="1">
        <v>-1.5</v>
      </c>
      <c r="F13" s="1">
        <v>0.0</v>
      </c>
      <c r="G13" s="1" t="s">
        <v>809</v>
      </c>
      <c r="H13" s="1">
        <v>2.5</v>
      </c>
      <c r="I13" s="1">
        <v>31.0</v>
      </c>
      <c r="J13" s="1">
        <v>28.0</v>
      </c>
      <c r="K13" s="1">
        <v>1.0</v>
      </c>
      <c r="L13" s="1">
        <v>530246.85</v>
      </c>
    </row>
    <row r="14">
      <c r="A14" s="1">
        <v>14.0</v>
      </c>
      <c r="B14" s="1" t="s">
        <v>806</v>
      </c>
      <c r="C14" s="1" t="s">
        <v>810</v>
      </c>
      <c r="D14" s="1" t="s">
        <v>815</v>
      </c>
      <c r="E14" s="1">
        <v>-1.5</v>
      </c>
      <c r="F14" s="1">
        <v>0.0</v>
      </c>
      <c r="G14" s="1" t="s">
        <v>809</v>
      </c>
      <c r="H14" s="1">
        <v>2.5</v>
      </c>
      <c r="I14" s="1">
        <v>33.0</v>
      </c>
      <c r="J14" s="1">
        <v>28.0</v>
      </c>
      <c r="K14" s="1">
        <v>1.0</v>
      </c>
      <c r="L14" s="1">
        <v>530246.85</v>
      </c>
    </row>
    <row r="15">
      <c r="A15" s="1">
        <v>14.0</v>
      </c>
      <c r="B15" s="1" t="s">
        <v>806</v>
      </c>
      <c r="C15" s="1" t="s">
        <v>809</v>
      </c>
      <c r="D15" s="1" t="s">
        <v>816</v>
      </c>
      <c r="E15" s="1" t="s">
        <v>809</v>
      </c>
      <c r="F15" s="1" t="s">
        <v>809</v>
      </c>
      <c r="G15" s="1" t="s">
        <v>809</v>
      </c>
      <c r="H15" s="1" t="s">
        <v>809</v>
      </c>
      <c r="I15" s="1" t="s">
        <v>809</v>
      </c>
      <c r="J15" s="1" t="s">
        <v>809</v>
      </c>
      <c r="K15" s="1">
        <v>1.0</v>
      </c>
      <c r="L15" s="1">
        <v>0.0</v>
      </c>
    </row>
    <row r="16">
      <c r="A16" s="1">
        <v>15.0</v>
      </c>
      <c r="B16" s="1" t="s">
        <v>806</v>
      </c>
      <c r="C16" s="1" t="s">
        <v>807</v>
      </c>
      <c r="D16" s="1" t="s">
        <v>817</v>
      </c>
      <c r="E16" s="1">
        <v>-1.5</v>
      </c>
      <c r="F16" s="1">
        <v>0.0</v>
      </c>
      <c r="G16" s="1" t="s">
        <v>809</v>
      </c>
      <c r="H16" s="1">
        <v>2.5</v>
      </c>
      <c r="I16" s="1">
        <v>33.0</v>
      </c>
      <c r="J16" s="1" t="s">
        <v>809</v>
      </c>
      <c r="K16" s="1">
        <v>1.0</v>
      </c>
      <c r="L16" s="1">
        <v>0.0</v>
      </c>
    </row>
    <row r="17">
      <c r="A17" s="1">
        <v>15.0</v>
      </c>
      <c r="B17" s="1" t="s">
        <v>806</v>
      </c>
      <c r="C17" s="1" t="s">
        <v>810</v>
      </c>
      <c r="D17" s="1" t="s">
        <v>817</v>
      </c>
      <c r="E17" s="1">
        <v>-1.5</v>
      </c>
      <c r="F17" s="1">
        <v>0.0</v>
      </c>
      <c r="G17" s="1" t="s">
        <v>809</v>
      </c>
      <c r="H17" s="1">
        <v>2.5</v>
      </c>
      <c r="I17" s="1">
        <v>31.0</v>
      </c>
      <c r="J17" s="1" t="s">
        <v>809</v>
      </c>
      <c r="K17" s="1">
        <v>1.0</v>
      </c>
      <c r="L17" s="1">
        <v>0.0</v>
      </c>
    </row>
    <row r="18">
      <c r="A18" s="1">
        <v>15.0</v>
      </c>
      <c r="B18" s="1" t="s">
        <v>806</v>
      </c>
      <c r="C18" s="1" t="s">
        <v>809</v>
      </c>
      <c r="D18" s="1">
        <v>83131.0</v>
      </c>
      <c r="E18" s="1" t="s">
        <v>809</v>
      </c>
      <c r="F18" s="1" t="s">
        <v>809</v>
      </c>
      <c r="G18" s="1" t="s">
        <v>809</v>
      </c>
      <c r="H18" s="1" t="s">
        <v>809</v>
      </c>
      <c r="I18" s="1" t="s">
        <v>809</v>
      </c>
      <c r="J18" s="1" t="s">
        <v>809</v>
      </c>
      <c r="K18" s="1">
        <v>1.0</v>
      </c>
      <c r="L18" s="1">
        <v>126000.0</v>
      </c>
    </row>
    <row r="19">
      <c r="A19" s="1">
        <v>15.0</v>
      </c>
      <c r="B19" s="1" t="s">
        <v>806</v>
      </c>
      <c r="C19" s="1" t="s">
        <v>809</v>
      </c>
      <c r="D19" s="1" t="s">
        <v>818</v>
      </c>
      <c r="E19" s="1" t="s">
        <v>809</v>
      </c>
      <c r="F19" s="1" t="s">
        <v>809</v>
      </c>
      <c r="G19" s="1" t="s">
        <v>809</v>
      </c>
      <c r="H19" s="1" t="s">
        <v>809</v>
      </c>
      <c r="I19" s="1" t="s">
        <v>809</v>
      </c>
      <c r="J19" s="1" t="s">
        <v>809</v>
      </c>
      <c r="K19" s="1">
        <v>1.0</v>
      </c>
      <c r="L19" s="1">
        <v>126000.0</v>
      </c>
    </row>
    <row r="20">
      <c r="A20" s="1">
        <v>16.0</v>
      </c>
      <c r="B20" s="1" t="s">
        <v>806</v>
      </c>
      <c r="C20" s="1" t="s">
        <v>807</v>
      </c>
      <c r="D20" s="1" t="s">
        <v>815</v>
      </c>
      <c r="E20" s="1">
        <v>-1.5</v>
      </c>
      <c r="F20" s="1">
        <v>0.0</v>
      </c>
      <c r="G20" s="1" t="s">
        <v>809</v>
      </c>
      <c r="H20" s="1">
        <v>2.5</v>
      </c>
      <c r="I20" s="1" t="s">
        <v>809</v>
      </c>
      <c r="J20" s="1" t="s">
        <v>809</v>
      </c>
      <c r="K20" s="1">
        <v>1.0</v>
      </c>
      <c r="L20" s="1">
        <v>530246.85</v>
      </c>
    </row>
    <row r="21">
      <c r="A21" s="1">
        <v>16.0</v>
      </c>
      <c r="B21" s="1" t="s">
        <v>806</v>
      </c>
      <c r="C21" s="1" t="s">
        <v>810</v>
      </c>
      <c r="D21" s="1" t="s">
        <v>815</v>
      </c>
      <c r="E21" s="1">
        <v>-1.5</v>
      </c>
      <c r="F21" s="1">
        <v>0.0</v>
      </c>
      <c r="G21" s="1" t="s">
        <v>809</v>
      </c>
      <c r="H21" s="1">
        <v>2.5</v>
      </c>
      <c r="I21" s="1" t="s">
        <v>809</v>
      </c>
      <c r="J21" s="1" t="s">
        <v>809</v>
      </c>
      <c r="K21" s="1">
        <v>1.0</v>
      </c>
      <c r="L21" s="1">
        <v>530246.85</v>
      </c>
    </row>
    <row r="22">
      <c r="A22" s="1">
        <v>16.0</v>
      </c>
      <c r="B22" s="1" t="s">
        <v>806</v>
      </c>
      <c r="C22" s="1" t="s">
        <v>809</v>
      </c>
      <c r="D22" s="1">
        <v>83131.0</v>
      </c>
      <c r="E22" s="1" t="s">
        <v>809</v>
      </c>
      <c r="F22" s="1" t="s">
        <v>809</v>
      </c>
      <c r="G22" s="1" t="s">
        <v>809</v>
      </c>
      <c r="H22" s="1" t="s">
        <v>809</v>
      </c>
      <c r="I22" s="1" t="s">
        <v>809</v>
      </c>
      <c r="J22" s="1" t="s">
        <v>809</v>
      </c>
      <c r="K22" s="1">
        <v>1.0</v>
      </c>
      <c r="L22" s="1">
        <v>126000.0</v>
      </c>
    </row>
    <row r="23">
      <c r="A23" s="1">
        <v>17.0</v>
      </c>
      <c r="B23" s="1" t="s">
        <v>806</v>
      </c>
      <c r="C23" s="1" t="s">
        <v>807</v>
      </c>
      <c r="D23" s="1" t="s">
        <v>815</v>
      </c>
      <c r="E23" s="1">
        <v>-1.5</v>
      </c>
      <c r="F23" s="1">
        <v>0.0</v>
      </c>
      <c r="G23" s="1" t="s">
        <v>809</v>
      </c>
      <c r="H23" s="1">
        <v>2.5</v>
      </c>
      <c r="I23" s="1">
        <v>31.0</v>
      </c>
      <c r="J23" s="1">
        <v>27.0</v>
      </c>
      <c r="K23" s="1">
        <v>1.0</v>
      </c>
      <c r="L23" s="1">
        <v>442500.0</v>
      </c>
    </row>
    <row r="24">
      <c r="A24" s="1">
        <v>17.0</v>
      </c>
      <c r="B24" s="1" t="s">
        <v>806</v>
      </c>
      <c r="C24" s="1" t="s">
        <v>810</v>
      </c>
      <c r="D24" s="1" t="s">
        <v>815</v>
      </c>
      <c r="E24" s="1">
        <v>-1.5</v>
      </c>
      <c r="F24" s="1">
        <v>0.0</v>
      </c>
      <c r="G24" s="1" t="s">
        <v>809</v>
      </c>
      <c r="H24" s="1">
        <v>2.5</v>
      </c>
      <c r="I24" s="1">
        <v>32.0</v>
      </c>
      <c r="J24" s="1">
        <v>27.0</v>
      </c>
      <c r="K24" s="1">
        <v>1.0</v>
      </c>
      <c r="L24" s="1">
        <v>442500.0</v>
      </c>
    </row>
    <row r="25">
      <c r="A25" s="1">
        <v>17.0</v>
      </c>
      <c r="B25" s="1" t="s">
        <v>806</v>
      </c>
      <c r="C25" s="1" t="s">
        <v>809</v>
      </c>
      <c r="D25" s="1">
        <v>83131.0</v>
      </c>
      <c r="E25" s="1" t="s">
        <v>809</v>
      </c>
      <c r="F25" s="1" t="s">
        <v>809</v>
      </c>
      <c r="G25" s="1" t="s">
        <v>809</v>
      </c>
      <c r="H25" s="1" t="s">
        <v>809</v>
      </c>
      <c r="I25" s="1" t="s">
        <v>809</v>
      </c>
      <c r="J25" s="1" t="s">
        <v>809</v>
      </c>
      <c r="K25" s="1">
        <v>1.0</v>
      </c>
      <c r="L25" s="1">
        <v>0.0</v>
      </c>
    </row>
    <row r="26">
      <c r="A26" s="1">
        <v>18.0</v>
      </c>
      <c r="B26" s="1" t="s">
        <v>806</v>
      </c>
      <c r="C26" s="1" t="s">
        <v>807</v>
      </c>
      <c r="D26" s="1" t="s">
        <v>815</v>
      </c>
      <c r="E26" s="1">
        <v>-1.5</v>
      </c>
      <c r="F26" s="1">
        <v>0.0</v>
      </c>
      <c r="G26" s="1" t="s">
        <v>809</v>
      </c>
      <c r="H26" s="1">
        <v>2.5</v>
      </c>
      <c r="I26" s="1" t="s">
        <v>809</v>
      </c>
      <c r="J26" s="1" t="s">
        <v>809</v>
      </c>
      <c r="K26" s="1">
        <v>1.0</v>
      </c>
      <c r="L26" s="1">
        <v>530246.85</v>
      </c>
    </row>
    <row r="27">
      <c r="A27" s="1">
        <v>18.0</v>
      </c>
      <c r="B27" s="1" t="s">
        <v>806</v>
      </c>
      <c r="C27" s="1" t="s">
        <v>810</v>
      </c>
      <c r="D27" s="1" t="s">
        <v>815</v>
      </c>
      <c r="E27" s="1">
        <v>-1.5</v>
      </c>
      <c r="F27" s="1">
        <v>0.0</v>
      </c>
      <c r="G27" s="1" t="s">
        <v>809</v>
      </c>
      <c r="H27" s="1">
        <v>2.5</v>
      </c>
      <c r="I27" s="1" t="s">
        <v>809</v>
      </c>
      <c r="J27" s="1" t="s">
        <v>809</v>
      </c>
      <c r="K27" s="1">
        <v>1.0</v>
      </c>
      <c r="L27" s="1">
        <v>530246.85</v>
      </c>
    </row>
    <row r="28">
      <c r="A28" s="1">
        <v>18.0</v>
      </c>
      <c r="B28" s="1" t="s">
        <v>806</v>
      </c>
      <c r="C28" s="1" t="s">
        <v>809</v>
      </c>
      <c r="D28" s="1">
        <v>83131.0</v>
      </c>
      <c r="E28" s="1" t="s">
        <v>809</v>
      </c>
      <c r="F28" s="1" t="s">
        <v>809</v>
      </c>
      <c r="G28" s="1" t="s">
        <v>809</v>
      </c>
      <c r="H28" s="1" t="s">
        <v>809</v>
      </c>
      <c r="I28" s="1" t="s">
        <v>809</v>
      </c>
      <c r="J28" s="1" t="s">
        <v>809</v>
      </c>
      <c r="K28" s="1">
        <v>1.0</v>
      </c>
      <c r="L28" s="1">
        <v>126000.0</v>
      </c>
    </row>
    <row r="29">
      <c r="A29" s="1">
        <v>19.0</v>
      </c>
      <c r="B29" s="1" t="s">
        <v>806</v>
      </c>
      <c r="C29" s="1" t="s">
        <v>807</v>
      </c>
      <c r="D29" s="1" t="s">
        <v>817</v>
      </c>
      <c r="E29" s="1">
        <v>-1.5</v>
      </c>
      <c r="F29" s="1">
        <v>0.0</v>
      </c>
      <c r="G29" s="1" t="s">
        <v>809</v>
      </c>
      <c r="H29" s="1">
        <v>2.5</v>
      </c>
      <c r="I29" s="1" t="s">
        <v>809</v>
      </c>
      <c r="J29" s="1" t="s">
        <v>809</v>
      </c>
      <c r="K29" s="1">
        <v>1.0</v>
      </c>
      <c r="L29" s="1">
        <v>37500.0</v>
      </c>
    </row>
    <row r="30">
      <c r="A30" s="1">
        <v>19.0</v>
      </c>
      <c r="B30" s="1" t="s">
        <v>806</v>
      </c>
      <c r="C30" s="1" t="s">
        <v>810</v>
      </c>
      <c r="D30" s="1" t="s">
        <v>817</v>
      </c>
      <c r="E30" s="1">
        <v>-1.5</v>
      </c>
      <c r="F30" s="1">
        <v>0.0</v>
      </c>
      <c r="G30" s="1" t="s">
        <v>809</v>
      </c>
      <c r="H30" s="1">
        <v>2.5</v>
      </c>
      <c r="I30" s="1" t="s">
        <v>809</v>
      </c>
      <c r="J30" s="1" t="s">
        <v>809</v>
      </c>
      <c r="K30" s="1">
        <v>1.0</v>
      </c>
      <c r="L30" s="1">
        <v>37500.0</v>
      </c>
    </row>
    <row r="31">
      <c r="A31" s="1">
        <v>19.0</v>
      </c>
      <c r="B31" s="1" t="s">
        <v>806</v>
      </c>
      <c r="C31" s="1" t="s">
        <v>809</v>
      </c>
      <c r="D31" s="1" t="s">
        <v>818</v>
      </c>
      <c r="E31" s="1" t="s">
        <v>809</v>
      </c>
      <c r="F31" s="1" t="s">
        <v>809</v>
      </c>
      <c r="G31" s="1" t="s">
        <v>809</v>
      </c>
      <c r="H31" s="1" t="s">
        <v>809</v>
      </c>
      <c r="I31" s="1" t="s">
        <v>809</v>
      </c>
      <c r="J31" s="1" t="s">
        <v>809</v>
      </c>
      <c r="K31" s="1">
        <v>1.0</v>
      </c>
      <c r="L31" s="1">
        <v>126000.0</v>
      </c>
    </row>
    <row r="32">
      <c r="A32" s="1">
        <v>20.0</v>
      </c>
      <c r="B32" s="1" t="s">
        <v>806</v>
      </c>
      <c r="C32" s="1" t="s">
        <v>807</v>
      </c>
      <c r="D32" s="1" t="s">
        <v>819</v>
      </c>
      <c r="E32" s="1">
        <v>3.75</v>
      </c>
      <c r="F32" s="1">
        <v>-3.5</v>
      </c>
      <c r="G32" s="1">
        <v>30.0</v>
      </c>
      <c r="H32" s="1">
        <v>2.5</v>
      </c>
      <c r="I32" s="1">
        <v>30.0</v>
      </c>
      <c r="J32" s="1">
        <v>17.0</v>
      </c>
      <c r="K32" s="1">
        <v>1.0</v>
      </c>
      <c r="L32" s="1">
        <v>56185.14</v>
      </c>
    </row>
    <row r="33">
      <c r="A33" s="1">
        <v>20.0</v>
      </c>
      <c r="B33" s="1" t="s">
        <v>806</v>
      </c>
      <c r="C33" s="1" t="s">
        <v>810</v>
      </c>
      <c r="D33" s="1" t="s">
        <v>819</v>
      </c>
      <c r="E33" s="1">
        <v>3.25</v>
      </c>
      <c r="F33" s="1">
        <v>-0.75</v>
      </c>
      <c r="G33" s="1">
        <v>65.0</v>
      </c>
      <c r="H33" s="1">
        <v>2.5</v>
      </c>
      <c r="I33" s="1">
        <v>31.0</v>
      </c>
      <c r="J33" s="1">
        <v>17.0</v>
      </c>
      <c r="K33" s="1">
        <v>1.0</v>
      </c>
      <c r="L33" s="1">
        <v>56185.14</v>
      </c>
    </row>
    <row r="34">
      <c r="A34" s="1">
        <v>21.0</v>
      </c>
      <c r="B34" s="1" t="s">
        <v>809</v>
      </c>
      <c r="C34" s="1" t="s">
        <v>809</v>
      </c>
      <c r="D34" s="1" t="s">
        <v>814</v>
      </c>
      <c r="E34" s="1" t="s">
        <v>809</v>
      </c>
      <c r="F34" s="1" t="s">
        <v>809</v>
      </c>
      <c r="G34" s="1" t="s">
        <v>809</v>
      </c>
      <c r="H34" s="1" t="s">
        <v>809</v>
      </c>
      <c r="I34" s="1" t="s">
        <v>809</v>
      </c>
      <c r="J34" s="1" t="s">
        <v>809</v>
      </c>
      <c r="K34" s="1">
        <v>1.0</v>
      </c>
      <c r="L34" s="1">
        <v>120000.0</v>
      </c>
    </row>
    <row r="35">
      <c r="A35" s="1">
        <v>22.0</v>
      </c>
      <c r="B35" s="1" t="s">
        <v>806</v>
      </c>
      <c r="C35" s="1" t="s">
        <v>807</v>
      </c>
      <c r="D35" s="1" t="s">
        <v>820</v>
      </c>
      <c r="E35" s="1">
        <v>1.25</v>
      </c>
      <c r="F35" s="1">
        <v>-1.5</v>
      </c>
      <c r="G35" s="1">
        <v>85.0</v>
      </c>
      <c r="H35" s="1">
        <v>1.75</v>
      </c>
      <c r="I35" s="1">
        <v>32.0</v>
      </c>
      <c r="J35" s="1">
        <v>24.0</v>
      </c>
      <c r="K35" s="1">
        <v>1.0</v>
      </c>
      <c r="L35" s="1">
        <v>307745.19</v>
      </c>
    </row>
    <row r="36">
      <c r="A36" s="1">
        <v>22.0</v>
      </c>
      <c r="B36" s="1" t="s">
        <v>806</v>
      </c>
      <c r="C36" s="1" t="s">
        <v>810</v>
      </c>
      <c r="D36" s="1" t="s">
        <v>820</v>
      </c>
      <c r="E36" s="1">
        <v>0.75</v>
      </c>
      <c r="F36" s="1">
        <v>-0.75</v>
      </c>
      <c r="G36" s="1">
        <v>103.0</v>
      </c>
      <c r="H36" s="1">
        <v>1.75</v>
      </c>
      <c r="I36" s="1">
        <v>32.0</v>
      </c>
      <c r="J36" s="1">
        <v>24.0</v>
      </c>
      <c r="K36" s="1">
        <v>1.0</v>
      </c>
      <c r="L36" s="1">
        <v>307745.19</v>
      </c>
    </row>
    <row r="37">
      <c r="A37" s="1">
        <v>22.0</v>
      </c>
      <c r="B37" s="1" t="s">
        <v>806</v>
      </c>
      <c r="C37" s="1" t="s">
        <v>809</v>
      </c>
      <c r="D37" s="1" t="s">
        <v>821</v>
      </c>
      <c r="E37" s="1" t="s">
        <v>809</v>
      </c>
      <c r="F37" s="1" t="s">
        <v>809</v>
      </c>
      <c r="G37" s="1" t="s">
        <v>809</v>
      </c>
      <c r="H37" s="1" t="s">
        <v>809</v>
      </c>
      <c r="I37" s="1" t="s">
        <v>809</v>
      </c>
      <c r="J37" s="1" t="s">
        <v>809</v>
      </c>
      <c r="K37" s="1">
        <v>1.0</v>
      </c>
      <c r="L37" s="1">
        <v>149040.0</v>
      </c>
    </row>
    <row r="38">
      <c r="A38" s="1">
        <v>23.0</v>
      </c>
      <c r="B38" s="1" t="s">
        <v>806</v>
      </c>
      <c r="C38" s="1" t="s">
        <v>807</v>
      </c>
      <c r="D38" s="1" t="s">
        <v>820</v>
      </c>
      <c r="E38" s="1">
        <v>2.25</v>
      </c>
      <c r="F38" s="1">
        <v>-2.25</v>
      </c>
      <c r="G38" s="1">
        <v>95.0</v>
      </c>
      <c r="H38" s="1">
        <v>2.5</v>
      </c>
      <c r="I38" s="1">
        <v>31.0</v>
      </c>
      <c r="J38" s="1">
        <v>25.0</v>
      </c>
      <c r="K38" s="1">
        <v>1.0</v>
      </c>
      <c r="L38" s="1">
        <v>307745.19</v>
      </c>
    </row>
    <row r="39">
      <c r="A39" s="1">
        <v>23.0</v>
      </c>
      <c r="B39" s="1" t="s">
        <v>806</v>
      </c>
      <c r="C39" s="1" t="s">
        <v>810</v>
      </c>
      <c r="D39" s="1" t="s">
        <v>820</v>
      </c>
      <c r="E39" s="1">
        <v>2.25</v>
      </c>
      <c r="F39" s="1">
        <v>-2.5</v>
      </c>
      <c r="G39" s="1">
        <v>85.0</v>
      </c>
      <c r="H39" s="1">
        <v>2.5</v>
      </c>
      <c r="I39" s="1">
        <v>31.0</v>
      </c>
      <c r="J39" s="1">
        <v>25.0</v>
      </c>
      <c r="K39" s="1">
        <v>1.0</v>
      </c>
      <c r="L39" s="1">
        <v>307745.19</v>
      </c>
    </row>
    <row r="40">
      <c r="A40" s="1">
        <v>23.0</v>
      </c>
      <c r="B40" s="1" t="s">
        <v>806</v>
      </c>
      <c r="C40" s="1" t="s">
        <v>809</v>
      </c>
      <c r="D40" s="1" t="s">
        <v>822</v>
      </c>
      <c r="E40" s="1" t="s">
        <v>809</v>
      </c>
      <c r="F40" s="1" t="s">
        <v>809</v>
      </c>
      <c r="G40" s="1" t="s">
        <v>809</v>
      </c>
      <c r="H40" s="1" t="s">
        <v>809</v>
      </c>
      <c r="I40" s="1" t="s">
        <v>809</v>
      </c>
      <c r="J40" s="1" t="s">
        <v>809</v>
      </c>
      <c r="K40" s="1">
        <v>1.0</v>
      </c>
      <c r="L40" s="1">
        <v>136800.0</v>
      </c>
    </row>
    <row r="41">
      <c r="A41" s="1">
        <v>24.0</v>
      </c>
      <c r="B41" s="1" t="s">
        <v>806</v>
      </c>
      <c r="C41" s="1" t="s">
        <v>807</v>
      </c>
      <c r="D41" s="1" t="s">
        <v>823</v>
      </c>
      <c r="E41" s="1">
        <v>1.75</v>
      </c>
      <c r="F41" s="1">
        <v>0.0</v>
      </c>
      <c r="G41" s="1">
        <v>0.0</v>
      </c>
      <c r="H41" s="1">
        <v>2.0</v>
      </c>
      <c r="I41" s="1">
        <v>30.0</v>
      </c>
      <c r="J41" s="1">
        <v>26.0</v>
      </c>
      <c r="K41" s="1">
        <v>1.0</v>
      </c>
      <c r="L41" s="1">
        <v>235018.8</v>
      </c>
    </row>
    <row r="42">
      <c r="A42" s="1">
        <v>24.0</v>
      </c>
      <c r="B42" s="1" t="s">
        <v>806</v>
      </c>
      <c r="C42" s="1" t="s">
        <v>810</v>
      </c>
      <c r="D42" s="1" t="s">
        <v>823</v>
      </c>
      <c r="E42" s="1">
        <v>1.5</v>
      </c>
      <c r="F42" s="1">
        <v>0.0</v>
      </c>
      <c r="G42" s="1">
        <v>0.0</v>
      </c>
      <c r="H42" s="1">
        <v>2.0</v>
      </c>
      <c r="I42" s="1">
        <v>30.0</v>
      </c>
      <c r="J42" s="1">
        <v>26.0</v>
      </c>
      <c r="K42" s="1">
        <v>1.0</v>
      </c>
      <c r="L42" s="1">
        <v>235018.8</v>
      </c>
    </row>
    <row r="43">
      <c r="A43" s="1">
        <v>24.0</v>
      </c>
      <c r="B43" s="1" t="s">
        <v>806</v>
      </c>
      <c r="C43" s="1" t="s">
        <v>809</v>
      </c>
      <c r="D43" s="1" t="s">
        <v>824</v>
      </c>
      <c r="E43" s="1" t="s">
        <v>809</v>
      </c>
      <c r="F43" s="1" t="s">
        <v>809</v>
      </c>
      <c r="G43" s="1" t="s">
        <v>809</v>
      </c>
      <c r="H43" s="1" t="s">
        <v>809</v>
      </c>
      <c r="I43" s="1" t="s">
        <v>809</v>
      </c>
      <c r="J43" s="1" t="s">
        <v>809</v>
      </c>
      <c r="K43" s="1">
        <v>1.0</v>
      </c>
      <c r="L43" s="1">
        <v>146239.2</v>
      </c>
    </row>
    <row r="44">
      <c r="A44" s="1">
        <v>25.0</v>
      </c>
      <c r="B44" s="1" t="s">
        <v>825</v>
      </c>
      <c r="C44" s="1" t="s">
        <v>807</v>
      </c>
      <c r="D44" s="1" t="s">
        <v>826</v>
      </c>
      <c r="E44" s="1">
        <v>1.25</v>
      </c>
      <c r="F44" s="1">
        <v>0.0</v>
      </c>
      <c r="G44" s="1" t="s">
        <v>809</v>
      </c>
      <c r="H44" s="1" t="s">
        <v>809</v>
      </c>
      <c r="I44" s="1">
        <v>32.0</v>
      </c>
      <c r="J44" s="1">
        <v>22.0</v>
      </c>
      <c r="K44" s="1">
        <v>1.0</v>
      </c>
      <c r="L44" s="1">
        <v>20376.4</v>
      </c>
    </row>
    <row r="45">
      <c r="A45" s="1">
        <v>25.0</v>
      </c>
      <c r="B45" s="1" t="s">
        <v>825</v>
      </c>
      <c r="C45" s="1" t="s">
        <v>810</v>
      </c>
      <c r="D45" s="1" t="s">
        <v>826</v>
      </c>
      <c r="E45" s="1">
        <v>1.25</v>
      </c>
      <c r="F45" s="1">
        <v>0.0</v>
      </c>
      <c r="G45" s="1" t="s">
        <v>809</v>
      </c>
      <c r="H45" s="1" t="s">
        <v>809</v>
      </c>
      <c r="I45" s="1">
        <v>32.0</v>
      </c>
      <c r="J45" s="1">
        <v>22.0</v>
      </c>
      <c r="K45" s="1">
        <v>1.0</v>
      </c>
      <c r="L45" s="1">
        <v>20376.4</v>
      </c>
    </row>
    <row r="46">
      <c r="A46" s="1">
        <v>25.0</v>
      </c>
      <c r="B46" s="1" t="s">
        <v>825</v>
      </c>
      <c r="C46" s="1" t="s">
        <v>809</v>
      </c>
      <c r="D46" s="1" t="s">
        <v>814</v>
      </c>
      <c r="E46" s="1" t="s">
        <v>809</v>
      </c>
      <c r="F46" s="1" t="s">
        <v>809</v>
      </c>
      <c r="G46" s="1" t="s">
        <v>809</v>
      </c>
      <c r="H46" s="1" t="s">
        <v>809</v>
      </c>
      <c r="I46" s="1" t="s">
        <v>809</v>
      </c>
      <c r="J46" s="1" t="s">
        <v>809</v>
      </c>
      <c r="K46" s="1">
        <v>1.0</v>
      </c>
      <c r="L46" s="1">
        <v>72000.0</v>
      </c>
    </row>
    <row r="47">
      <c r="A47" s="1">
        <v>26.0</v>
      </c>
      <c r="B47" s="1" t="s">
        <v>806</v>
      </c>
      <c r="C47" s="1" t="s">
        <v>807</v>
      </c>
      <c r="D47" s="1" t="s">
        <v>808</v>
      </c>
      <c r="E47" s="1">
        <v>1.75</v>
      </c>
      <c r="F47" s="1">
        <v>0.0</v>
      </c>
      <c r="G47" s="1" t="s">
        <v>809</v>
      </c>
      <c r="H47" s="1" t="s">
        <v>809</v>
      </c>
      <c r="I47" s="1" t="s">
        <v>809</v>
      </c>
      <c r="J47" s="1" t="s">
        <v>809</v>
      </c>
      <c r="K47" s="1">
        <v>1.0</v>
      </c>
      <c r="L47" s="1">
        <v>8818.92</v>
      </c>
    </row>
    <row r="48">
      <c r="A48" s="1">
        <v>26.0</v>
      </c>
      <c r="B48" s="1" t="s">
        <v>806</v>
      </c>
      <c r="C48" s="1" t="s">
        <v>810</v>
      </c>
      <c r="D48" s="1" t="s">
        <v>808</v>
      </c>
      <c r="E48" s="1">
        <v>1.75</v>
      </c>
      <c r="F48" s="1">
        <v>0.0</v>
      </c>
      <c r="G48" s="1" t="s">
        <v>809</v>
      </c>
      <c r="H48" s="1" t="s">
        <v>809</v>
      </c>
      <c r="I48" s="1" t="s">
        <v>809</v>
      </c>
      <c r="J48" s="1" t="s">
        <v>809</v>
      </c>
      <c r="K48" s="1">
        <v>1.0</v>
      </c>
      <c r="L48" s="1">
        <v>8818.92</v>
      </c>
    </row>
    <row r="49">
      <c r="A49" s="1">
        <v>26.0</v>
      </c>
      <c r="B49" s="1" t="s">
        <v>806</v>
      </c>
      <c r="C49" s="1" t="s">
        <v>809</v>
      </c>
      <c r="D49" s="1" t="s">
        <v>827</v>
      </c>
      <c r="E49" s="1" t="s">
        <v>809</v>
      </c>
      <c r="F49" s="1" t="s">
        <v>809</v>
      </c>
      <c r="G49" s="1" t="s">
        <v>809</v>
      </c>
      <c r="H49" s="1" t="s">
        <v>809</v>
      </c>
      <c r="I49" s="1" t="s">
        <v>809</v>
      </c>
      <c r="J49" s="1" t="s">
        <v>809</v>
      </c>
      <c r="K49" s="1">
        <v>1.0</v>
      </c>
      <c r="L49" s="1">
        <v>48000.0</v>
      </c>
    </row>
    <row r="50">
      <c r="A50" s="1">
        <v>26.0</v>
      </c>
      <c r="B50" s="1" t="s">
        <v>825</v>
      </c>
      <c r="C50" s="1" t="s">
        <v>807</v>
      </c>
      <c r="D50" s="1" t="s">
        <v>808</v>
      </c>
      <c r="E50" s="1">
        <v>4.5</v>
      </c>
      <c r="F50" s="1">
        <v>0.0</v>
      </c>
      <c r="G50" s="1" t="s">
        <v>809</v>
      </c>
      <c r="H50" s="1" t="s">
        <v>809</v>
      </c>
      <c r="I50" s="1" t="s">
        <v>809</v>
      </c>
      <c r="J50" s="1" t="s">
        <v>809</v>
      </c>
      <c r="K50" s="1">
        <v>1.0</v>
      </c>
      <c r="L50" s="1">
        <v>8818.92</v>
      </c>
    </row>
    <row r="51">
      <c r="A51" s="1">
        <v>26.0</v>
      </c>
      <c r="B51" s="1" t="s">
        <v>825</v>
      </c>
      <c r="C51" s="1" t="s">
        <v>810</v>
      </c>
      <c r="D51" s="1" t="s">
        <v>808</v>
      </c>
      <c r="E51" s="1">
        <v>4.5</v>
      </c>
      <c r="F51" s="1">
        <v>0.0</v>
      </c>
      <c r="G51" s="1" t="s">
        <v>809</v>
      </c>
      <c r="H51" s="1" t="s">
        <v>809</v>
      </c>
      <c r="I51" s="1" t="s">
        <v>809</v>
      </c>
      <c r="J51" s="1" t="s">
        <v>809</v>
      </c>
      <c r="K51" s="1">
        <v>1.0</v>
      </c>
      <c r="L51" s="1">
        <v>8818.92</v>
      </c>
    </row>
    <row r="52">
      <c r="A52" s="1">
        <v>26.0</v>
      </c>
      <c r="B52" s="1" t="s">
        <v>825</v>
      </c>
      <c r="C52" s="1" t="s">
        <v>809</v>
      </c>
      <c r="D52" s="1" t="s">
        <v>827</v>
      </c>
      <c r="E52" s="1" t="s">
        <v>809</v>
      </c>
      <c r="F52" s="1" t="s">
        <v>809</v>
      </c>
      <c r="G52" s="1" t="s">
        <v>809</v>
      </c>
      <c r="H52" s="1" t="s">
        <v>809</v>
      </c>
      <c r="I52" s="1" t="s">
        <v>809</v>
      </c>
      <c r="J52" s="1" t="s">
        <v>809</v>
      </c>
      <c r="K52" s="1">
        <v>1.0</v>
      </c>
      <c r="L52" s="1">
        <v>48000.0</v>
      </c>
    </row>
    <row r="53">
      <c r="A53" s="1">
        <v>27.0</v>
      </c>
      <c r="B53" s="1" t="s">
        <v>806</v>
      </c>
      <c r="C53" s="1" t="s">
        <v>807</v>
      </c>
      <c r="D53" s="1" t="s">
        <v>812</v>
      </c>
      <c r="E53" s="1">
        <v>3.0</v>
      </c>
      <c r="F53" s="1">
        <v>-0.75</v>
      </c>
      <c r="G53" s="1">
        <v>165.0</v>
      </c>
      <c r="H53" s="1" t="s">
        <v>809</v>
      </c>
      <c r="I53" s="1">
        <v>33.0</v>
      </c>
      <c r="J53" s="1">
        <v>26.0</v>
      </c>
      <c r="K53" s="1">
        <v>1.0</v>
      </c>
      <c r="L53" s="1">
        <v>27769.5</v>
      </c>
    </row>
    <row r="54">
      <c r="A54" s="1">
        <v>27.0</v>
      </c>
      <c r="B54" s="1" t="s">
        <v>806</v>
      </c>
      <c r="C54" s="1" t="s">
        <v>810</v>
      </c>
      <c r="D54" s="1" t="s">
        <v>812</v>
      </c>
      <c r="E54" s="1">
        <v>4.0</v>
      </c>
      <c r="F54" s="1">
        <v>-0.5</v>
      </c>
      <c r="G54" s="1">
        <v>90.0</v>
      </c>
      <c r="H54" s="1" t="s">
        <v>809</v>
      </c>
      <c r="I54" s="1">
        <v>33.0</v>
      </c>
      <c r="J54" s="1">
        <v>26.0</v>
      </c>
      <c r="K54" s="1">
        <v>1.0</v>
      </c>
      <c r="L54" s="1">
        <v>27769.5</v>
      </c>
    </row>
    <row r="55">
      <c r="A55" s="1">
        <v>28.0</v>
      </c>
      <c r="B55" s="1" t="s">
        <v>806</v>
      </c>
      <c r="C55" s="1" t="s">
        <v>807</v>
      </c>
      <c r="D55" s="1" t="s">
        <v>823</v>
      </c>
      <c r="E55" s="1">
        <v>-0.5</v>
      </c>
      <c r="F55" s="1">
        <v>-1.25</v>
      </c>
      <c r="G55" s="1">
        <v>85.0</v>
      </c>
      <c r="H55" s="1">
        <v>2.0</v>
      </c>
      <c r="I55" s="1" t="s">
        <v>809</v>
      </c>
      <c r="J55" s="1" t="s">
        <v>809</v>
      </c>
      <c r="K55" s="1">
        <v>1.0</v>
      </c>
      <c r="L55" s="1">
        <v>235018.8</v>
      </c>
    </row>
    <row r="56">
      <c r="A56" s="1">
        <v>28.0</v>
      </c>
      <c r="B56" s="1" t="s">
        <v>806</v>
      </c>
      <c r="C56" s="1" t="s">
        <v>810</v>
      </c>
      <c r="D56" s="1" t="s">
        <v>823</v>
      </c>
      <c r="E56" s="1">
        <v>-0.5</v>
      </c>
      <c r="F56" s="1">
        <v>-1.25</v>
      </c>
      <c r="G56" s="1">
        <v>90.0</v>
      </c>
      <c r="H56" s="1">
        <v>2.0</v>
      </c>
      <c r="I56" s="1" t="s">
        <v>809</v>
      </c>
      <c r="J56" s="1" t="s">
        <v>809</v>
      </c>
      <c r="K56" s="1">
        <v>1.0</v>
      </c>
      <c r="L56" s="1">
        <v>235018.8</v>
      </c>
    </row>
    <row r="57">
      <c r="A57" s="1">
        <v>28.0</v>
      </c>
      <c r="B57" s="1" t="s">
        <v>806</v>
      </c>
      <c r="C57" s="1" t="s">
        <v>809</v>
      </c>
      <c r="D57" s="1" t="s">
        <v>828</v>
      </c>
      <c r="E57" s="1" t="s">
        <v>809</v>
      </c>
      <c r="F57" s="1" t="s">
        <v>809</v>
      </c>
      <c r="G57" s="1" t="s">
        <v>809</v>
      </c>
      <c r="H57" s="1" t="s">
        <v>809</v>
      </c>
      <c r="I57" s="1" t="s">
        <v>809</v>
      </c>
      <c r="J57" s="1" t="s">
        <v>809</v>
      </c>
      <c r="K57" s="1">
        <v>1.0</v>
      </c>
      <c r="L57" s="1">
        <v>120000.0</v>
      </c>
    </row>
    <row r="58">
      <c r="A58" s="1">
        <v>29.0</v>
      </c>
      <c r="B58" s="1" t="s">
        <v>806</v>
      </c>
      <c r="C58" s="1" t="s">
        <v>807</v>
      </c>
      <c r="D58" s="1" t="s">
        <v>823</v>
      </c>
      <c r="E58" s="1">
        <v>-0.5</v>
      </c>
      <c r="F58" s="1">
        <v>-1.25</v>
      </c>
      <c r="G58" s="1">
        <v>85.0</v>
      </c>
      <c r="H58" s="1">
        <v>2.0</v>
      </c>
      <c r="I58" s="1" t="s">
        <v>809</v>
      </c>
      <c r="J58" s="1" t="s">
        <v>809</v>
      </c>
      <c r="K58" s="1">
        <v>1.0</v>
      </c>
      <c r="L58" s="1">
        <v>235018.8</v>
      </c>
    </row>
    <row r="59">
      <c r="A59" s="1">
        <v>29.0</v>
      </c>
      <c r="B59" s="1" t="s">
        <v>806</v>
      </c>
      <c r="C59" s="1" t="s">
        <v>810</v>
      </c>
      <c r="D59" s="1" t="s">
        <v>823</v>
      </c>
      <c r="E59" s="1">
        <v>-0.5</v>
      </c>
      <c r="F59" s="1">
        <v>-1.25</v>
      </c>
      <c r="G59" s="1">
        <v>90.0</v>
      </c>
      <c r="H59" s="1">
        <v>2.0</v>
      </c>
      <c r="I59" s="1" t="s">
        <v>809</v>
      </c>
      <c r="J59" s="1" t="s">
        <v>809</v>
      </c>
      <c r="K59" s="1">
        <v>1.0</v>
      </c>
      <c r="L59" s="1">
        <v>235018.8</v>
      </c>
    </row>
    <row r="60">
      <c r="A60" s="1">
        <v>29.0</v>
      </c>
      <c r="B60" s="1" t="s">
        <v>806</v>
      </c>
      <c r="C60" s="1" t="s">
        <v>809</v>
      </c>
      <c r="D60" s="1" t="s">
        <v>828</v>
      </c>
      <c r="E60" s="1" t="s">
        <v>809</v>
      </c>
      <c r="F60" s="1" t="s">
        <v>809</v>
      </c>
      <c r="G60" s="1" t="s">
        <v>809</v>
      </c>
      <c r="H60" s="1" t="s">
        <v>809</v>
      </c>
      <c r="I60" s="1" t="s">
        <v>809</v>
      </c>
      <c r="J60" s="1" t="s">
        <v>809</v>
      </c>
      <c r="K60" s="1">
        <v>1.0</v>
      </c>
      <c r="L60" s="1">
        <v>120000.0</v>
      </c>
    </row>
    <row r="61">
      <c r="A61" s="1">
        <v>30.0</v>
      </c>
      <c r="B61" s="1" t="s">
        <v>806</v>
      </c>
      <c r="C61" s="1" t="s">
        <v>807</v>
      </c>
      <c r="D61" s="1" t="s">
        <v>812</v>
      </c>
      <c r="E61" s="1">
        <v>-0.5</v>
      </c>
      <c r="F61" s="1">
        <v>-1.25</v>
      </c>
      <c r="G61" s="1">
        <v>85.0</v>
      </c>
      <c r="H61" s="1">
        <v>2.0</v>
      </c>
      <c r="I61" s="1" t="s">
        <v>809</v>
      </c>
      <c r="J61" s="1" t="s">
        <v>809</v>
      </c>
      <c r="K61" s="1">
        <v>1.0</v>
      </c>
      <c r="L61" s="1">
        <v>27769.5</v>
      </c>
    </row>
    <row r="62">
      <c r="A62" s="1">
        <v>30.0</v>
      </c>
      <c r="B62" s="1" t="s">
        <v>806</v>
      </c>
      <c r="C62" s="1" t="s">
        <v>810</v>
      </c>
      <c r="D62" s="1" t="s">
        <v>812</v>
      </c>
      <c r="E62" s="1">
        <v>-0.5</v>
      </c>
      <c r="F62" s="1">
        <v>-1.25</v>
      </c>
      <c r="G62" s="1">
        <v>90.0</v>
      </c>
      <c r="H62" s="1">
        <v>2.0</v>
      </c>
      <c r="I62" s="1" t="s">
        <v>809</v>
      </c>
      <c r="J62" s="1" t="s">
        <v>809</v>
      </c>
      <c r="K62" s="1">
        <v>1.0</v>
      </c>
      <c r="L62" s="1">
        <v>27769.5</v>
      </c>
    </row>
    <row r="63">
      <c r="A63" s="1">
        <v>30.0</v>
      </c>
      <c r="B63" s="1" t="s">
        <v>825</v>
      </c>
      <c r="C63" s="1" t="s">
        <v>807</v>
      </c>
      <c r="D63" s="1" t="s">
        <v>826</v>
      </c>
      <c r="E63" s="1">
        <v>0.0</v>
      </c>
      <c r="F63" s="1">
        <v>0.0</v>
      </c>
      <c r="G63" s="1" t="s">
        <v>809</v>
      </c>
      <c r="H63" s="1" t="s">
        <v>809</v>
      </c>
      <c r="I63" s="1" t="s">
        <v>809</v>
      </c>
      <c r="J63" s="1" t="s">
        <v>809</v>
      </c>
      <c r="K63" s="1">
        <v>1.0</v>
      </c>
      <c r="L63" s="1">
        <v>20376.4</v>
      </c>
    </row>
    <row r="64">
      <c r="A64" s="1">
        <v>30.0</v>
      </c>
      <c r="B64" s="1" t="s">
        <v>825</v>
      </c>
      <c r="C64" s="1" t="s">
        <v>810</v>
      </c>
      <c r="D64" s="1" t="s">
        <v>826</v>
      </c>
      <c r="E64" s="1">
        <v>0.0</v>
      </c>
      <c r="F64" s="1">
        <v>0.0</v>
      </c>
      <c r="G64" s="1" t="s">
        <v>809</v>
      </c>
      <c r="H64" s="1" t="s">
        <v>809</v>
      </c>
      <c r="I64" s="1" t="s">
        <v>809</v>
      </c>
      <c r="J64" s="1" t="s">
        <v>809</v>
      </c>
      <c r="K64" s="1">
        <v>1.0</v>
      </c>
      <c r="L64" s="1">
        <v>20376.4</v>
      </c>
    </row>
    <row r="65">
      <c r="A65" s="1">
        <v>31.0</v>
      </c>
      <c r="B65" s="1" t="s">
        <v>806</v>
      </c>
      <c r="C65" s="1" t="s">
        <v>807</v>
      </c>
      <c r="D65" s="1" t="s">
        <v>812</v>
      </c>
      <c r="E65" s="1">
        <v>-0.75</v>
      </c>
      <c r="F65" s="1">
        <v>0.0</v>
      </c>
      <c r="G65" s="1" t="s">
        <v>809</v>
      </c>
      <c r="H65" s="1" t="s">
        <v>809</v>
      </c>
      <c r="I65" s="1" t="s">
        <v>809</v>
      </c>
      <c r="J65" s="1" t="s">
        <v>809</v>
      </c>
      <c r="K65" s="1">
        <v>1.0</v>
      </c>
      <c r="L65" s="1">
        <v>27769.5</v>
      </c>
    </row>
    <row r="66">
      <c r="A66" s="1">
        <v>31.0</v>
      </c>
      <c r="B66" s="1" t="s">
        <v>806</v>
      </c>
      <c r="C66" s="1" t="s">
        <v>810</v>
      </c>
      <c r="D66" s="1" t="s">
        <v>812</v>
      </c>
      <c r="E66" s="1">
        <v>0.0</v>
      </c>
      <c r="F66" s="1">
        <v>-0.75</v>
      </c>
      <c r="G66" s="1">
        <v>5.0</v>
      </c>
      <c r="H66" s="1" t="s">
        <v>809</v>
      </c>
      <c r="I66" s="1" t="s">
        <v>809</v>
      </c>
      <c r="J66" s="1" t="s">
        <v>809</v>
      </c>
      <c r="K66" s="1">
        <v>1.0</v>
      </c>
      <c r="L66" s="1">
        <v>27769.5</v>
      </c>
    </row>
    <row r="67">
      <c r="A67" s="1">
        <v>31.0</v>
      </c>
      <c r="B67" s="1" t="s">
        <v>806</v>
      </c>
      <c r="C67" s="1" t="s">
        <v>809</v>
      </c>
      <c r="D67" s="1" t="s">
        <v>829</v>
      </c>
      <c r="E67" s="1" t="s">
        <v>809</v>
      </c>
      <c r="F67" s="1" t="s">
        <v>809</v>
      </c>
      <c r="G67" s="1" t="s">
        <v>809</v>
      </c>
      <c r="H67" s="1" t="s">
        <v>809</v>
      </c>
      <c r="I67" s="1" t="s">
        <v>809</v>
      </c>
      <c r="J67" s="1" t="s">
        <v>809</v>
      </c>
      <c r="K67" s="1">
        <v>1.0</v>
      </c>
      <c r="L67" s="1">
        <v>168000.0</v>
      </c>
    </row>
    <row r="68">
      <c r="A68" s="1">
        <v>31.0</v>
      </c>
      <c r="B68" s="1" t="s">
        <v>825</v>
      </c>
      <c r="C68" s="1" t="s">
        <v>807</v>
      </c>
      <c r="D68" s="1" t="s">
        <v>812</v>
      </c>
      <c r="E68" s="1">
        <v>-0.5</v>
      </c>
      <c r="F68" s="1">
        <v>0.0</v>
      </c>
      <c r="G68" s="1" t="s">
        <v>809</v>
      </c>
      <c r="H68" s="1" t="s">
        <v>809</v>
      </c>
      <c r="I68" s="1" t="s">
        <v>809</v>
      </c>
      <c r="J68" s="1" t="s">
        <v>809</v>
      </c>
      <c r="K68" s="1">
        <v>1.0</v>
      </c>
      <c r="L68" s="1">
        <v>27769.5</v>
      </c>
    </row>
    <row r="69">
      <c r="A69" s="1">
        <v>31.0</v>
      </c>
      <c r="B69" s="1" t="s">
        <v>825</v>
      </c>
      <c r="C69" s="1" t="s">
        <v>810</v>
      </c>
      <c r="D69" s="1" t="s">
        <v>812</v>
      </c>
      <c r="E69" s="1">
        <v>-0.5</v>
      </c>
      <c r="F69" s="1">
        <v>0.0</v>
      </c>
      <c r="G69" s="1" t="s">
        <v>809</v>
      </c>
      <c r="H69" s="1" t="s">
        <v>809</v>
      </c>
      <c r="I69" s="1" t="s">
        <v>809</v>
      </c>
      <c r="J69" s="1" t="s">
        <v>809</v>
      </c>
      <c r="K69" s="1">
        <v>1.0</v>
      </c>
      <c r="L69" s="1">
        <v>27769.5</v>
      </c>
    </row>
    <row r="70">
      <c r="A70" s="1">
        <v>31.0</v>
      </c>
      <c r="B70" s="1" t="s">
        <v>825</v>
      </c>
      <c r="C70" s="1" t="s">
        <v>809</v>
      </c>
      <c r="D70" s="1" t="s">
        <v>829</v>
      </c>
      <c r="E70" s="1" t="s">
        <v>809</v>
      </c>
      <c r="F70" s="1" t="s">
        <v>809</v>
      </c>
      <c r="G70" s="1" t="s">
        <v>809</v>
      </c>
      <c r="H70" s="1" t="s">
        <v>809</v>
      </c>
      <c r="I70" s="1" t="s">
        <v>809</v>
      </c>
      <c r="J70" s="1" t="s">
        <v>809</v>
      </c>
      <c r="K70" s="1">
        <v>1.0</v>
      </c>
      <c r="L70" s="1">
        <v>168000.0</v>
      </c>
    </row>
    <row r="71">
      <c r="A71" s="1">
        <v>32.0</v>
      </c>
      <c r="B71" s="1" t="s">
        <v>806</v>
      </c>
      <c r="C71" s="1" t="s">
        <v>807</v>
      </c>
      <c r="D71" s="1" t="s">
        <v>823</v>
      </c>
      <c r="E71" s="1">
        <v>-2.75</v>
      </c>
      <c r="F71" s="1">
        <v>-2.25</v>
      </c>
      <c r="G71" s="1">
        <v>15.0</v>
      </c>
      <c r="H71" s="1">
        <v>1.25</v>
      </c>
      <c r="I71" s="1" t="s">
        <v>809</v>
      </c>
      <c r="J71" s="1" t="s">
        <v>809</v>
      </c>
      <c r="K71" s="1">
        <v>1.0</v>
      </c>
      <c r="L71" s="1">
        <v>315000.0</v>
      </c>
    </row>
    <row r="72">
      <c r="A72" s="1">
        <v>32.0</v>
      </c>
      <c r="B72" s="1" t="s">
        <v>806</v>
      </c>
      <c r="C72" s="1" t="s">
        <v>810</v>
      </c>
      <c r="D72" s="1" t="s">
        <v>823</v>
      </c>
      <c r="E72" s="1">
        <v>-2.5</v>
      </c>
      <c r="F72" s="1">
        <v>-2.75</v>
      </c>
      <c r="G72" s="1">
        <v>170.0</v>
      </c>
      <c r="H72" s="1">
        <v>1.25</v>
      </c>
      <c r="I72" s="1" t="s">
        <v>809</v>
      </c>
      <c r="J72" s="1" t="s">
        <v>809</v>
      </c>
      <c r="K72" s="1">
        <v>1.0</v>
      </c>
      <c r="L72" s="1">
        <v>315000.0</v>
      </c>
    </row>
    <row r="73">
      <c r="A73" s="1">
        <v>32.0</v>
      </c>
      <c r="B73" s="1" t="s">
        <v>806</v>
      </c>
      <c r="C73" s="1" t="s">
        <v>809</v>
      </c>
      <c r="D73" s="1" t="s">
        <v>830</v>
      </c>
      <c r="E73" s="1" t="s">
        <v>809</v>
      </c>
      <c r="F73" s="1" t="s">
        <v>809</v>
      </c>
      <c r="G73" s="1" t="s">
        <v>809</v>
      </c>
      <c r="H73" s="1" t="s">
        <v>809</v>
      </c>
      <c r="I73" s="1" t="s">
        <v>809</v>
      </c>
      <c r="J73" s="1" t="s">
        <v>809</v>
      </c>
      <c r="K73" s="1">
        <v>1.0</v>
      </c>
      <c r="L73" s="1">
        <v>244800.0</v>
      </c>
    </row>
    <row r="74">
      <c r="A74" s="1">
        <v>33.0</v>
      </c>
      <c r="B74" s="1" t="s">
        <v>806</v>
      </c>
      <c r="C74" s="1" t="s">
        <v>807</v>
      </c>
      <c r="D74" s="1" t="s">
        <v>823</v>
      </c>
      <c r="E74" s="1">
        <v>-2.75</v>
      </c>
      <c r="F74" s="1">
        <v>-2.25</v>
      </c>
      <c r="G74" s="1">
        <v>15.0</v>
      </c>
      <c r="H74" s="1">
        <v>1.25</v>
      </c>
      <c r="I74" s="1" t="s">
        <v>809</v>
      </c>
      <c r="J74" s="1" t="s">
        <v>809</v>
      </c>
      <c r="K74" s="1">
        <v>1.0</v>
      </c>
      <c r="L74" s="1">
        <v>0.0</v>
      </c>
    </row>
    <row r="75">
      <c r="A75" s="1">
        <v>33.0</v>
      </c>
      <c r="B75" s="1" t="s">
        <v>806</v>
      </c>
      <c r="C75" s="1" t="s">
        <v>810</v>
      </c>
      <c r="D75" s="1" t="s">
        <v>823</v>
      </c>
      <c r="E75" s="1">
        <v>-2.5</v>
      </c>
      <c r="F75" s="1">
        <v>-2.75</v>
      </c>
      <c r="G75" s="1">
        <v>170.0</v>
      </c>
      <c r="H75" s="1">
        <v>1.25</v>
      </c>
      <c r="I75" s="1" t="s">
        <v>809</v>
      </c>
      <c r="J75" s="1" t="s">
        <v>809</v>
      </c>
      <c r="K75" s="1">
        <v>1.0</v>
      </c>
      <c r="L75" s="1">
        <v>0.0</v>
      </c>
    </row>
    <row r="76">
      <c r="A76" s="1">
        <v>33.0</v>
      </c>
      <c r="B76" s="1" t="s">
        <v>806</v>
      </c>
      <c r="C76" s="1" t="s">
        <v>809</v>
      </c>
      <c r="D76" s="1" t="s">
        <v>829</v>
      </c>
      <c r="E76" s="1" t="s">
        <v>809</v>
      </c>
      <c r="F76" s="1" t="s">
        <v>809</v>
      </c>
      <c r="G76" s="1" t="s">
        <v>809</v>
      </c>
      <c r="H76" s="1" t="s">
        <v>809</v>
      </c>
      <c r="I76" s="1" t="s">
        <v>809</v>
      </c>
      <c r="J76" s="1" t="s">
        <v>809</v>
      </c>
      <c r="K76" s="1">
        <v>1.0</v>
      </c>
      <c r="L76" s="1">
        <v>168000.0</v>
      </c>
    </row>
    <row r="77">
      <c r="A77" s="1">
        <v>34.0</v>
      </c>
      <c r="B77" s="1" t="s">
        <v>809</v>
      </c>
      <c r="C77" s="1">
        <v>2.0</v>
      </c>
      <c r="D77" s="1" t="s">
        <v>831</v>
      </c>
      <c r="E77" s="1">
        <v>-4.25</v>
      </c>
      <c r="F77" s="1">
        <v>-2.75</v>
      </c>
      <c r="G77" s="1">
        <v>180.0</v>
      </c>
      <c r="H77" s="1" t="s">
        <v>809</v>
      </c>
      <c r="I77" s="1" t="s">
        <v>809</v>
      </c>
      <c r="J77" s="1" t="s">
        <v>809</v>
      </c>
      <c r="K77" s="1">
        <v>1.0</v>
      </c>
      <c r="L77" s="1">
        <v>208362.0</v>
      </c>
    </row>
    <row r="78">
      <c r="A78" s="1">
        <v>35.0</v>
      </c>
      <c r="B78" s="1" t="s">
        <v>806</v>
      </c>
      <c r="C78" s="1" t="s">
        <v>807</v>
      </c>
      <c r="D78" s="1" t="s">
        <v>812</v>
      </c>
      <c r="E78" s="1">
        <v>1.75</v>
      </c>
      <c r="F78" s="1">
        <v>0.0</v>
      </c>
      <c r="G78" s="1" t="s">
        <v>809</v>
      </c>
      <c r="H78" s="1" t="s">
        <v>809</v>
      </c>
      <c r="I78" s="1" t="s">
        <v>809</v>
      </c>
      <c r="J78" s="1" t="s">
        <v>809</v>
      </c>
      <c r="K78" s="1">
        <v>1.0</v>
      </c>
      <c r="L78" s="1">
        <v>27769.5</v>
      </c>
    </row>
    <row r="79">
      <c r="A79" s="1">
        <v>35.0</v>
      </c>
      <c r="B79" s="1" t="s">
        <v>806</v>
      </c>
      <c r="C79" s="1" t="s">
        <v>810</v>
      </c>
      <c r="D79" s="1" t="s">
        <v>812</v>
      </c>
      <c r="E79" s="1">
        <v>1.75</v>
      </c>
      <c r="F79" s="1">
        <v>0.0</v>
      </c>
      <c r="G79" s="1" t="s">
        <v>809</v>
      </c>
      <c r="H79" s="1" t="s">
        <v>809</v>
      </c>
      <c r="I79" s="1" t="s">
        <v>809</v>
      </c>
      <c r="J79" s="1" t="s">
        <v>809</v>
      </c>
      <c r="K79" s="1">
        <v>1.0</v>
      </c>
      <c r="L79" s="1">
        <v>27769.5</v>
      </c>
    </row>
    <row r="80">
      <c r="A80" s="1">
        <v>35.0</v>
      </c>
      <c r="B80" s="1" t="s">
        <v>806</v>
      </c>
      <c r="C80" s="1" t="s">
        <v>809</v>
      </c>
      <c r="D80" s="1" t="s">
        <v>814</v>
      </c>
      <c r="E80" s="1" t="s">
        <v>809</v>
      </c>
      <c r="F80" s="1" t="s">
        <v>809</v>
      </c>
      <c r="G80" s="1" t="s">
        <v>809</v>
      </c>
      <c r="H80" s="1" t="s">
        <v>809</v>
      </c>
      <c r="I80" s="1" t="s">
        <v>809</v>
      </c>
      <c r="J80" s="1" t="s">
        <v>809</v>
      </c>
      <c r="K80" s="1">
        <v>1.0</v>
      </c>
      <c r="L80" s="1">
        <v>72000.0</v>
      </c>
    </row>
    <row r="81">
      <c r="A81" s="1">
        <v>35.0</v>
      </c>
      <c r="B81" s="1" t="s">
        <v>825</v>
      </c>
      <c r="C81" s="1" t="s">
        <v>807</v>
      </c>
      <c r="D81" s="1" t="s">
        <v>812</v>
      </c>
      <c r="E81" s="1">
        <v>1.75</v>
      </c>
      <c r="F81" s="1">
        <v>0.0</v>
      </c>
      <c r="G81" s="1" t="s">
        <v>809</v>
      </c>
      <c r="H81" s="1" t="s">
        <v>809</v>
      </c>
      <c r="I81" s="1" t="s">
        <v>809</v>
      </c>
      <c r="J81" s="1" t="s">
        <v>809</v>
      </c>
      <c r="K81" s="1">
        <v>1.0</v>
      </c>
      <c r="L81" s="1">
        <v>27769.5</v>
      </c>
    </row>
    <row r="82">
      <c r="A82" s="1">
        <v>35.0</v>
      </c>
      <c r="B82" s="1" t="s">
        <v>825</v>
      </c>
      <c r="C82" s="1" t="s">
        <v>810</v>
      </c>
      <c r="D82" s="1" t="s">
        <v>812</v>
      </c>
      <c r="E82" s="1">
        <v>1.75</v>
      </c>
      <c r="F82" s="1">
        <v>0.0</v>
      </c>
      <c r="G82" s="1" t="s">
        <v>809</v>
      </c>
      <c r="H82" s="1" t="s">
        <v>809</v>
      </c>
      <c r="I82" s="1" t="s">
        <v>809</v>
      </c>
      <c r="J82" s="1" t="s">
        <v>809</v>
      </c>
      <c r="K82" s="1">
        <v>1.0</v>
      </c>
      <c r="L82" s="1">
        <v>27769.5</v>
      </c>
    </row>
    <row r="83">
      <c r="A83" s="1">
        <v>35.0</v>
      </c>
      <c r="B83" s="1" t="s">
        <v>825</v>
      </c>
      <c r="C83" s="1" t="s">
        <v>809</v>
      </c>
      <c r="D83" s="1" t="s">
        <v>832</v>
      </c>
      <c r="E83" s="1" t="s">
        <v>809</v>
      </c>
      <c r="F83" s="1" t="s">
        <v>809</v>
      </c>
      <c r="G83" s="1" t="s">
        <v>809</v>
      </c>
      <c r="H83" s="1" t="s">
        <v>809</v>
      </c>
      <c r="I83" s="1" t="s">
        <v>809</v>
      </c>
      <c r="J83" s="1" t="s">
        <v>809</v>
      </c>
      <c r="K83" s="1">
        <v>1.0</v>
      </c>
      <c r="L83" s="1">
        <v>136800.0</v>
      </c>
    </row>
    <row r="84">
      <c r="A84" s="1">
        <v>36.0</v>
      </c>
      <c r="B84" s="1" t="s">
        <v>806</v>
      </c>
      <c r="C84" s="1" t="s">
        <v>807</v>
      </c>
      <c r="D84" s="1" t="s">
        <v>820</v>
      </c>
      <c r="E84" s="1">
        <v>3.5</v>
      </c>
      <c r="F84" s="1">
        <v>0.0</v>
      </c>
      <c r="G84" s="1" t="s">
        <v>809</v>
      </c>
      <c r="H84" s="1">
        <v>2.5</v>
      </c>
      <c r="I84" s="1" t="s">
        <v>809</v>
      </c>
      <c r="J84" s="1" t="s">
        <v>809</v>
      </c>
      <c r="K84" s="1">
        <v>1.0</v>
      </c>
      <c r="L84" s="1">
        <v>307745.19</v>
      </c>
    </row>
    <row r="85">
      <c r="A85" s="1">
        <v>36.0</v>
      </c>
      <c r="B85" s="1" t="s">
        <v>806</v>
      </c>
      <c r="C85" s="1" t="s">
        <v>810</v>
      </c>
      <c r="D85" s="1" t="s">
        <v>820</v>
      </c>
      <c r="E85" s="1">
        <v>3.5</v>
      </c>
      <c r="F85" s="1">
        <v>-0.5</v>
      </c>
      <c r="G85" s="1">
        <v>60.0</v>
      </c>
      <c r="H85" s="1">
        <v>2.5</v>
      </c>
      <c r="I85" s="1" t="s">
        <v>809</v>
      </c>
      <c r="J85" s="1" t="s">
        <v>809</v>
      </c>
      <c r="K85" s="1">
        <v>1.0</v>
      </c>
      <c r="L85" s="1">
        <v>307745.19</v>
      </c>
    </row>
    <row r="86">
      <c r="A86" s="1">
        <v>36.0</v>
      </c>
      <c r="B86" s="1" t="s">
        <v>806</v>
      </c>
      <c r="C86" s="1" t="s">
        <v>809</v>
      </c>
      <c r="D86" s="1" t="s">
        <v>833</v>
      </c>
      <c r="E86" s="1" t="s">
        <v>809</v>
      </c>
      <c r="F86" s="1" t="s">
        <v>809</v>
      </c>
      <c r="G86" s="1" t="s">
        <v>809</v>
      </c>
      <c r="H86" s="1" t="s">
        <v>809</v>
      </c>
      <c r="I86" s="1" t="s">
        <v>809</v>
      </c>
      <c r="J86" s="1" t="s">
        <v>809</v>
      </c>
      <c r="K86" s="1">
        <v>1.0</v>
      </c>
      <c r="L86" s="1">
        <v>180280.8</v>
      </c>
    </row>
    <row r="87">
      <c r="A87" s="1">
        <v>37.0</v>
      </c>
      <c r="B87" s="1" t="s">
        <v>806</v>
      </c>
      <c r="C87" s="1" t="s">
        <v>807</v>
      </c>
      <c r="D87" s="1" t="s">
        <v>820</v>
      </c>
      <c r="E87" s="1">
        <v>3.5</v>
      </c>
      <c r="F87" s="1">
        <v>0.0</v>
      </c>
      <c r="G87" s="1" t="s">
        <v>809</v>
      </c>
      <c r="H87" s="1">
        <v>2.5</v>
      </c>
      <c r="I87" s="1" t="s">
        <v>809</v>
      </c>
      <c r="J87" s="1" t="s">
        <v>809</v>
      </c>
      <c r="K87" s="1">
        <v>1.0</v>
      </c>
      <c r="L87" s="1">
        <v>0.0</v>
      </c>
    </row>
    <row r="88">
      <c r="A88" s="1">
        <v>37.0</v>
      </c>
      <c r="B88" s="1" t="s">
        <v>806</v>
      </c>
      <c r="C88" s="1" t="s">
        <v>810</v>
      </c>
      <c r="D88" s="1" t="s">
        <v>820</v>
      </c>
      <c r="E88" s="1">
        <v>3.5</v>
      </c>
      <c r="F88" s="1">
        <v>-0.5</v>
      </c>
      <c r="G88" s="1">
        <v>60.0</v>
      </c>
      <c r="H88" s="1">
        <v>2.5</v>
      </c>
      <c r="I88" s="1" t="s">
        <v>809</v>
      </c>
      <c r="J88" s="1" t="s">
        <v>809</v>
      </c>
      <c r="K88" s="1">
        <v>1.0</v>
      </c>
      <c r="L88" s="1">
        <v>0.0</v>
      </c>
    </row>
    <row r="89">
      <c r="A89" s="1">
        <v>37.0</v>
      </c>
      <c r="B89" s="1" t="s">
        <v>806</v>
      </c>
      <c r="C89" s="1" t="s">
        <v>809</v>
      </c>
      <c r="D89" s="1" t="s">
        <v>828</v>
      </c>
      <c r="E89" s="1" t="s">
        <v>809</v>
      </c>
      <c r="F89" s="1" t="s">
        <v>809</v>
      </c>
      <c r="G89" s="1" t="s">
        <v>809</v>
      </c>
      <c r="H89" s="1" t="s">
        <v>809</v>
      </c>
      <c r="I89" s="1" t="s">
        <v>809</v>
      </c>
      <c r="J89" s="1" t="s">
        <v>809</v>
      </c>
      <c r="K89" s="1">
        <v>1.0</v>
      </c>
      <c r="L89" s="1">
        <v>120000.0</v>
      </c>
    </row>
    <row r="90">
      <c r="A90" s="1">
        <v>38.0</v>
      </c>
      <c r="B90" s="1" t="s">
        <v>809</v>
      </c>
      <c r="C90" s="1" t="s">
        <v>809</v>
      </c>
      <c r="D90" s="1" t="s">
        <v>828</v>
      </c>
      <c r="E90" s="1" t="s">
        <v>809</v>
      </c>
      <c r="F90" s="1" t="s">
        <v>809</v>
      </c>
      <c r="G90" s="1" t="s">
        <v>809</v>
      </c>
      <c r="H90" s="1" t="s">
        <v>809</v>
      </c>
      <c r="I90" s="1" t="s">
        <v>809</v>
      </c>
      <c r="J90" s="1" t="s">
        <v>809</v>
      </c>
      <c r="K90" s="1">
        <v>1.0</v>
      </c>
      <c r="L90" s="1">
        <v>120000.0</v>
      </c>
    </row>
    <row r="91">
      <c r="A91" s="1">
        <v>39.0</v>
      </c>
      <c r="B91" s="1" t="s">
        <v>806</v>
      </c>
      <c r="C91" s="1" t="s">
        <v>807</v>
      </c>
      <c r="D91" s="1" t="s">
        <v>812</v>
      </c>
      <c r="E91" s="1">
        <v>2.75</v>
      </c>
      <c r="F91" s="1">
        <v>-0.5</v>
      </c>
      <c r="G91" s="1">
        <v>70.0</v>
      </c>
      <c r="H91" s="1" t="s">
        <v>809</v>
      </c>
      <c r="I91" s="1" t="s">
        <v>809</v>
      </c>
      <c r="J91" s="1" t="s">
        <v>809</v>
      </c>
      <c r="K91" s="1">
        <v>1.0</v>
      </c>
      <c r="L91" s="1">
        <v>27769.5</v>
      </c>
    </row>
    <row r="92">
      <c r="A92" s="1">
        <v>39.0</v>
      </c>
      <c r="B92" s="1" t="s">
        <v>806</v>
      </c>
      <c r="C92" s="1" t="s">
        <v>810</v>
      </c>
      <c r="D92" s="1" t="s">
        <v>812</v>
      </c>
      <c r="E92" s="1">
        <v>3.25</v>
      </c>
      <c r="F92" s="1">
        <v>-0.5</v>
      </c>
      <c r="G92" s="1">
        <v>130.0</v>
      </c>
      <c r="H92" s="1" t="s">
        <v>809</v>
      </c>
      <c r="I92" s="1" t="s">
        <v>809</v>
      </c>
      <c r="J92" s="1" t="s">
        <v>809</v>
      </c>
      <c r="K92" s="1">
        <v>1.0</v>
      </c>
      <c r="L92" s="1">
        <v>27769.5</v>
      </c>
    </row>
    <row r="93">
      <c r="A93" s="1">
        <v>39.0</v>
      </c>
      <c r="B93" s="1" t="s">
        <v>806</v>
      </c>
      <c r="C93" s="1" t="s">
        <v>809</v>
      </c>
      <c r="D93" s="1" t="s">
        <v>834</v>
      </c>
      <c r="E93" s="1" t="s">
        <v>809</v>
      </c>
      <c r="F93" s="1" t="s">
        <v>809</v>
      </c>
      <c r="G93" s="1" t="s">
        <v>809</v>
      </c>
      <c r="H93" s="1" t="s">
        <v>809</v>
      </c>
      <c r="I93" s="1" t="s">
        <v>809</v>
      </c>
      <c r="J93" s="1" t="s">
        <v>809</v>
      </c>
      <c r="K93" s="1">
        <v>1.0</v>
      </c>
      <c r="L93" s="1">
        <v>136800.0</v>
      </c>
    </row>
    <row r="94">
      <c r="A94" s="1">
        <v>40.0</v>
      </c>
      <c r="B94" s="1" t="s">
        <v>806</v>
      </c>
      <c r="C94" s="1" t="s">
        <v>807</v>
      </c>
      <c r="D94" s="1" t="s">
        <v>835</v>
      </c>
      <c r="E94" s="1">
        <v>0.0</v>
      </c>
      <c r="F94" s="1">
        <v>0.0</v>
      </c>
      <c r="G94" s="1" t="s">
        <v>809</v>
      </c>
      <c r="H94" s="1" t="s">
        <v>809</v>
      </c>
      <c r="I94" s="1" t="s">
        <v>809</v>
      </c>
      <c r="J94" s="1" t="s">
        <v>809</v>
      </c>
      <c r="K94" s="1">
        <v>1.0</v>
      </c>
      <c r="L94" s="1">
        <v>175000.0</v>
      </c>
    </row>
    <row r="95">
      <c r="A95" s="1">
        <v>40.0</v>
      </c>
      <c r="B95" s="1" t="s">
        <v>806</v>
      </c>
      <c r="C95" s="1" t="s">
        <v>810</v>
      </c>
      <c r="D95" s="1" t="s">
        <v>835</v>
      </c>
      <c r="E95" s="1">
        <v>0.0</v>
      </c>
      <c r="F95" s="1">
        <v>0.0</v>
      </c>
      <c r="G95" s="1" t="s">
        <v>809</v>
      </c>
      <c r="H95" s="1" t="s">
        <v>809</v>
      </c>
      <c r="I95" s="1" t="s">
        <v>809</v>
      </c>
      <c r="J95" s="1" t="s">
        <v>809</v>
      </c>
      <c r="K95" s="1">
        <v>1.0</v>
      </c>
      <c r="L95" s="1">
        <v>175000.0</v>
      </c>
    </row>
    <row r="96">
      <c r="A96" s="1">
        <v>40.0</v>
      </c>
      <c r="B96" s="1" t="s">
        <v>806</v>
      </c>
      <c r="C96" s="1" t="s">
        <v>809</v>
      </c>
      <c r="D96" s="1" t="s">
        <v>833</v>
      </c>
      <c r="E96" s="1" t="s">
        <v>809</v>
      </c>
      <c r="F96" s="1" t="s">
        <v>809</v>
      </c>
      <c r="G96" s="1" t="s">
        <v>809</v>
      </c>
      <c r="H96" s="1" t="s">
        <v>809</v>
      </c>
      <c r="I96" s="1" t="s">
        <v>809</v>
      </c>
      <c r="J96" s="1" t="s">
        <v>809</v>
      </c>
      <c r="K96" s="1">
        <v>1.0</v>
      </c>
      <c r="L96" s="1">
        <v>180280.8</v>
      </c>
    </row>
    <row r="97">
      <c r="A97" s="1">
        <v>41.0</v>
      </c>
      <c r="B97" s="1" t="s">
        <v>806</v>
      </c>
      <c r="C97" s="1" t="s">
        <v>807</v>
      </c>
      <c r="D97" s="1" t="s">
        <v>836</v>
      </c>
      <c r="E97" s="1">
        <v>0.5</v>
      </c>
      <c r="F97" s="1">
        <v>-0.5</v>
      </c>
      <c r="G97" s="1">
        <v>20.0</v>
      </c>
      <c r="H97" s="1" t="s">
        <v>809</v>
      </c>
      <c r="I97" s="1">
        <v>2.5</v>
      </c>
      <c r="J97" s="1" t="s">
        <v>809</v>
      </c>
      <c r="K97" s="1">
        <v>1.0</v>
      </c>
      <c r="L97" s="1">
        <v>50660.28</v>
      </c>
    </row>
    <row r="98">
      <c r="A98" s="1">
        <v>41.0</v>
      </c>
      <c r="B98" s="1" t="s">
        <v>806</v>
      </c>
      <c r="C98" s="1" t="s">
        <v>810</v>
      </c>
      <c r="D98" s="1" t="s">
        <v>836</v>
      </c>
      <c r="E98" s="1">
        <v>0.5</v>
      </c>
      <c r="F98" s="1">
        <v>-1.0</v>
      </c>
      <c r="G98" s="1">
        <v>165.0</v>
      </c>
      <c r="H98" s="1" t="s">
        <v>809</v>
      </c>
      <c r="I98" s="1">
        <v>2.5</v>
      </c>
      <c r="J98" s="1" t="s">
        <v>809</v>
      </c>
      <c r="K98" s="1">
        <v>1.0</v>
      </c>
      <c r="L98" s="1">
        <v>50660.28</v>
      </c>
    </row>
    <row r="99">
      <c r="A99" s="1">
        <v>41.0</v>
      </c>
      <c r="B99" s="1" t="s">
        <v>806</v>
      </c>
      <c r="C99" s="1" t="s">
        <v>809</v>
      </c>
      <c r="D99" s="1" t="s">
        <v>837</v>
      </c>
      <c r="E99" s="1" t="s">
        <v>809</v>
      </c>
      <c r="F99" s="1" t="s">
        <v>809</v>
      </c>
      <c r="G99" s="1" t="s">
        <v>809</v>
      </c>
      <c r="H99" s="1" t="s">
        <v>809</v>
      </c>
      <c r="I99" s="1" t="s">
        <v>809</v>
      </c>
      <c r="J99" s="1" t="s">
        <v>809</v>
      </c>
      <c r="K99" s="1">
        <v>1.0</v>
      </c>
      <c r="L99" s="1">
        <v>136800.0</v>
      </c>
    </row>
    <row r="100">
      <c r="A100" s="1">
        <v>42.0</v>
      </c>
      <c r="B100" s="1" t="s">
        <v>806</v>
      </c>
      <c r="C100" s="1" t="s">
        <v>807</v>
      </c>
      <c r="D100" s="1" t="s">
        <v>808</v>
      </c>
      <c r="E100" s="1">
        <v>0.0</v>
      </c>
      <c r="F100" s="1">
        <v>0.0</v>
      </c>
      <c r="G100" s="1" t="s">
        <v>809</v>
      </c>
      <c r="H100" s="1" t="s">
        <v>809</v>
      </c>
      <c r="I100" s="1" t="s">
        <v>809</v>
      </c>
      <c r="J100" s="1" t="s">
        <v>809</v>
      </c>
      <c r="K100" s="1">
        <v>1.0</v>
      </c>
      <c r="L100" s="1">
        <v>21000.0</v>
      </c>
    </row>
    <row r="101">
      <c r="A101" s="1">
        <v>42.0</v>
      </c>
      <c r="B101" s="1" t="s">
        <v>806</v>
      </c>
      <c r="C101" s="1" t="s">
        <v>810</v>
      </c>
      <c r="D101" s="1" t="s">
        <v>808</v>
      </c>
      <c r="E101" s="1">
        <v>0.0</v>
      </c>
      <c r="F101" s="1">
        <v>0.0</v>
      </c>
      <c r="G101" s="1" t="s">
        <v>809</v>
      </c>
      <c r="H101" s="1" t="s">
        <v>809</v>
      </c>
      <c r="I101" s="1" t="s">
        <v>809</v>
      </c>
      <c r="J101" s="1" t="s">
        <v>809</v>
      </c>
      <c r="K101" s="1">
        <v>1.0</v>
      </c>
      <c r="L101" s="1">
        <v>21000.0</v>
      </c>
    </row>
    <row r="102">
      <c r="A102" s="1">
        <v>42.0</v>
      </c>
      <c r="B102" s="1" t="s">
        <v>806</v>
      </c>
      <c r="C102" s="1" t="s">
        <v>809</v>
      </c>
      <c r="D102" s="1" t="s">
        <v>814</v>
      </c>
      <c r="E102" s="1" t="s">
        <v>809</v>
      </c>
      <c r="F102" s="1" t="s">
        <v>809</v>
      </c>
      <c r="G102" s="1" t="s">
        <v>809</v>
      </c>
      <c r="H102" s="1" t="s">
        <v>809</v>
      </c>
      <c r="I102" s="1" t="s">
        <v>809</v>
      </c>
      <c r="J102" s="1" t="s">
        <v>809</v>
      </c>
      <c r="K102" s="1">
        <v>1.0</v>
      </c>
      <c r="L102" s="1">
        <v>72000.0</v>
      </c>
    </row>
    <row r="103">
      <c r="A103" s="1">
        <v>43.0</v>
      </c>
      <c r="B103" s="1" t="s">
        <v>809</v>
      </c>
      <c r="C103" s="1" t="s">
        <v>809</v>
      </c>
      <c r="D103" s="1" t="s">
        <v>838</v>
      </c>
      <c r="E103" s="1" t="s">
        <v>809</v>
      </c>
      <c r="F103" s="1" t="s">
        <v>809</v>
      </c>
      <c r="G103" s="1" t="s">
        <v>809</v>
      </c>
      <c r="H103" s="1" t="s">
        <v>809</v>
      </c>
      <c r="I103" s="1" t="s">
        <v>809</v>
      </c>
      <c r="J103" s="1" t="s">
        <v>809</v>
      </c>
      <c r="K103" s="1">
        <v>1.0</v>
      </c>
      <c r="L103" s="1">
        <v>144000.0</v>
      </c>
    </row>
    <row r="104">
      <c r="A104" s="1">
        <v>44.0</v>
      </c>
      <c r="B104" s="1" t="s">
        <v>806</v>
      </c>
      <c r="C104" s="1" t="s">
        <v>807</v>
      </c>
      <c r="D104" s="1" t="s">
        <v>812</v>
      </c>
      <c r="E104" s="1">
        <v>1.0</v>
      </c>
      <c r="F104" s="1">
        <v>-0.25</v>
      </c>
      <c r="G104" s="1">
        <v>120.0</v>
      </c>
      <c r="H104" s="1" t="s">
        <v>809</v>
      </c>
      <c r="I104" s="1" t="s">
        <v>809</v>
      </c>
      <c r="J104" s="1" t="s">
        <v>809</v>
      </c>
      <c r="K104" s="1">
        <v>1.0</v>
      </c>
      <c r="L104" s="1">
        <v>27500.0</v>
      </c>
    </row>
    <row r="105">
      <c r="A105" s="1">
        <v>44.0</v>
      </c>
      <c r="B105" s="1" t="s">
        <v>806</v>
      </c>
      <c r="C105" s="1" t="s">
        <v>810</v>
      </c>
      <c r="D105" s="1" t="s">
        <v>812</v>
      </c>
      <c r="E105" s="1">
        <v>0.75</v>
      </c>
      <c r="F105" s="1">
        <v>0.0</v>
      </c>
      <c r="G105" s="1" t="s">
        <v>809</v>
      </c>
      <c r="H105" s="1" t="s">
        <v>809</v>
      </c>
      <c r="I105" s="1" t="s">
        <v>809</v>
      </c>
      <c r="J105" s="1" t="s">
        <v>809</v>
      </c>
      <c r="K105" s="1">
        <v>1.0</v>
      </c>
      <c r="L105" s="1">
        <v>27500.0</v>
      </c>
    </row>
    <row r="106">
      <c r="A106" s="1">
        <v>44.0</v>
      </c>
      <c r="B106" s="1" t="s">
        <v>806</v>
      </c>
      <c r="C106" s="1" t="s">
        <v>809</v>
      </c>
      <c r="D106" s="1">
        <v>9705.0</v>
      </c>
      <c r="E106" s="1" t="s">
        <v>809</v>
      </c>
      <c r="F106" s="1" t="s">
        <v>809</v>
      </c>
      <c r="G106" s="1" t="s">
        <v>809</v>
      </c>
      <c r="H106" s="1" t="s">
        <v>809</v>
      </c>
      <c r="I106" s="1" t="s">
        <v>809</v>
      </c>
      <c r="J106" s="1" t="s">
        <v>809</v>
      </c>
      <c r="K106" s="1">
        <v>1.0</v>
      </c>
      <c r="L106" s="1">
        <v>113000.0</v>
      </c>
    </row>
    <row r="107">
      <c r="A107" s="1">
        <v>45.0</v>
      </c>
      <c r="B107" s="1" t="s">
        <v>806</v>
      </c>
      <c r="C107" s="1" t="s">
        <v>807</v>
      </c>
      <c r="D107" s="1" t="s">
        <v>826</v>
      </c>
      <c r="E107" s="1">
        <v>0.0</v>
      </c>
      <c r="F107" s="1">
        <v>-3.0</v>
      </c>
      <c r="G107" s="1">
        <v>179.0</v>
      </c>
      <c r="H107" s="1" t="s">
        <v>809</v>
      </c>
      <c r="I107" s="1" t="s">
        <v>809</v>
      </c>
      <c r="J107" s="1" t="s">
        <v>809</v>
      </c>
      <c r="K107" s="1">
        <v>1.0</v>
      </c>
      <c r="L107" s="1">
        <v>15000.0</v>
      </c>
    </row>
    <row r="108">
      <c r="A108" s="1">
        <v>45.0</v>
      </c>
      <c r="B108" s="1" t="s">
        <v>806</v>
      </c>
      <c r="C108" s="1" t="s">
        <v>810</v>
      </c>
      <c r="D108" s="1" t="s">
        <v>826</v>
      </c>
      <c r="E108" s="1">
        <v>0.0</v>
      </c>
      <c r="F108" s="1">
        <v>-2.5</v>
      </c>
      <c r="G108" s="1">
        <v>178.0</v>
      </c>
      <c r="H108" s="1" t="s">
        <v>809</v>
      </c>
      <c r="I108" s="1" t="s">
        <v>809</v>
      </c>
      <c r="J108" s="1" t="s">
        <v>809</v>
      </c>
      <c r="K108" s="1">
        <v>1.0</v>
      </c>
      <c r="L108" s="1">
        <v>15000.0</v>
      </c>
    </row>
    <row r="109">
      <c r="A109" s="1">
        <v>45.0</v>
      </c>
      <c r="B109" s="1" t="s">
        <v>825</v>
      </c>
      <c r="C109" s="1" t="s">
        <v>807</v>
      </c>
      <c r="D109" s="1" t="s">
        <v>808</v>
      </c>
      <c r="E109" s="1">
        <v>0.0</v>
      </c>
      <c r="F109" s="1">
        <v>-3.0</v>
      </c>
      <c r="G109" s="1">
        <v>179.0</v>
      </c>
      <c r="H109" s="1" t="s">
        <v>809</v>
      </c>
      <c r="I109" s="1" t="s">
        <v>809</v>
      </c>
      <c r="J109" s="1" t="s">
        <v>809</v>
      </c>
      <c r="K109" s="1">
        <v>1.0</v>
      </c>
      <c r="L109" s="1">
        <v>15000.0</v>
      </c>
    </row>
    <row r="110">
      <c r="A110" s="1">
        <v>45.0</v>
      </c>
      <c r="B110" s="1" t="s">
        <v>825</v>
      </c>
      <c r="C110" s="1" t="s">
        <v>810</v>
      </c>
      <c r="D110" s="1" t="s">
        <v>808</v>
      </c>
      <c r="E110" s="1">
        <v>0.0</v>
      </c>
      <c r="F110" s="1">
        <v>-2.5</v>
      </c>
      <c r="G110" s="1">
        <v>178.0</v>
      </c>
      <c r="H110" s="1" t="s">
        <v>809</v>
      </c>
      <c r="I110" s="1" t="s">
        <v>809</v>
      </c>
      <c r="J110" s="1" t="s">
        <v>809</v>
      </c>
      <c r="K110" s="1">
        <v>1.0</v>
      </c>
      <c r="L110" s="1">
        <v>15000.0</v>
      </c>
    </row>
    <row r="111">
      <c r="A111" s="1">
        <v>46.0</v>
      </c>
      <c r="B111" s="1" t="s">
        <v>806</v>
      </c>
      <c r="C111" s="1" t="s">
        <v>807</v>
      </c>
      <c r="D111" s="1" t="s">
        <v>812</v>
      </c>
      <c r="E111" s="1">
        <v>0.0</v>
      </c>
      <c r="F111" s="1">
        <v>0.0</v>
      </c>
      <c r="G111" s="1" t="s">
        <v>809</v>
      </c>
      <c r="H111" s="1" t="s">
        <v>809</v>
      </c>
      <c r="I111" s="1" t="s">
        <v>809</v>
      </c>
      <c r="J111" s="1" t="s">
        <v>809</v>
      </c>
      <c r="K111" s="1">
        <v>1.0</v>
      </c>
      <c r="L111" s="1">
        <v>22000.0</v>
      </c>
    </row>
    <row r="112">
      <c r="A112" s="1">
        <v>46.0</v>
      </c>
      <c r="B112" s="1" t="s">
        <v>806</v>
      </c>
      <c r="C112" s="1" t="s">
        <v>810</v>
      </c>
      <c r="D112" s="1" t="s">
        <v>812</v>
      </c>
      <c r="E112" s="1">
        <v>0.0</v>
      </c>
      <c r="F112" s="1">
        <v>0.0</v>
      </c>
      <c r="G112" s="1" t="s">
        <v>809</v>
      </c>
      <c r="H112" s="1" t="s">
        <v>809</v>
      </c>
      <c r="I112" s="1" t="s">
        <v>809</v>
      </c>
      <c r="J112" s="1" t="s">
        <v>809</v>
      </c>
      <c r="K112" s="1">
        <v>1.0</v>
      </c>
      <c r="L112" s="1">
        <v>22000.0</v>
      </c>
    </row>
    <row r="113">
      <c r="A113" s="1">
        <v>46.0</v>
      </c>
      <c r="B113" s="1" t="s">
        <v>806</v>
      </c>
      <c r="C113" s="1" t="s">
        <v>809</v>
      </c>
      <c r="D113" s="1" t="s">
        <v>839</v>
      </c>
      <c r="E113" s="1" t="s">
        <v>809</v>
      </c>
      <c r="F113" s="1" t="s">
        <v>809</v>
      </c>
      <c r="G113" s="1" t="s">
        <v>809</v>
      </c>
      <c r="H113" s="1" t="s">
        <v>809</v>
      </c>
      <c r="I113" s="1" t="s">
        <v>809</v>
      </c>
      <c r="J113" s="1" t="s">
        <v>809</v>
      </c>
      <c r="K113" s="1">
        <v>1.0</v>
      </c>
      <c r="L113" s="1">
        <v>108000.0</v>
      </c>
    </row>
    <row r="114">
      <c r="A114" s="1">
        <v>47.0</v>
      </c>
      <c r="B114" s="1" t="s">
        <v>806</v>
      </c>
      <c r="C114" s="1" t="s">
        <v>807</v>
      </c>
      <c r="D114" s="1" t="s">
        <v>826</v>
      </c>
      <c r="E114" s="1">
        <v>-1.5</v>
      </c>
      <c r="F114" s="1">
        <v>-0.25</v>
      </c>
      <c r="G114" s="1">
        <v>130.0</v>
      </c>
      <c r="H114" s="1" t="s">
        <v>809</v>
      </c>
      <c r="I114" s="1" t="s">
        <v>809</v>
      </c>
      <c r="J114" s="1" t="s">
        <v>809</v>
      </c>
      <c r="K114" s="1">
        <v>1.0</v>
      </c>
      <c r="L114" s="1">
        <v>22000.0</v>
      </c>
    </row>
    <row r="115">
      <c r="A115" s="1">
        <v>47.0</v>
      </c>
      <c r="B115" s="1" t="s">
        <v>806</v>
      </c>
      <c r="C115" s="1" t="s">
        <v>810</v>
      </c>
      <c r="D115" s="1" t="s">
        <v>826</v>
      </c>
      <c r="E115" s="1">
        <v>-0.5</v>
      </c>
      <c r="F115" s="1">
        <v>0.0</v>
      </c>
      <c r="G115" s="1" t="s">
        <v>809</v>
      </c>
      <c r="H115" s="1" t="s">
        <v>809</v>
      </c>
      <c r="I115" s="1" t="s">
        <v>809</v>
      </c>
      <c r="J115" s="1" t="s">
        <v>809</v>
      </c>
      <c r="K115" s="1">
        <v>1.0</v>
      </c>
      <c r="L115" s="1">
        <v>22000.0</v>
      </c>
    </row>
    <row r="116">
      <c r="A116" s="1">
        <v>47.0</v>
      </c>
      <c r="B116" s="1" t="s">
        <v>806</v>
      </c>
      <c r="C116" s="1" t="s">
        <v>809</v>
      </c>
      <c r="D116" s="1" t="s">
        <v>839</v>
      </c>
      <c r="E116" s="1" t="s">
        <v>809</v>
      </c>
      <c r="F116" s="1" t="s">
        <v>809</v>
      </c>
      <c r="G116" s="1" t="s">
        <v>809</v>
      </c>
      <c r="H116" s="1" t="s">
        <v>809</v>
      </c>
      <c r="I116" s="1" t="s">
        <v>809</v>
      </c>
      <c r="J116" s="1" t="s">
        <v>809</v>
      </c>
      <c r="K116" s="1">
        <v>1.0</v>
      </c>
      <c r="L116" s="1">
        <v>108000.0</v>
      </c>
    </row>
    <row r="117">
      <c r="A117" s="1">
        <v>48.0</v>
      </c>
      <c r="B117" s="1" t="s">
        <v>806</v>
      </c>
      <c r="C117" s="1" t="s">
        <v>807</v>
      </c>
      <c r="D117" s="1" t="s">
        <v>840</v>
      </c>
      <c r="E117" s="1">
        <v>-6.0</v>
      </c>
      <c r="F117" s="1">
        <v>-5.0</v>
      </c>
      <c r="G117" s="1">
        <v>10.0</v>
      </c>
      <c r="H117" s="1" t="s">
        <v>809</v>
      </c>
      <c r="I117" s="1" t="s">
        <v>809</v>
      </c>
      <c r="J117" s="1" t="s">
        <v>809</v>
      </c>
      <c r="K117" s="1">
        <v>1.0</v>
      </c>
      <c r="L117" s="1">
        <v>68265.78</v>
      </c>
    </row>
    <row r="118">
      <c r="A118" s="1">
        <v>48.0</v>
      </c>
      <c r="B118" s="1" t="s">
        <v>806</v>
      </c>
      <c r="C118" s="1" t="s">
        <v>810</v>
      </c>
      <c r="D118" s="1" t="s">
        <v>840</v>
      </c>
      <c r="E118" s="1">
        <v>-5.75</v>
      </c>
      <c r="F118" s="1">
        <v>-4.0</v>
      </c>
      <c r="G118" s="1">
        <v>0.0</v>
      </c>
      <c r="H118" s="1" t="s">
        <v>809</v>
      </c>
      <c r="I118" s="1" t="s">
        <v>809</v>
      </c>
      <c r="J118" s="1" t="s">
        <v>809</v>
      </c>
      <c r="K118" s="1">
        <v>1.0</v>
      </c>
      <c r="L118" s="1">
        <v>68265.78</v>
      </c>
    </row>
    <row r="119">
      <c r="A119" s="1">
        <v>48.0</v>
      </c>
      <c r="B119" s="1" t="s">
        <v>806</v>
      </c>
      <c r="C119" s="1" t="s">
        <v>809</v>
      </c>
      <c r="D119" s="1" t="s">
        <v>814</v>
      </c>
      <c r="E119" s="1" t="s">
        <v>809</v>
      </c>
      <c r="F119" s="1" t="s">
        <v>809</v>
      </c>
      <c r="G119" s="1" t="s">
        <v>809</v>
      </c>
      <c r="H119" s="1" t="s">
        <v>809</v>
      </c>
      <c r="I119" s="1" t="s">
        <v>809</v>
      </c>
      <c r="J119" s="1" t="s">
        <v>809</v>
      </c>
      <c r="K119" s="1">
        <v>1.0</v>
      </c>
      <c r="L119" s="1">
        <v>72000.0</v>
      </c>
    </row>
    <row r="120">
      <c r="A120" s="1">
        <v>48.0</v>
      </c>
      <c r="B120" s="1" t="s">
        <v>825</v>
      </c>
      <c r="C120" s="1" t="s">
        <v>807</v>
      </c>
      <c r="D120" s="1" t="s">
        <v>840</v>
      </c>
      <c r="E120" s="1">
        <v>-6.0</v>
      </c>
      <c r="F120" s="1">
        <v>-5.0</v>
      </c>
      <c r="G120" s="1">
        <v>10.0</v>
      </c>
      <c r="H120" s="1" t="s">
        <v>809</v>
      </c>
      <c r="I120" s="1" t="s">
        <v>809</v>
      </c>
      <c r="J120" s="1" t="s">
        <v>809</v>
      </c>
      <c r="K120" s="1">
        <v>1.0</v>
      </c>
      <c r="L120" s="1">
        <v>38000.0</v>
      </c>
    </row>
    <row r="121">
      <c r="A121" s="1">
        <v>48.0</v>
      </c>
      <c r="B121" s="1" t="s">
        <v>825</v>
      </c>
      <c r="C121" s="1" t="s">
        <v>810</v>
      </c>
      <c r="D121" s="1" t="s">
        <v>840</v>
      </c>
      <c r="E121" s="1">
        <v>-5.75</v>
      </c>
      <c r="F121" s="1">
        <v>-4.0</v>
      </c>
      <c r="G121" s="1">
        <v>0.0</v>
      </c>
      <c r="H121" s="1" t="s">
        <v>809</v>
      </c>
      <c r="I121" s="1" t="s">
        <v>809</v>
      </c>
      <c r="J121" s="1" t="s">
        <v>809</v>
      </c>
      <c r="K121" s="1">
        <v>1.0</v>
      </c>
      <c r="L121" s="1">
        <v>38000.0</v>
      </c>
    </row>
    <row r="122">
      <c r="A122" s="1">
        <v>49.0</v>
      </c>
      <c r="B122" s="1" t="s">
        <v>806</v>
      </c>
      <c r="C122" s="1" t="s">
        <v>807</v>
      </c>
      <c r="D122" s="1" t="s">
        <v>841</v>
      </c>
      <c r="E122" s="1">
        <v>2.25</v>
      </c>
      <c r="F122" s="1">
        <v>-2.25</v>
      </c>
      <c r="G122" s="1">
        <v>95.0</v>
      </c>
      <c r="H122" s="1">
        <v>2.5</v>
      </c>
      <c r="I122" s="1" t="s">
        <v>809</v>
      </c>
      <c r="J122" s="1" t="s">
        <v>809</v>
      </c>
      <c r="K122" s="1">
        <v>1.0</v>
      </c>
      <c r="L122" s="1">
        <v>0.0</v>
      </c>
    </row>
    <row r="123">
      <c r="A123" s="1">
        <v>49.0</v>
      </c>
      <c r="B123" s="1" t="s">
        <v>806</v>
      </c>
      <c r="C123" s="1" t="s">
        <v>810</v>
      </c>
      <c r="D123" s="1" t="s">
        <v>841</v>
      </c>
      <c r="E123" s="1">
        <v>2.25</v>
      </c>
      <c r="F123" s="1">
        <v>-2.5</v>
      </c>
      <c r="G123" s="1">
        <v>85.0</v>
      </c>
      <c r="H123" s="1">
        <v>2.5</v>
      </c>
      <c r="I123" s="1" t="s">
        <v>809</v>
      </c>
      <c r="J123" s="1" t="s">
        <v>809</v>
      </c>
      <c r="K123" s="1">
        <v>1.0</v>
      </c>
      <c r="L123" s="1">
        <v>0.0</v>
      </c>
    </row>
    <row r="124">
      <c r="A124" s="1">
        <v>49.0</v>
      </c>
      <c r="B124" s="1" t="s">
        <v>806</v>
      </c>
      <c r="C124" s="1" t="s">
        <v>809</v>
      </c>
      <c r="D124" s="1" t="s">
        <v>828</v>
      </c>
      <c r="E124" s="1" t="s">
        <v>809</v>
      </c>
      <c r="F124" s="1" t="s">
        <v>809</v>
      </c>
      <c r="G124" s="1" t="s">
        <v>809</v>
      </c>
      <c r="H124" s="1" t="s">
        <v>809</v>
      </c>
      <c r="I124" s="1" t="s">
        <v>809</v>
      </c>
      <c r="J124" s="1" t="s">
        <v>809</v>
      </c>
      <c r="K124" s="1">
        <v>1.0</v>
      </c>
      <c r="L124" s="1">
        <v>0.0</v>
      </c>
    </row>
    <row r="125">
      <c r="A125" s="1">
        <v>50.0</v>
      </c>
      <c r="B125" s="1" t="s">
        <v>806</v>
      </c>
      <c r="C125" s="1" t="s">
        <v>807</v>
      </c>
      <c r="D125" s="1" t="s">
        <v>841</v>
      </c>
      <c r="E125" s="1">
        <v>1.75</v>
      </c>
      <c r="F125" s="1">
        <v>0.0</v>
      </c>
      <c r="G125" s="1">
        <v>0.0</v>
      </c>
      <c r="H125" s="1">
        <v>2.0</v>
      </c>
      <c r="I125" s="1" t="s">
        <v>809</v>
      </c>
      <c r="J125" s="1" t="s">
        <v>809</v>
      </c>
      <c r="K125" s="1">
        <v>1.0</v>
      </c>
      <c r="L125" s="1">
        <v>0.0</v>
      </c>
    </row>
    <row r="126">
      <c r="A126" s="1">
        <v>50.0</v>
      </c>
      <c r="B126" s="1" t="s">
        <v>806</v>
      </c>
      <c r="C126" s="1" t="s">
        <v>810</v>
      </c>
      <c r="D126" s="1" t="s">
        <v>841</v>
      </c>
      <c r="E126" s="1">
        <v>1.5</v>
      </c>
      <c r="F126" s="1">
        <v>0.0</v>
      </c>
      <c r="G126" s="1">
        <v>0.0</v>
      </c>
      <c r="H126" s="1">
        <v>2.0</v>
      </c>
      <c r="I126" s="1" t="s">
        <v>809</v>
      </c>
      <c r="J126" s="1" t="s">
        <v>809</v>
      </c>
      <c r="K126" s="1">
        <v>1.0</v>
      </c>
      <c r="L126" s="1">
        <v>0.0</v>
      </c>
    </row>
    <row r="127">
      <c r="A127" s="1">
        <v>50.0</v>
      </c>
      <c r="B127" s="1" t="s">
        <v>806</v>
      </c>
      <c r="C127" s="1" t="s">
        <v>809</v>
      </c>
      <c r="D127" s="1" t="s">
        <v>828</v>
      </c>
      <c r="E127" s="1" t="s">
        <v>809</v>
      </c>
      <c r="F127" s="1" t="s">
        <v>809</v>
      </c>
      <c r="G127" s="1" t="s">
        <v>809</v>
      </c>
      <c r="H127" s="1" t="s">
        <v>809</v>
      </c>
      <c r="I127" s="1" t="s">
        <v>809</v>
      </c>
      <c r="J127" s="1" t="s">
        <v>809</v>
      </c>
      <c r="K127" s="1">
        <v>1.0</v>
      </c>
      <c r="L127" s="1">
        <v>0.0</v>
      </c>
    </row>
    <row r="128">
      <c r="A128" s="1">
        <v>51.0</v>
      </c>
      <c r="B128" s="1" t="s">
        <v>806</v>
      </c>
      <c r="C128" s="1" t="s">
        <v>807</v>
      </c>
      <c r="D128" s="1" t="s">
        <v>841</v>
      </c>
      <c r="E128" s="1">
        <v>1.25</v>
      </c>
      <c r="F128" s="1">
        <v>-1.5</v>
      </c>
      <c r="G128" s="1">
        <v>85.0</v>
      </c>
      <c r="H128" s="1">
        <v>1.75</v>
      </c>
      <c r="I128" s="1" t="s">
        <v>809</v>
      </c>
      <c r="J128" s="1" t="s">
        <v>809</v>
      </c>
      <c r="K128" s="1">
        <v>1.0</v>
      </c>
      <c r="L128" s="1">
        <v>0.0</v>
      </c>
    </row>
    <row r="129">
      <c r="A129" s="1">
        <v>51.0</v>
      </c>
      <c r="B129" s="1" t="s">
        <v>806</v>
      </c>
      <c r="C129" s="1" t="s">
        <v>810</v>
      </c>
      <c r="D129" s="1" t="s">
        <v>841</v>
      </c>
      <c r="E129" s="1">
        <v>0.75</v>
      </c>
      <c r="F129" s="1">
        <v>-0.75</v>
      </c>
      <c r="G129" s="1">
        <v>103.0</v>
      </c>
      <c r="H129" s="1">
        <v>1.75</v>
      </c>
      <c r="I129" s="1" t="s">
        <v>809</v>
      </c>
      <c r="J129" s="1" t="s">
        <v>809</v>
      </c>
      <c r="K129" s="1">
        <v>1.0</v>
      </c>
      <c r="L129" s="1">
        <v>0.0</v>
      </c>
    </row>
    <row r="130">
      <c r="A130" s="1">
        <v>51.0</v>
      </c>
      <c r="B130" s="1" t="s">
        <v>806</v>
      </c>
      <c r="C130" s="1" t="s">
        <v>809</v>
      </c>
      <c r="D130" s="1" t="s">
        <v>828</v>
      </c>
      <c r="E130" s="1" t="s">
        <v>809</v>
      </c>
      <c r="F130" s="1" t="s">
        <v>809</v>
      </c>
      <c r="G130" s="1" t="s">
        <v>809</v>
      </c>
      <c r="H130" s="1" t="s">
        <v>809</v>
      </c>
      <c r="I130" s="1" t="s">
        <v>809</v>
      </c>
      <c r="J130" s="1" t="s">
        <v>809</v>
      </c>
      <c r="K130" s="1">
        <v>1.0</v>
      </c>
      <c r="L130" s="1">
        <v>0.0</v>
      </c>
    </row>
    <row r="131">
      <c r="A131" s="1">
        <v>52.0</v>
      </c>
      <c r="B131" s="1" t="s">
        <v>806</v>
      </c>
      <c r="C131" s="1" t="s">
        <v>807</v>
      </c>
      <c r="D131" s="1" t="s">
        <v>842</v>
      </c>
      <c r="E131" s="1">
        <v>-0.5</v>
      </c>
      <c r="F131" s="1">
        <v>-1.25</v>
      </c>
      <c r="G131" s="1">
        <v>85.0</v>
      </c>
      <c r="H131" s="1">
        <v>2.0</v>
      </c>
      <c r="I131" s="1" t="s">
        <v>809</v>
      </c>
      <c r="J131" s="1" t="s">
        <v>809</v>
      </c>
      <c r="K131" s="1">
        <v>1.0</v>
      </c>
      <c r="L131" s="1">
        <v>0.0</v>
      </c>
    </row>
    <row r="132">
      <c r="A132" s="1">
        <v>52.0</v>
      </c>
      <c r="B132" s="1" t="s">
        <v>806</v>
      </c>
      <c r="C132" s="1" t="s">
        <v>810</v>
      </c>
      <c r="D132" s="1" t="s">
        <v>842</v>
      </c>
      <c r="E132" s="1">
        <v>-0.5</v>
      </c>
      <c r="F132" s="1">
        <v>-1.25</v>
      </c>
      <c r="G132" s="1">
        <v>90.0</v>
      </c>
      <c r="H132" s="1">
        <v>2.0</v>
      </c>
      <c r="I132" s="1" t="s">
        <v>809</v>
      </c>
      <c r="J132" s="1" t="s">
        <v>809</v>
      </c>
      <c r="K132" s="1">
        <v>1.0</v>
      </c>
      <c r="L132" s="1">
        <v>0.0</v>
      </c>
    </row>
    <row r="133">
      <c r="A133" s="1">
        <v>52.0</v>
      </c>
      <c r="B133" s="1" t="s">
        <v>806</v>
      </c>
      <c r="C133" s="1" t="s">
        <v>809</v>
      </c>
      <c r="D133" s="1" t="s">
        <v>843</v>
      </c>
      <c r="E133" s="1" t="s">
        <v>809</v>
      </c>
      <c r="F133" s="1" t="s">
        <v>809</v>
      </c>
      <c r="G133" s="1" t="s">
        <v>809</v>
      </c>
      <c r="H133" s="1" t="s">
        <v>809</v>
      </c>
      <c r="I133" s="1" t="s">
        <v>809</v>
      </c>
      <c r="J133" s="1" t="s">
        <v>809</v>
      </c>
      <c r="K133" s="1">
        <v>1.0</v>
      </c>
      <c r="L133" s="1">
        <v>136800.0</v>
      </c>
    </row>
    <row r="134">
      <c r="A134" s="1">
        <v>53.0</v>
      </c>
      <c r="B134" s="1" t="s">
        <v>806</v>
      </c>
      <c r="C134" s="1" t="s">
        <v>807</v>
      </c>
      <c r="D134" s="1" t="s">
        <v>812</v>
      </c>
      <c r="E134" s="1">
        <v>1.0</v>
      </c>
      <c r="F134" s="1">
        <v>0.0</v>
      </c>
      <c r="G134" s="1" t="s">
        <v>809</v>
      </c>
      <c r="H134" s="1" t="s">
        <v>809</v>
      </c>
      <c r="I134" s="1">
        <v>30.0</v>
      </c>
      <c r="J134" s="1" t="s">
        <v>809</v>
      </c>
      <c r="K134" s="1">
        <v>1.0</v>
      </c>
      <c r="L134" s="1">
        <v>27769.5</v>
      </c>
    </row>
    <row r="135">
      <c r="A135" s="1">
        <v>53.0</v>
      </c>
      <c r="B135" s="1" t="s">
        <v>806</v>
      </c>
      <c r="C135" s="1" t="s">
        <v>810</v>
      </c>
      <c r="D135" s="1" t="s">
        <v>812</v>
      </c>
      <c r="E135" s="1">
        <v>1.0</v>
      </c>
      <c r="F135" s="1">
        <v>0.0</v>
      </c>
      <c r="G135" s="1" t="s">
        <v>809</v>
      </c>
      <c r="H135" s="1" t="s">
        <v>809</v>
      </c>
      <c r="I135" s="1">
        <v>30.0</v>
      </c>
      <c r="J135" s="1" t="s">
        <v>809</v>
      </c>
      <c r="K135" s="1">
        <v>1.0</v>
      </c>
      <c r="L135" s="1">
        <v>27769.5</v>
      </c>
    </row>
    <row r="136">
      <c r="A136" s="1">
        <v>53.0</v>
      </c>
      <c r="B136" s="1" t="s">
        <v>806</v>
      </c>
      <c r="C136" s="1" t="s">
        <v>809</v>
      </c>
      <c r="D136" s="1" t="s">
        <v>844</v>
      </c>
      <c r="E136" s="1" t="s">
        <v>809</v>
      </c>
      <c r="F136" s="1" t="s">
        <v>809</v>
      </c>
      <c r="G136" s="1" t="s">
        <v>809</v>
      </c>
      <c r="H136" s="1" t="s">
        <v>809</v>
      </c>
      <c r="I136" s="1" t="s">
        <v>809</v>
      </c>
      <c r="J136" s="1" t="s">
        <v>809</v>
      </c>
      <c r="K136" s="1">
        <v>1.0</v>
      </c>
      <c r="L136" s="1">
        <v>120960.0</v>
      </c>
    </row>
    <row r="137">
      <c r="A137" s="1">
        <v>54.0</v>
      </c>
      <c r="B137" s="1" t="s">
        <v>825</v>
      </c>
      <c r="C137" s="1" t="s">
        <v>807</v>
      </c>
      <c r="D137" s="1" t="s">
        <v>812</v>
      </c>
      <c r="E137" s="1">
        <v>0.0</v>
      </c>
      <c r="F137" s="1">
        <v>0.0</v>
      </c>
      <c r="G137" s="1" t="s">
        <v>809</v>
      </c>
      <c r="H137" s="1" t="s">
        <v>809</v>
      </c>
      <c r="I137" s="1" t="s">
        <v>809</v>
      </c>
      <c r="J137" s="1" t="s">
        <v>809</v>
      </c>
      <c r="K137" s="1">
        <v>1.0</v>
      </c>
      <c r="L137" s="1">
        <v>27769.5</v>
      </c>
    </row>
    <row r="138">
      <c r="A138" s="1">
        <v>54.0</v>
      </c>
      <c r="B138" s="1" t="s">
        <v>825</v>
      </c>
      <c r="C138" s="1" t="s">
        <v>810</v>
      </c>
      <c r="D138" s="1" t="s">
        <v>812</v>
      </c>
      <c r="E138" s="1">
        <v>0.0</v>
      </c>
      <c r="F138" s="1">
        <v>0.0</v>
      </c>
      <c r="G138" s="1" t="s">
        <v>809</v>
      </c>
      <c r="H138" s="1" t="s">
        <v>809</v>
      </c>
      <c r="I138" s="1" t="s">
        <v>809</v>
      </c>
      <c r="J138" s="1" t="s">
        <v>809</v>
      </c>
      <c r="K138" s="1">
        <v>1.0</v>
      </c>
      <c r="L138" s="1">
        <v>27769.5</v>
      </c>
    </row>
    <row r="139">
      <c r="A139" s="1">
        <v>54.0</v>
      </c>
      <c r="B139" s="1" t="s">
        <v>825</v>
      </c>
      <c r="C139" s="1" t="s">
        <v>809</v>
      </c>
      <c r="D139" s="1" t="s">
        <v>827</v>
      </c>
      <c r="E139" s="1" t="s">
        <v>809</v>
      </c>
      <c r="F139" s="1" t="s">
        <v>809</v>
      </c>
      <c r="G139" s="1" t="s">
        <v>809</v>
      </c>
      <c r="H139" s="1" t="s">
        <v>809</v>
      </c>
      <c r="I139" s="1" t="s">
        <v>809</v>
      </c>
      <c r="J139" s="1" t="s">
        <v>809</v>
      </c>
      <c r="K139" s="1">
        <v>1.0</v>
      </c>
      <c r="L139" s="1">
        <v>72000.0</v>
      </c>
    </row>
    <row r="140">
      <c r="A140" s="1">
        <v>55.0</v>
      </c>
      <c r="B140" s="1" t="s">
        <v>806</v>
      </c>
      <c r="C140" s="1" t="s">
        <v>807</v>
      </c>
      <c r="D140" s="1" t="s">
        <v>836</v>
      </c>
      <c r="E140" s="1">
        <v>0.0</v>
      </c>
      <c r="F140" s="1">
        <v>0.0</v>
      </c>
      <c r="G140" s="1" t="s">
        <v>809</v>
      </c>
      <c r="H140" s="1" t="s">
        <v>809</v>
      </c>
      <c r="I140" s="1" t="s">
        <v>809</v>
      </c>
      <c r="J140" s="1" t="s">
        <v>809</v>
      </c>
      <c r="K140" s="1">
        <v>1.0</v>
      </c>
      <c r="L140" s="1">
        <v>50660.28</v>
      </c>
    </row>
    <row r="141">
      <c r="A141" s="1">
        <v>55.0</v>
      </c>
      <c r="B141" s="1" t="s">
        <v>806</v>
      </c>
      <c r="C141" s="1" t="s">
        <v>810</v>
      </c>
      <c r="D141" s="1" t="s">
        <v>836</v>
      </c>
      <c r="E141" s="1">
        <v>0.0</v>
      </c>
      <c r="F141" s="1">
        <v>0.0</v>
      </c>
      <c r="G141" s="1" t="s">
        <v>809</v>
      </c>
      <c r="H141" s="1" t="s">
        <v>809</v>
      </c>
      <c r="I141" s="1" t="s">
        <v>809</v>
      </c>
      <c r="J141" s="1" t="s">
        <v>809</v>
      </c>
      <c r="K141" s="1">
        <v>1.0</v>
      </c>
      <c r="L141" s="1">
        <v>50660.28</v>
      </c>
    </row>
    <row r="142">
      <c r="A142" s="1">
        <v>55.0</v>
      </c>
      <c r="B142" s="1" t="s">
        <v>806</v>
      </c>
      <c r="C142" s="1" t="s">
        <v>809</v>
      </c>
      <c r="D142" s="1" t="s">
        <v>845</v>
      </c>
      <c r="E142" s="1" t="s">
        <v>809</v>
      </c>
      <c r="F142" s="1" t="s">
        <v>809</v>
      </c>
      <c r="G142" s="1" t="s">
        <v>809</v>
      </c>
      <c r="H142" s="1" t="s">
        <v>809</v>
      </c>
      <c r="I142" s="1" t="s">
        <v>809</v>
      </c>
      <c r="J142" s="1" t="s">
        <v>809</v>
      </c>
      <c r="K142" s="1">
        <v>1.0</v>
      </c>
      <c r="L142" s="1">
        <v>147600.0</v>
      </c>
    </row>
    <row r="143">
      <c r="A143" s="1">
        <v>56.0</v>
      </c>
      <c r="B143" s="1" t="s">
        <v>809</v>
      </c>
      <c r="C143" s="1" t="s">
        <v>809</v>
      </c>
      <c r="D143" s="1" t="s">
        <v>846</v>
      </c>
      <c r="E143" s="1" t="s">
        <v>809</v>
      </c>
      <c r="F143" s="1" t="s">
        <v>809</v>
      </c>
      <c r="G143" s="1" t="s">
        <v>809</v>
      </c>
      <c r="H143" s="1" t="s">
        <v>809</v>
      </c>
      <c r="I143" s="1" t="s">
        <v>809</v>
      </c>
      <c r="J143" s="1" t="s">
        <v>809</v>
      </c>
      <c r="K143" s="1">
        <v>1.0</v>
      </c>
      <c r="L143" s="1">
        <v>136800.0</v>
      </c>
    </row>
    <row r="144">
      <c r="A144" s="1">
        <v>57.0</v>
      </c>
      <c r="B144" s="1" t="s">
        <v>806</v>
      </c>
      <c r="C144" s="1" t="s">
        <v>807</v>
      </c>
      <c r="D144" s="1" t="s">
        <v>808</v>
      </c>
      <c r="E144" s="1">
        <v>0.0</v>
      </c>
      <c r="F144" s="1">
        <v>0.0</v>
      </c>
      <c r="G144" s="1" t="s">
        <v>809</v>
      </c>
      <c r="H144" s="1" t="s">
        <v>809</v>
      </c>
      <c r="I144" s="1" t="s">
        <v>809</v>
      </c>
      <c r="J144" s="1" t="s">
        <v>809</v>
      </c>
      <c r="K144" s="1">
        <v>1.0</v>
      </c>
      <c r="L144" s="1">
        <v>22500.0</v>
      </c>
    </row>
    <row r="145">
      <c r="A145" s="1">
        <v>57.0</v>
      </c>
      <c r="B145" s="1" t="s">
        <v>806</v>
      </c>
      <c r="C145" s="1" t="s">
        <v>810</v>
      </c>
      <c r="D145" s="1" t="s">
        <v>808</v>
      </c>
      <c r="E145" s="1">
        <v>0.0</v>
      </c>
      <c r="F145" s="1">
        <v>0.0</v>
      </c>
      <c r="G145" s="1" t="s">
        <v>809</v>
      </c>
      <c r="H145" s="1" t="s">
        <v>809</v>
      </c>
      <c r="I145" s="1" t="s">
        <v>809</v>
      </c>
      <c r="J145" s="1" t="s">
        <v>809</v>
      </c>
      <c r="K145" s="1">
        <v>1.0</v>
      </c>
      <c r="L145" s="1">
        <v>22500.0</v>
      </c>
    </row>
    <row r="146">
      <c r="A146" s="1">
        <v>57.0</v>
      </c>
      <c r="B146" s="1" t="s">
        <v>806</v>
      </c>
      <c r="C146" s="1" t="s">
        <v>809</v>
      </c>
      <c r="D146" s="1" t="s">
        <v>847</v>
      </c>
      <c r="E146" s="1" t="s">
        <v>809</v>
      </c>
      <c r="F146" s="1" t="s">
        <v>809</v>
      </c>
      <c r="G146" s="1" t="s">
        <v>809</v>
      </c>
      <c r="H146" s="1" t="s">
        <v>809</v>
      </c>
      <c r="I146" s="1" t="s">
        <v>809</v>
      </c>
      <c r="J146" s="1" t="s">
        <v>809</v>
      </c>
      <c r="K146" s="1">
        <v>1.0</v>
      </c>
      <c r="L146" s="1">
        <v>188280.0</v>
      </c>
    </row>
    <row r="147">
      <c r="A147" s="1">
        <v>57.0</v>
      </c>
      <c r="B147" s="1" t="s">
        <v>825</v>
      </c>
      <c r="C147" s="1" t="s">
        <v>807</v>
      </c>
      <c r="D147" s="1" t="s">
        <v>808</v>
      </c>
      <c r="E147" s="1">
        <v>0.0</v>
      </c>
      <c r="F147" s="1">
        <v>0.0</v>
      </c>
      <c r="G147" s="1" t="s">
        <v>809</v>
      </c>
      <c r="H147" s="1" t="s">
        <v>809</v>
      </c>
      <c r="I147" s="1" t="s">
        <v>809</v>
      </c>
      <c r="J147" s="1" t="s">
        <v>809</v>
      </c>
      <c r="K147" s="1">
        <v>1.0</v>
      </c>
      <c r="L147" s="1">
        <v>22500.0</v>
      </c>
    </row>
    <row r="148">
      <c r="A148" s="1">
        <v>57.0</v>
      </c>
      <c r="B148" s="1" t="s">
        <v>825</v>
      </c>
      <c r="C148" s="1" t="s">
        <v>810</v>
      </c>
      <c r="D148" s="1" t="s">
        <v>808</v>
      </c>
      <c r="E148" s="1">
        <v>0.0</v>
      </c>
      <c r="F148" s="1">
        <v>0.0</v>
      </c>
      <c r="G148" s="1" t="s">
        <v>809</v>
      </c>
      <c r="H148" s="1" t="s">
        <v>809</v>
      </c>
      <c r="I148" s="1" t="s">
        <v>809</v>
      </c>
      <c r="J148" s="1" t="s">
        <v>809</v>
      </c>
      <c r="K148" s="1">
        <v>1.0</v>
      </c>
      <c r="L148" s="1">
        <v>22500.0</v>
      </c>
    </row>
    <row r="149">
      <c r="A149" s="1">
        <v>57.0</v>
      </c>
      <c r="B149" s="1" t="s">
        <v>825</v>
      </c>
      <c r="C149" s="1" t="s">
        <v>809</v>
      </c>
      <c r="D149" s="1" t="s">
        <v>848</v>
      </c>
      <c r="E149" s="1" t="s">
        <v>809</v>
      </c>
      <c r="F149" s="1" t="s">
        <v>809</v>
      </c>
      <c r="G149" s="1" t="s">
        <v>809</v>
      </c>
      <c r="H149" s="1" t="s">
        <v>809</v>
      </c>
      <c r="I149" s="1" t="s">
        <v>809</v>
      </c>
      <c r="J149" s="1" t="s">
        <v>809</v>
      </c>
      <c r="K149" s="1">
        <v>1.0</v>
      </c>
      <c r="L149" s="1">
        <v>180000.0</v>
      </c>
    </row>
    <row r="150">
      <c r="A150" s="1">
        <v>58.0</v>
      </c>
      <c r="B150" s="1" t="s">
        <v>809</v>
      </c>
      <c r="C150" s="1" t="s">
        <v>809</v>
      </c>
      <c r="D150" s="1" t="s">
        <v>849</v>
      </c>
      <c r="E150" s="1" t="s">
        <v>809</v>
      </c>
      <c r="F150" s="1" t="s">
        <v>809</v>
      </c>
      <c r="G150" s="1" t="s">
        <v>809</v>
      </c>
      <c r="H150" s="1" t="s">
        <v>809</v>
      </c>
      <c r="I150" s="1" t="s">
        <v>809</v>
      </c>
      <c r="J150" s="1" t="s">
        <v>809</v>
      </c>
      <c r="K150" s="1">
        <v>1.0</v>
      </c>
      <c r="L150" s="1">
        <v>136800.0</v>
      </c>
    </row>
    <row r="151">
      <c r="A151" s="1">
        <v>59.0</v>
      </c>
      <c r="B151" s="1" t="s">
        <v>806</v>
      </c>
      <c r="C151" s="1" t="s">
        <v>807</v>
      </c>
      <c r="D151" s="1" t="s">
        <v>836</v>
      </c>
      <c r="E151" s="1">
        <v>0.0</v>
      </c>
      <c r="F151" s="1">
        <v>0.0</v>
      </c>
      <c r="G151" s="1" t="s">
        <v>809</v>
      </c>
      <c r="H151" s="1" t="s">
        <v>809</v>
      </c>
      <c r="I151" s="1" t="s">
        <v>809</v>
      </c>
      <c r="J151" s="1" t="s">
        <v>809</v>
      </c>
      <c r="K151" s="1">
        <v>1.0</v>
      </c>
      <c r="L151" s="1">
        <v>45450.0</v>
      </c>
    </row>
    <row r="152">
      <c r="A152" s="1">
        <v>59.0</v>
      </c>
      <c r="B152" s="1" t="s">
        <v>806</v>
      </c>
      <c r="C152" s="1" t="s">
        <v>810</v>
      </c>
      <c r="D152" s="1" t="s">
        <v>836</v>
      </c>
      <c r="E152" s="1">
        <v>0.0</v>
      </c>
      <c r="F152" s="1">
        <v>0.0</v>
      </c>
      <c r="G152" s="1" t="s">
        <v>809</v>
      </c>
      <c r="H152" s="1" t="s">
        <v>809</v>
      </c>
      <c r="I152" s="1" t="s">
        <v>809</v>
      </c>
      <c r="J152" s="1" t="s">
        <v>809</v>
      </c>
      <c r="K152" s="1">
        <v>1.0</v>
      </c>
      <c r="L152" s="1">
        <v>45450.0</v>
      </c>
    </row>
    <row r="153">
      <c r="A153" s="1">
        <v>59.0</v>
      </c>
      <c r="B153" s="1" t="s">
        <v>806</v>
      </c>
      <c r="C153" s="1" t="s">
        <v>809</v>
      </c>
      <c r="D153" s="1" t="s">
        <v>850</v>
      </c>
      <c r="E153" s="1" t="s">
        <v>809</v>
      </c>
      <c r="F153" s="1" t="s">
        <v>809</v>
      </c>
      <c r="G153" s="1" t="s">
        <v>809</v>
      </c>
      <c r="H153" s="1" t="s">
        <v>809</v>
      </c>
      <c r="I153" s="1" t="s">
        <v>809</v>
      </c>
      <c r="J153" s="1" t="s">
        <v>809</v>
      </c>
      <c r="K153" s="1">
        <v>1.0</v>
      </c>
      <c r="L153" s="1">
        <v>169120.8</v>
      </c>
    </row>
    <row r="154">
      <c r="A154" s="1">
        <v>60.0</v>
      </c>
      <c r="B154" s="1" t="s">
        <v>825</v>
      </c>
      <c r="C154" s="1" t="s">
        <v>807</v>
      </c>
      <c r="D154" s="1" t="s">
        <v>812</v>
      </c>
      <c r="E154" s="1">
        <v>2.75</v>
      </c>
      <c r="F154" s="1">
        <v>0.0</v>
      </c>
      <c r="G154" s="1" t="s">
        <v>809</v>
      </c>
      <c r="H154" s="1" t="s">
        <v>809</v>
      </c>
      <c r="I154" s="1" t="s">
        <v>809</v>
      </c>
      <c r="J154" s="1">
        <v>25.0</v>
      </c>
      <c r="K154" s="1">
        <v>1.0</v>
      </c>
      <c r="L154" s="1">
        <v>50000.0</v>
      </c>
    </row>
    <row r="155">
      <c r="A155" s="1">
        <v>60.0</v>
      </c>
      <c r="B155" s="1" t="s">
        <v>825</v>
      </c>
      <c r="C155" s="1" t="s">
        <v>810</v>
      </c>
      <c r="D155" s="1" t="s">
        <v>812</v>
      </c>
      <c r="E155" s="1">
        <v>3.0</v>
      </c>
      <c r="F155" s="1">
        <v>0.0</v>
      </c>
      <c r="G155" s="1" t="s">
        <v>809</v>
      </c>
      <c r="H155" s="1" t="s">
        <v>809</v>
      </c>
      <c r="I155" s="1" t="s">
        <v>809</v>
      </c>
      <c r="J155" s="1">
        <v>25.0</v>
      </c>
      <c r="K155" s="1">
        <v>1.0</v>
      </c>
      <c r="L155" s="1">
        <v>0.0</v>
      </c>
    </row>
    <row r="156">
      <c r="A156" s="1">
        <v>61.0</v>
      </c>
      <c r="B156" s="1" t="s">
        <v>809</v>
      </c>
      <c r="C156" s="1" t="s">
        <v>809</v>
      </c>
      <c r="D156" s="1" t="s">
        <v>851</v>
      </c>
      <c r="E156" s="1" t="s">
        <v>809</v>
      </c>
      <c r="F156" s="1" t="s">
        <v>809</v>
      </c>
      <c r="G156" s="1" t="s">
        <v>809</v>
      </c>
      <c r="H156" s="1" t="s">
        <v>809</v>
      </c>
      <c r="I156" s="1" t="s">
        <v>809</v>
      </c>
      <c r="J156" s="1" t="s">
        <v>809</v>
      </c>
      <c r="K156" s="1">
        <v>1.0</v>
      </c>
      <c r="L156" s="1">
        <v>6000.0</v>
      </c>
    </row>
    <row r="157">
      <c r="A157" s="1">
        <v>62.0</v>
      </c>
      <c r="B157" s="1" t="s">
        <v>806</v>
      </c>
      <c r="C157" s="1" t="s">
        <v>807</v>
      </c>
      <c r="D157" s="1" t="s">
        <v>836</v>
      </c>
      <c r="E157" s="1">
        <v>0.0</v>
      </c>
      <c r="F157" s="1">
        <v>-3.5</v>
      </c>
      <c r="G157" s="1">
        <v>180.0</v>
      </c>
      <c r="H157" s="1" t="s">
        <v>809</v>
      </c>
      <c r="I157" s="1" t="s">
        <v>809</v>
      </c>
      <c r="J157" s="1" t="s">
        <v>809</v>
      </c>
      <c r="K157" s="1">
        <v>1.0</v>
      </c>
      <c r="L157" s="1">
        <v>189000.0</v>
      </c>
    </row>
    <row r="158">
      <c r="A158" s="1">
        <v>62.0</v>
      </c>
      <c r="B158" s="1" t="s">
        <v>806</v>
      </c>
      <c r="C158" s="1" t="s">
        <v>810</v>
      </c>
      <c r="D158" s="1" t="s">
        <v>836</v>
      </c>
      <c r="E158" s="1">
        <v>0.0</v>
      </c>
      <c r="F158" s="1">
        <v>-1.5</v>
      </c>
      <c r="G158" s="1">
        <v>180.0</v>
      </c>
      <c r="H158" s="1" t="s">
        <v>809</v>
      </c>
      <c r="I158" s="1" t="s">
        <v>809</v>
      </c>
      <c r="J158" s="1" t="s">
        <v>809</v>
      </c>
      <c r="K158" s="1">
        <v>1.0</v>
      </c>
      <c r="L158" s="1">
        <v>189000.0</v>
      </c>
    </row>
    <row r="159">
      <c r="A159" s="1">
        <v>62.0</v>
      </c>
      <c r="B159" s="1" t="s">
        <v>806</v>
      </c>
      <c r="C159" s="1" t="s">
        <v>809</v>
      </c>
      <c r="D159" s="1" t="s">
        <v>852</v>
      </c>
      <c r="E159" s="1" t="s">
        <v>809</v>
      </c>
      <c r="F159" s="1" t="s">
        <v>809</v>
      </c>
      <c r="G159" s="1" t="s">
        <v>809</v>
      </c>
      <c r="H159" s="1" t="s">
        <v>809</v>
      </c>
      <c r="I159" s="1" t="s">
        <v>809</v>
      </c>
      <c r="J159" s="1" t="s">
        <v>809</v>
      </c>
      <c r="K159" s="1">
        <v>1.0</v>
      </c>
      <c r="L159" s="1">
        <v>220000.0</v>
      </c>
    </row>
    <row r="160">
      <c r="A160" s="1">
        <v>62.0</v>
      </c>
      <c r="B160" s="1" t="s">
        <v>825</v>
      </c>
      <c r="C160" s="1" t="s">
        <v>807</v>
      </c>
      <c r="D160" s="1" t="s">
        <v>836</v>
      </c>
      <c r="E160" s="1">
        <v>0.0</v>
      </c>
      <c r="F160" s="1">
        <v>0.0</v>
      </c>
      <c r="G160" s="1" t="s">
        <v>809</v>
      </c>
      <c r="H160" s="1" t="s">
        <v>809</v>
      </c>
      <c r="I160" s="1" t="s">
        <v>809</v>
      </c>
      <c r="J160" s="1" t="s">
        <v>809</v>
      </c>
      <c r="K160" s="1">
        <v>1.0</v>
      </c>
      <c r="L160" s="1">
        <v>0.0</v>
      </c>
    </row>
    <row r="161">
      <c r="A161" s="1">
        <v>62.0</v>
      </c>
      <c r="B161" s="1" t="s">
        <v>825</v>
      </c>
      <c r="C161" s="1" t="s">
        <v>810</v>
      </c>
      <c r="D161" s="1" t="s">
        <v>836</v>
      </c>
      <c r="E161" s="1">
        <v>0.0</v>
      </c>
      <c r="F161" s="1">
        <v>0.0</v>
      </c>
      <c r="G161" s="1" t="s">
        <v>809</v>
      </c>
      <c r="H161" s="1" t="s">
        <v>809</v>
      </c>
      <c r="I161" s="1" t="s">
        <v>809</v>
      </c>
      <c r="J161" s="1" t="s">
        <v>809</v>
      </c>
      <c r="K161" s="1">
        <v>1.0</v>
      </c>
      <c r="L161" s="1">
        <v>0.0</v>
      </c>
    </row>
    <row r="162">
      <c r="A162" s="1">
        <v>62.0</v>
      </c>
      <c r="B162" s="1" t="s">
        <v>825</v>
      </c>
      <c r="C162" s="1" t="s">
        <v>809</v>
      </c>
      <c r="D162" s="1" t="s">
        <v>853</v>
      </c>
      <c r="E162" s="1" t="s">
        <v>809</v>
      </c>
      <c r="F162" s="1" t="s">
        <v>809</v>
      </c>
      <c r="G162" s="1" t="s">
        <v>809</v>
      </c>
      <c r="H162" s="1" t="s">
        <v>809</v>
      </c>
      <c r="I162" s="1" t="s">
        <v>809</v>
      </c>
      <c r="J162" s="1" t="s">
        <v>809</v>
      </c>
      <c r="K162" s="1">
        <v>1.0</v>
      </c>
      <c r="L162" s="1">
        <v>0.0</v>
      </c>
    </row>
    <row r="163">
      <c r="A163" s="1">
        <v>63.0</v>
      </c>
      <c r="B163" s="1" t="s">
        <v>806</v>
      </c>
      <c r="C163" s="1" t="s">
        <v>807</v>
      </c>
      <c r="D163" s="1" t="s">
        <v>823</v>
      </c>
      <c r="E163" s="1">
        <v>0.0</v>
      </c>
      <c r="F163" s="1">
        <v>-2.0</v>
      </c>
      <c r="G163" s="1">
        <v>10.0</v>
      </c>
      <c r="H163" s="1">
        <v>2.0</v>
      </c>
      <c r="I163" s="1" t="s">
        <v>809</v>
      </c>
      <c r="J163" s="1" t="s">
        <v>809</v>
      </c>
      <c r="K163" s="1">
        <v>1.0</v>
      </c>
      <c r="L163" s="1">
        <v>295000.0</v>
      </c>
    </row>
    <row r="164">
      <c r="A164" s="1">
        <v>63.0</v>
      </c>
      <c r="B164" s="1" t="s">
        <v>806</v>
      </c>
      <c r="C164" s="1" t="s">
        <v>810</v>
      </c>
      <c r="D164" s="1" t="s">
        <v>823</v>
      </c>
      <c r="E164" s="1">
        <v>0.0</v>
      </c>
      <c r="F164" s="1">
        <v>-2.0</v>
      </c>
      <c r="G164" s="1">
        <v>15.0</v>
      </c>
      <c r="H164" s="1">
        <v>2.0</v>
      </c>
      <c r="I164" s="1" t="s">
        <v>809</v>
      </c>
      <c r="J164" s="1" t="s">
        <v>809</v>
      </c>
      <c r="K164" s="1">
        <v>1.0</v>
      </c>
      <c r="L164" s="1">
        <v>295000.0</v>
      </c>
    </row>
    <row r="165">
      <c r="A165" s="1">
        <v>63.0</v>
      </c>
      <c r="B165" s="1" t="s">
        <v>806</v>
      </c>
      <c r="C165" s="1" t="s">
        <v>809</v>
      </c>
      <c r="D165" s="1" t="s">
        <v>829</v>
      </c>
      <c r="E165" s="1" t="s">
        <v>809</v>
      </c>
      <c r="F165" s="1" t="s">
        <v>809</v>
      </c>
      <c r="G165" s="1" t="s">
        <v>809</v>
      </c>
      <c r="H165" s="1" t="s">
        <v>809</v>
      </c>
      <c r="I165" s="1" t="s">
        <v>809</v>
      </c>
      <c r="J165" s="1" t="s">
        <v>809</v>
      </c>
      <c r="K165" s="1">
        <v>1.0</v>
      </c>
      <c r="L165" s="1">
        <v>120000.0</v>
      </c>
    </row>
    <row r="166">
      <c r="A166" s="1">
        <v>64.0</v>
      </c>
      <c r="B166" s="1" t="s">
        <v>806</v>
      </c>
      <c r="C166" s="1" t="s">
        <v>807</v>
      </c>
      <c r="D166" s="1" t="s">
        <v>841</v>
      </c>
      <c r="E166" s="1">
        <v>0.0</v>
      </c>
      <c r="F166" s="1">
        <v>-2.0</v>
      </c>
      <c r="G166" s="1">
        <v>10.0</v>
      </c>
      <c r="H166" s="1">
        <v>2.0</v>
      </c>
      <c r="I166" s="1" t="s">
        <v>809</v>
      </c>
      <c r="J166" s="1" t="s">
        <v>809</v>
      </c>
      <c r="K166" s="1">
        <v>1.0</v>
      </c>
      <c r="L166" s="1">
        <v>0.0</v>
      </c>
    </row>
    <row r="167">
      <c r="A167" s="1">
        <v>64.0</v>
      </c>
      <c r="B167" s="1" t="s">
        <v>806</v>
      </c>
      <c r="C167" s="1" t="s">
        <v>810</v>
      </c>
      <c r="D167" s="1" t="s">
        <v>841</v>
      </c>
      <c r="E167" s="1">
        <v>0.0</v>
      </c>
      <c r="F167" s="1">
        <v>-2.0</v>
      </c>
      <c r="G167" s="1">
        <v>15.0</v>
      </c>
      <c r="H167" s="1">
        <v>2.0</v>
      </c>
      <c r="I167" s="1" t="s">
        <v>809</v>
      </c>
      <c r="J167" s="1" t="s">
        <v>809</v>
      </c>
      <c r="K167" s="1">
        <v>1.0</v>
      </c>
      <c r="L167" s="1">
        <v>0.0</v>
      </c>
    </row>
    <row r="168">
      <c r="A168" s="1">
        <v>64.0</v>
      </c>
      <c r="B168" s="1" t="s">
        <v>806</v>
      </c>
      <c r="C168" s="1" t="s">
        <v>809</v>
      </c>
      <c r="D168" s="1" t="s">
        <v>816</v>
      </c>
      <c r="E168" s="1" t="s">
        <v>809</v>
      </c>
      <c r="F168" s="1" t="s">
        <v>809</v>
      </c>
      <c r="G168" s="1" t="s">
        <v>809</v>
      </c>
      <c r="H168" s="1" t="s">
        <v>809</v>
      </c>
      <c r="I168" s="1" t="s">
        <v>809</v>
      </c>
      <c r="J168" s="1" t="s">
        <v>809</v>
      </c>
      <c r="K168" s="1">
        <v>1.0</v>
      </c>
      <c r="L168" s="1">
        <v>0.0</v>
      </c>
    </row>
    <row r="169">
      <c r="A169" s="1">
        <v>65.0</v>
      </c>
      <c r="B169" s="1" t="s">
        <v>806</v>
      </c>
      <c r="C169" s="1" t="s">
        <v>807</v>
      </c>
      <c r="D169" s="1" t="s">
        <v>812</v>
      </c>
      <c r="E169" s="1">
        <v>-3.0</v>
      </c>
      <c r="F169" s="1">
        <v>-0.5</v>
      </c>
      <c r="G169" s="1">
        <v>150.0</v>
      </c>
      <c r="H169" s="1" t="s">
        <v>809</v>
      </c>
      <c r="I169" s="1">
        <v>30.0</v>
      </c>
      <c r="J169" s="1">
        <v>29.0</v>
      </c>
      <c r="K169" s="1">
        <v>1.0</v>
      </c>
      <c r="L169" s="1">
        <v>29157.98</v>
      </c>
    </row>
    <row r="170">
      <c r="A170" s="1">
        <v>65.0</v>
      </c>
      <c r="B170" s="1" t="s">
        <v>806</v>
      </c>
      <c r="C170" s="1" t="s">
        <v>810</v>
      </c>
      <c r="D170" s="1" t="s">
        <v>812</v>
      </c>
      <c r="E170" s="1">
        <v>-3.0</v>
      </c>
      <c r="F170" s="1">
        <v>0.0</v>
      </c>
      <c r="G170" s="1" t="s">
        <v>809</v>
      </c>
      <c r="H170" s="1" t="s">
        <v>809</v>
      </c>
      <c r="I170" s="1">
        <v>30.0</v>
      </c>
      <c r="J170" s="1">
        <v>29.0</v>
      </c>
      <c r="K170" s="1">
        <v>1.0</v>
      </c>
      <c r="L170" s="1">
        <v>29157.98</v>
      </c>
    </row>
    <row r="171">
      <c r="A171" s="1">
        <v>65.0</v>
      </c>
      <c r="B171" s="1" t="s">
        <v>806</v>
      </c>
      <c r="C171" s="1" t="s">
        <v>809</v>
      </c>
      <c r="D171" s="1" t="s">
        <v>854</v>
      </c>
      <c r="E171" s="1" t="s">
        <v>809</v>
      </c>
      <c r="F171" s="1" t="s">
        <v>809</v>
      </c>
      <c r="G171" s="1" t="s">
        <v>809</v>
      </c>
      <c r="H171" s="1" t="s">
        <v>809</v>
      </c>
      <c r="I171" s="1" t="s">
        <v>809</v>
      </c>
      <c r="J171" s="1" t="s">
        <v>809</v>
      </c>
      <c r="K171" s="1">
        <v>1.0</v>
      </c>
      <c r="L171" s="1">
        <v>230400.0</v>
      </c>
    </row>
    <row r="172">
      <c r="A172" s="1">
        <v>66.0</v>
      </c>
      <c r="B172" s="1" t="s">
        <v>806</v>
      </c>
      <c r="C172" s="1" t="s">
        <v>807</v>
      </c>
      <c r="D172" s="1" t="s">
        <v>812</v>
      </c>
      <c r="E172" s="1">
        <v>0.0</v>
      </c>
      <c r="F172" s="1">
        <v>-0.25</v>
      </c>
      <c r="G172" s="1">
        <v>10.0</v>
      </c>
      <c r="H172" s="1" t="s">
        <v>809</v>
      </c>
      <c r="I172" s="1">
        <v>10.0</v>
      </c>
      <c r="J172" s="1" t="s">
        <v>809</v>
      </c>
      <c r="K172" s="1">
        <v>1.0</v>
      </c>
      <c r="L172" s="1">
        <v>29157.98</v>
      </c>
    </row>
    <row r="173">
      <c r="A173" s="1">
        <v>66.0</v>
      </c>
      <c r="B173" s="1" t="s">
        <v>806</v>
      </c>
      <c r="C173" s="1" t="s">
        <v>810</v>
      </c>
      <c r="D173" s="1" t="s">
        <v>812</v>
      </c>
      <c r="E173" s="1">
        <v>0.0</v>
      </c>
      <c r="F173" s="1">
        <v>-0.25</v>
      </c>
      <c r="G173" s="1">
        <v>155.0</v>
      </c>
      <c r="H173" s="1" t="s">
        <v>809</v>
      </c>
      <c r="I173" s="1">
        <v>155.0</v>
      </c>
      <c r="J173" s="1" t="s">
        <v>809</v>
      </c>
      <c r="K173" s="1">
        <v>1.0</v>
      </c>
      <c r="L173" s="1">
        <v>29157.98</v>
      </c>
    </row>
    <row r="174">
      <c r="A174" s="1">
        <v>66.0</v>
      </c>
      <c r="B174" s="1" t="s">
        <v>806</v>
      </c>
      <c r="C174" s="1" t="s">
        <v>809</v>
      </c>
      <c r="D174" s="1" t="s">
        <v>855</v>
      </c>
      <c r="E174" s="1" t="s">
        <v>809</v>
      </c>
      <c r="F174" s="1" t="s">
        <v>809</v>
      </c>
      <c r="G174" s="1" t="s">
        <v>809</v>
      </c>
      <c r="H174" s="1" t="s">
        <v>809</v>
      </c>
      <c r="I174" s="1" t="s">
        <v>809</v>
      </c>
      <c r="J174" s="1" t="s">
        <v>809</v>
      </c>
      <c r="K174" s="1">
        <v>1.0</v>
      </c>
      <c r="L174" s="1">
        <v>144000.0</v>
      </c>
    </row>
    <row r="175">
      <c r="A175" s="1">
        <v>67.0</v>
      </c>
      <c r="B175" s="1" t="s">
        <v>825</v>
      </c>
      <c r="C175" s="1" t="s">
        <v>807</v>
      </c>
      <c r="D175" s="1" t="s">
        <v>812</v>
      </c>
      <c r="E175" s="1">
        <v>0.0</v>
      </c>
      <c r="F175" s="1">
        <v>0.0</v>
      </c>
      <c r="G175" s="1" t="s">
        <v>809</v>
      </c>
      <c r="H175" s="1" t="s">
        <v>809</v>
      </c>
      <c r="I175" s="1" t="s">
        <v>809</v>
      </c>
      <c r="J175" s="1" t="s">
        <v>809</v>
      </c>
      <c r="K175" s="1">
        <v>1.0</v>
      </c>
      <c r="L175" s="1">
        <v>29157.98</v>
      </c>
    </row>
    <row r="176">
      <c r="A176" s="1">
        <v>67.0</v>
      </c>
      <c r="B176" s="1" t="s">
        <v>825</v>
      </c>
      <c r="C176" s="1" t="s">
        <v>810</v>
      </c>
      <c r="D176" s="1" t="s">
        <v>812</v>
      </c>
      <c r="E176" s="1">
        <v>0.0</v>
      </c>
      <c r="F176" s="1">
        <v>0.0</v>
      </c>
      <c r="G176" s="1" t="s">
        <v>809</v>
      </c>
      <c r="H176" s="1" t="s">
        <v>809</v>
      </c>
      <c r="I176" s="1" t="s">
        <v>809</v>
      </c>
      <c r="J176" s="1" t="s">
        <v>809</v>
      </c>
      <c r="K176" s="1">
        <v>1.0</v>
      </c>
      <c r="L176" s="1">
        <v>29157.98</v>
      </c>
    </row>
    <row r="177">
      <c r="A177" s="1">
        <v>67.0</v>
      </c>
      <c r="B177" s="1" t="s">
        <v>825</v>
      </c>
      <c r="C177" s="1" t="s">
        <v>809</v>
      </c>
      <c r="D177" s="1" t="s">
        <v>827</v>
      </c>
      <c r="E177" s="1" t="s">
        <v>809</v>
      </c>
      <c r="F177" s="1" t="s">
        <v>809</v>
      </c>
      <c r="G177" s="1" t="s">
        <v>809</v>
      </c>
      <c r="H177" s="1" t="s">
        <v>809</v>
      </c>
      <c r="I177" s="1" t="s">
        <v>809</v>
      </c>
      <c r="J177" s="1" t="s">
        <v>809</v>
      </c>
      <c r="K177" s="1">
        <v>1.0</v>
      </c>
      <c r="L177" s="1">
        <v>71684.05</v>
      </c>
    </row>
    <row r="178">
      <c r="A178" s="1">
        <v>68.0</v>
      </c>
      <c r="B178" s="1" t="s">
        <v>806</v>
      </c>
      <c r="C178" s="1" t="s">
        <v>807</v>
      </c>
      <c r="D178" s="1" t="s">
        <v>812</v>
      </c>
      <c r="E178" s="1">
        <v>0.0</v>
      </c>
      <c r="F178" s="1">
        <v>0.0</v>
      </c>
      <c r="G178" s="1" t="s">
        <v>809</v>
      </c>
      <c r="H178" s="1" t="s">
        <v>809</v>
      </c>
      <c r="I178" s="1" t="s">
        <v>809</v>
      </c>
      <c r="J178" s="1" t="s">
        <v>809</v>
      </c>
      <c r="K178" s="1">
        <v>1.0</v>
      </c>
      <c r="L178" s="1">
        <v>29157.98</v>
      </c>
    </row>
    <row r="179">
      <c r="A179" s="1">
        <v>68.0</v>
      </c>
      <c r="B179" s="1" t="s">
        <v>806</v>
      </c>
      <c r="C179" s="1" t="s">
        <v>810</v>
      </c>
      <c r="D179" s="1" t="s">
        <v>812</v>
      </c>
      <c r="E179" s="1">
        <v>0.0</v>
      </c>
      <c r="F179" s="1">
        <v>0.0</v>
      </c>
      <c r="G179" s="1" t="s">
        <v>809</v>
      </c>
      <c r="H179" s="1" t="s">
        <v>809</v>
      </c>
      <c r="I179" s="1" t="s">
        <v>809</v>
      </c>
      <c r="J179" s="1" t="s">
        <v>809</v>
      </c>
      <c r="K179" s="1">
        <v>1.0</v>
      </c>
      <c r="L179" s="1">
        <v>29157.98</v>
      </c>
    </row>
    <row r="180">
      <c r="A180" s="1">
        <v>68.0</v>
      </c>
      <c r="B180" s="1" t="s">
        <v>806</v>
      </c>
      <c r="C180" s="1" t="s">
        <v>809</v>
      </c>
      <c r="D180" s="1" t="s">
        <v>814</v>
      </c>
      <c r="E180" s="1" t="s">
        <v>809</v>
      </c>
      <c r="F180" s="1" t="s">
        <v>809</v>
      </c>
      <c r="G180" s="1" t="s">
        <v>809</v>
      </c>
      <c r="H180" s="1" t="s">
        <v>809</v>
      </c>
      <c r="I180" s="1" t="s">
        <v>809</v>
      </c>
      <c r="J180" s="1" t="s">
        <v>809</v>
      </c>
      <c r="K180" s="1">
        <v>1.0</v>
      </c>
      <c r="L180" s="1">
        <v>65000.0</v>
      </c>
    </row>
    <row r="181">
      <c r="A181" s="1">
        <v>69.0</v>
      </c>
      <c r="B181" s="1" t="s">
        <v>809</v>
      </c>
      <c r="C181" s="1" t="s">
        <v>809</v>
      </c>
      <c r="D181" s="1" t="s">
        <v>856</v>
      </c>
      <c r="E181" s="1" t="s">
        <v>809</v>
      </c>
      <c r="F181" s="1" t="s">
        <v>809</v>
      </c>
      <c r="G181" s="1" t="s">
        <v>809</v>
      </c>
      <c r="H181" s="1" t="s">
        <v>809</v>
      </c>
      <c r="I181" s="1" t="s">
        <v>809</v>
      </c>
      <c r="J181" s="1" t="s">
        <v>809</v>
      </c>
      <c r="K181" s="1">
        <v>1.0</v>
      </c>
      <c r="L181" s="1">
        <v>5000.0</v>
      </c>
    </row>
    <row r="182">
      <c r="A182" s="1">
        <v>70.0</v>
      </c>
      <c r="B182" s="1" t="s">
        <v>806</v>
      </c>
      <c r="C182" s="1" t="s">
        <v>807</v>
      </c>
      <c r="D182" s="1" t="s">
        <v>823</v>
      </c>
      <c r="E182" s="1">
        <v>1.5</v>
      </c>
      <c r="F182" s="1">
        <v>-0.25</v>
      </c>
      <c r="G182" s="1">
        <v>120.0</v>
      </c>
      <c r="H182" s="1" t="s">
        <v>809</v>
      </c>
      <c r="I182" s="1" t="s">
        <v>809</v>
      </c>
      <c r="J182" s="1" t="s">
        <v>809</v>
      </c>
      <c r="K182" s="1">
        <v>1.0</v>
      </c>
      <c r="L182" s="1">
        <v>235018.8</v>
      </c>
    </row>
    <row r="183">
      <c r="A183" s="1">
        <v>70.0</v>
      </c>
      <c r="B183" s="1" t="s">
        <v>806</v>
      </c>
      <c r="C183" s="1" t="s">
        <v>810</v>
      </c>
      <c r="D183" s="1" t="s">
        <v>823</v>
      </c>
      <c r="E183" s="1">
        <v>2.0</v>
      </c>
      <c r="F183" s="1">
        <v>-0.5</v>
      </c>
      <c r="G183" s="1">
        <v>140.0</v>
      </c>
      <c r="H183" s="1" t="s">
        <v>809</v>
      </c>
      <c r="I183" s="1" t="s">
        <v>809</v>
      </c>
      <c r="J183" s="1" t="s">
        <v>809</v>
      </c>
      <c r="K183" s="1">
        <v>1.0</v>
      </c>
      <c r="L183" s="1">
        <v>235018.8</v>
      </c>
    </row>
    <row r="184">
      <c r="A184" s="1">
        <v>70.0</v>
      </c>
      <c r="B184" s="1" t="s">
        <v>806</v>
      </c>
      <c r="C184" s="1" t="s">
        <v>809</v>
      </c>
      <c r="D184" s="1" t="s">
        <v>857</v>
      </c>
      <c r="E184" s="1" t="s">
        <v>809</v>
      </c>
      <c r="F184" s="1" t="s">
        <v>809</v>
      </c>
      <c r="G184" s="1" t="s">
        <v>809</v>
      </c>
      <c r="H184" s="1" t="s">
        <v>809</v>
      </c>
      <c r="I184" s="1" t="s">
        <v>809</v>
      </c>
      <c r="J184" s="1" t="s">
        <v>809</v>
      </c>
      <c r="K184" s="1">
        <v>1.0</v>
      </c>
      <c r="L184" s="1">
        <v>306000.0</v>
      </c>
    </row>
    <row r="185">
      <c r="A185" s="1">
        <v>71.0</v>
      </c>
      <c r="B185" s="1" t="s">
        <v>806</v>
      </c>
      <c r="C185" s="1" t="s">
        <v>807</v>
      </c>
      <c r="D185" s="1" t="s">
        <v>858</v>
      </c>
      <c r="E185" s="1">
        <v>1.5</v>
      </c>
      <c r="F185" s="1">
        <v>-0.25</v>
      </c>
      <c r="G185" s="1">
        <v>120.0</v>
      </c>
      <c r="H185" s="1" t="s">
        <v>809</v>
      </c>
      <c r="I185" s="1" t="s">
        <v>809</v>
      </c>
      <c r="J185" s="1" t="s">
        <v>809</v>
      </c>
      <c r="K185" s="1">
        <v>1.0</v>
      </c>
      <c r="L185" s="1">
        <v>43980.0</v>
      </c>
    </row>
    <row r="186">
      <c r="A186" s="1">
        <v>71.0</v>
      </c>
      <c r="B186" s="1" t="s">
        <v>806</v>
      </c>
      <c r="C186" s="1" t="s">
        <v>810</v>
      </c>
      <c r="D186" s="1" t="s">
        <v>858</v>
      </c>
      <c r="E186" s="1">
        <v>2.0</v>
      </c>
      <c r="F186" s="1">
        <v>-0.5</v>
      </c>
      <c r="G186" s="1">
        <v>140.0</v>
      </c>
      <c r="H186" s="1" t="s">
        <v>809</v>
      </c>
      <c r="I186" s="1" t="s">
        <v>809</v>
      </c>
      <c r="J186" s="1" t="s">
        <v>809</v>
      </c>
      <c r="K186" s="1">
        <v>1.0</v>
      </c>
      <c r="L186" s="1">
        <v>43981.0</v>
      </c>
    </row>
    <row r="187">
      <c r="A187" s="1">
        <v>71.0</v>
      </c>
      <c r="B187" s="1" t="s">
        <v>806</v>
      </c>
      <c r="C187" s="1" t="s">
        <v>809</v>
      </c>
      <c r="D187" s="1" t="s">
        <v>814</v>
      </c>
      <c r="E187" s="1" t="s">
        <v>809</v>
      </c>
      <c r="F187" s="1" t="s">
        <v>809</v>
      </c>
      <c r="G187" s="1" t="s">
        <v>809</v>
      </c>
      <c r="H187" s="1" t="s">
        <v>809</v>
      </c>
      <c r="I187" s="1" t="s">
        <v>809</v>
      </c>
      <c r="J187" s="1" t="s">
        <v>809</v>
      </c>
      <c r="K187" s="1">
        <v>1.0</v>
      </c>
      <c r="L187" s="1">
        <v>72000.0</v>
      </c>
    </row>
    <row r="188">
      <c r="A188" s="1">
        <v>72.0</v>
      </c>
      <c r="B188" s="1" t="s">
        <v>806</v>
      </c>
      <c r="C188" s="1" t="s">
        <v>807</v>
      </c>
      <c r="D188" s="1" t="s">
        <v>812</v>
      </c>
      <c r="E188" s="1">
        <v>0.0</v>
      </c>
      <c r="F188" s="1">
        <v>0.0</v>
      </c>
      <c r="G188" s="1" t="s">
        <v>809</v>
      </c>
      <c r="H188" s="1" t="s">
        <v>809</v>
      </c>
      <c r="I188" s="1" t="s">
        <v>809</v>
      </c>
      <c r="J188" s="1" t="s">
        <v>809</v>
      </c>
      <c r="K188" s="1">
        <v>1.0</v>
      </c>
      <c r="L188" s="1">
        <v>29157.98</v>
      </c>
    </row>
    <row r="189">
      <c r="A189" s="1">
        <v>72.0</v>
      </c>
      <c r="B189" s="1" t="s">
        <v>806</v>
      </c>
      <c r="C189" s="1" t="s">
        <v>810</v>
      </c>
      <c r="D189" s="1" t="s">
        <v>812</v>
      </c>
      <c r="E189" s="1">
        <v>0.0</v>
      </c>
      <c r="F189" s="1">
        <v>0.0</v>
      </c>
      <c r="G189" s="1" t="s">
        <v>809</v>
      </c>
      <c r="H189" s="1" t="s">
        <v>809</v>
      </c>
      <c r="I189" s="1" t="s">
        <v>809</v>
      </c>
      <c r="J189" s="1" t="s">
        <v>809</v>
      </c>
      <c r="K189" s="1">
        <v>1.0</v>
      </c>
      <c r="L189" s="1">
        <v>29157.98</v>
      </c>
    </row>
    <row r="190">
      <c r="A190" s="1">
        <v>72.0</v>
      </c>
      <c r="B190" s="1" t="s">
        <v>806</v>
      </c>
      <c r="C190" s="1" t="s">
        <v>809</v>
      </c>
      <c r="D190" s="1" t="s">
        <v>859</v>
      </c>
      <c r="E190" s="1" t="s">
        <v>809</v>
      </c>
      <c r="F190" s="1" t="s">
        <v>809</v>
      </c>
      <c r="G190" s="1" t="s">
        <v>809</v>
      </c>
      <c r="H190" s="1" t="s">
        <v>809</v>
      </c>
      <c r="I190" s="1" t="s">
        <v>809</v>
      </c>
      <c r="J190" s="1" t="s">
        <v>809</v>
      </c>
      <c r="K190" s="1">
        <v>1.0</v>
      </c>
      <c r="L190" s="1">
        <v>132789.6</v>
      </c>
    </row>
    <row r="191">
      <c r="A191" s="1">
        <v>72.0</v>
      </c>
      <c r="B191" s="1" t="s">
        <v>825</v>
      </c>
      <c r="C191" s="1" t="s">
        <v>807</v>
      </c>
      <c r="D191" s="1" t="s">
        <v>812</v>
      </c>
      <c r="E191" s="1">
        <v>0.0</v>
      </c>
      <c r="F191" s="1">
        <v>0.0</v>
      </c>
      <c r="G191" s="1" t="s">
        <v>809</v>
      </c>
      <c r="H191" s="1" t="s">
        <v>809</v>
      </c>
      <c r="I191" s="1" t="s">
        <v>809</v>
      </c>
      <c r="J191" s="1" t="s">
        <v>809</v>
      </c>
      <c r="K191" s="1">
        <v>1.0</v>
      </c>
      <c r="L191" s="1">
        <v>29157.98</v>
      </c>
    </row>
    <row r="192">
      <c r="A192" s="1">
        <v>72.0</v>
      </c>
      <c r="B192" s="1" t="s">
        <v>825</v>
      </c>
      <c r="C192" s="1" t="s">
        <v>810</v>
      </c>
      <c r="D192" s="1" t="s">
        <v>812</v>
      </c>
      <c r="E192" s="1">
        <v>0.0</v>
      </c>
      <c r="F192" s="1">
        <v>0.0</v>
      </c>
      <c r="G192" s="1" t="s">
        <v>809</v>
      </c>
      <c r="H192" s="1" t="s">
        <v>809</v>
      </c>
      <c r="I192" s="1" t="s">
        <v>809</v>
      </c>
      <c r="J192" s="1" t="s">
        <v>809</v>
      </c>
      <c r="K192" s="1">
        <v>1.0</v>
      </c>
      <c r="L192" s="1">
        <v>29157.98</v>
      </c>
    </row>
    <row r="193">
      <c r="A193" s="1">
        <v>72.0</v>
      </c>
      <c r="B193" s="1" t="s">
        <v>825</v>
      </c>
      <c r="C193" s="1" t="s">
        <v>809</v>
      </c>
      <c r="D193" s="1" t="s">
        <v>860</v>
      </c>
      <c r="E193" s="1" t="s">
        <v>809</v>
      </c>
      <c r="F193" s="1" t="s">
        <v>809</v>
      </c>
      <c r="G193" s="1" t="s">
        <v>809</v>
      </c>
      <c r="H193" s="1" t="s">
        <v>809</v>
      </c>
      <c r="I193" s="1" t="s">
        <v>809</v>
      </c>
      <c r="J193" s="1" t="s">
        <v>809</v>
      </c>
      <c r="K193" s="1">
        <v>1.0</v>
      </c>
      <c r="L193" s="1">
        <v>115898.4</v>
      </c>
    </row>
    <row r="194">
      <c r="A194" s="1">
        <v>73.0</v>
      </c>
      <c r="B194" s="1" t="s">
        <v>806</v>
      </c>
      <c r="C194" s="1" t="s">
        <v>807</v>
      </c>
      <c r="D194" s="1" t="s">
        <v>840</v>
      </c>
      <c r="E194" s="1">
        <v>-11.0</v>
      </c>
      <c r="F194" s="1">
        <v>-0.75</v>
      </c>
      <c r="G194" s="1">
        <v>40.0</v>
      </c>
      <c r="H194" s="1" t="s">
        <v>809</v>
      </c>
      <c r="I194" s="1" t="s">
        <v>809</v>
      </c>
      <c r="J194" s="1" t="s">
        <v>809</v>
      </c>
      <c r="K194" s="1">
        <v>1.0</v>
      </c>
      <c r="L194" s="1">
        <v>74457.67</v>
      </c>
    </row>
    <row r="195">
      <c r="A195" s="1">
        <v>73.0</v>
      </c>
      <c r="B195" s="1" t="s">
        <v>806</v>
      </c>
      <c r="C195" s="1" t="s">
        <v>810</v>
      </c>
      <c r="D195" s="1" t="s">
        <v>840</v>
      </c>
      <c r="E195" s="1">
        <v>-13.0</v>
      </c>
      <c r="F195" s="1">
        <v>-0.75</v>
      </c>
      <c r="G195" s="1">
        <v>130.0</v>
      </c>
      <c r="H195" s="1" t="s">
        <v>809</v>
      </c>
      <c r="I195" s="1" t="s">
        <v>809</v>
      </c>
      <c r="J195" s="1" t="s">
        <v>809</v>
      </c>
      <c r="K195" s="1">
        <v>1.0</v>
      </c>
      <c r="L195" s="1">
        <v>74457.67</v>
      </c>
    </row>
    <row r="196">
      <c r="A196" s="1">
        <v>73.0</v>
      </c>
      <c r="B196" s="1" t="s">
        <v>806</v>
      </c>
      <c r="C196" s="1" t="s">
        <v>809</v>
      </c>
      <c r="D196" s="1" t="s">
        <v>814</v>
      </c>
      <c r="E196" s="1" t="s">
        <v>809</v>
      </c>
      <c r="F196" s="1" t="s">
        <v>809</v>
      </c>
      <c r="G196" s="1" t="s">
        <v>809</v>
      </c>
      <c r="H196" s="1" t="s">
        <v>809</v>
      </c>
      <c r="I196" s="1" t="s">
        <v>809</v>
      </c>
      <c r="J196" s="1" t="s">
        <v>809</v>
      </c>
      <c r="K196" s="1">
        <v>1.0</v>
      </c>
      <c r="L196" s="1">
        <v>72000.0</v>
      </c>
    </row>
    <row r="197">
      <c r="A197" s="1">
        <v>74.0</v>
      </c>
      <c r="B197" s="1" t="s">
        <v>806</v>
      </c>
      <c r="C197" s="1" t="s">
        <v>807</v>
      </c>
      <c r="D197" s="1" t="s">
        <v>826</v>
      </c>
      <c r="E197" s="1">
        <v>0.0</v>
      </c>
      <c r="F197" s="1">
        <v>-0.25</v>
      </c>
      <c r="G197" s="1">
        <v>60.0</v>
      </c>
      <c r="H197" s="1" t="s">
        <v>809</v>
      </c>
      <c r="I197" s="1" t="s">
        <v>809</v>
      </c>
      <c r="J197" s="1" t="s">
        <v>809</v>
      </c>
      <c r="K197" s="1">
        <v>1.0</v>
      </c>
      <c r="L197" s="1">
        <v>21395.22</v>
      </c>
    </row>
    <row r="198">
      <c r="A198" s="1">
        <v>74.0</v>
      </c>
      <c r="B198" s="1" t="s">
        <v>806</v>
      </c>
      <c r="C198" s="1" t="s">
        <v>810</v>
      </c>
      <c r="D198" s="1" t="s">
        <v>826</v>
      </c>
      <c r="E198" s="1">
        <v>0.0</v>
      </c>
      <c r="F198" s="1">
        <v>-0.5</v>
      </c>
      <c r="G198" s="1">
        <v>90.0</v>
      </c>
      <c r="H198" s="1" t="s">
        <v>809</v>
      </c>
      <c r="I198" s="1" t="s">
        <v>809</v>
      </c>
      <c r="J198" s="1" t="s">
        <v>809</v>
      </c>
      <c r="K198" s="1">
        <v>1.0</v>
      </c>
      <c r="L198" s="1">
        <v>21395.22</v>
      </c>
    </row>
    <row r="199">
      <c r="A199" s="1">
        <v>74.0</v>
      </c>
      <c r="B199" s="1" t="s">
        <v>825</v>
      </c>
      <c r="C199" s="1" t="s">
        <v>807</v>
      </c>
      <c r="D199" s="1" t="s">
        <v>826</v>
      </c>
      <c r="E199" s="1">
        <v>0.0</v>
      </c>
      <c r="F199" s="1">
        <v>0.0</v>
      </c>
      <c r="G199" s="1" t="s">
        <v>809</v>
      </c>
      <c r="H199" s="1" t="s">
        <v>809</v>
      </c>
      <c r="I199" s="1" t="s">
        <v>809</v>
      </c>
      <c r="J199" s="1" t="s">
        <v>809</v>
      </c>
      <c r="K199" s="1">
        <v>1.0</v>
      </c>
      <c r="L199" s="1">
        <v>21395.22</v>
      </c>
    </row>
    <row r="200">
      <c r="A200" s="1">
        <v>74.0</v>
      </c>
      <c r="B200" s="1" t="s">
        <v>825</v>
      </c>
      <c r="C200" s="1" t="s">
        <v>810</v>
      </c>
      <c r="D200" s="1" t="s">
        <v>826</v>
      </c>
      <c r="E200" s="1">
        <v>0.0</v>
      </c>
      <c r="F200" s="1">
        <v>0.0</v>
      </c>
      <c r="G200" s="1" t="s">
        <v>809</v>
      </c>
      <c r="H200" s="1" t="s">
        <v>809</v>
      </c>
      <c r="I200" s="1" t="s">
        <v>809</v>
      </c>
      <c r="J200" s="1" t="s">
        <v>809</v>
      </c>
      <c r="K200" s="1">
        <v>1.0</v>
      </c>
      <c r="L200" s="1">
        <v>21395.22</v>
      </c>
    </row>
    <row r="201">
      <c r="A201" s="1">
        <v>75.0</v>
      </c>
      <c r="B201" s="1" t="s">
        <v>806</v>
      </c>
      <c r="C201" s="1" t="s">
        <v>807</v>
      </c>
      <c r="D201" s="1" t="s">
        <v>826</v>
      </c>
      <c r="E201" s="1">
        <v>0.0</v>
      </c>
      <c r="F201" s="1">
        <v>0.0</v>
      </c>
      <c r="G201" s="1" t="s">
        <v>809</v>
      </c>
      <c r="H201" s="1" t="s">
        <v>809</v>
      </c>
      <c r="I201" s="1" t="s">
        <v>809</v>
      </c>
      <c r="J201" s="1" t="s">
        <v>809</v>
      </c>
      <c r="K201" s="1">
        <v>1.0</v>
      </c>
      <c r="L201" s="1">
        <v>36000.0</v>
      </c>
    </row>
    <row r="202">
      <c r="A202" s="1">
        <v>75.0</v>
      </c>
      <c r="B202" s="1" t="s">
        <v>806</v>
      </c>
      <c r="C202" s="1" t="s">
        <v>810</v>
      </c>
      <c r="D202" s="1" t="s">
        <v>826</v>
      </c>
      <c r="E202" s="1">
        <v>0.0</v>
      </c>
      <c r="F202" s="1">
        <v>0.0</v>
      </c>
      <c r="G202" s="1" t="s">
        <v>809</v>
      </c>
      <c r="H202" s="1" t="s">
        <v>809</v>
      </c>
      <c r="I202" s="1" t="s">
        <v>809</v>
      </c>
      <c r="J202" s="1" t="s">
        <v>809</v>
      </c>
      <c r="K202" s="1">
        <v>1.0</v>
      </c>
      <c r="L202" s="1">
        <v>36000.0</v>
      </c>
    </row>
    <row r="203">
      <c r="A203" s="1">
        <v>75.0</v>
      </c>
      <c r="B203" s="1" t="s">
        <v>806</v>
      </c>
      <c r="C203" s="1" t="s">
        <v>809</v>
      </c>
      <c r="D203" s="1" t="s">
        <v>861</v>
      </c>
      <c r="E203" s="1" t="s">
        <v>809</v>
      </c>
      <c r="F203" s="1" t="s">
        <v>809</v>
      </c>
      <c r="G203" s="1" t="s">
        <v>809</v>
      </c>
      <c r="H203" s="1" t="s">
        <v>809</v>
      </c>
      <c r="I203" s="1" t="s">
        <v>809</v>
      </c>
      <c r="J203" s="1" t="s">
        <v>809</v>
      </c>
      <c r="K203" s="1">
        <v>1.0</v>
      </c>
      <c r="L203" s="1">
        <v>78000.0</v>
      </c>
    </row>
    <row r="204">
      <c r="A204" s="1">
        <v>76.0</v>
      </c>
      <c r="B204" s="1" t="s">
        <v>806</v>
      </c>
      <c r="C204" s="1" t="s">
        <v>807</v>
      </c>
      <c r="D204" s="1" t="s">
        <v>812</v>
      </c>
      <c r="E204" s="1">
        <v>0.5</v>
      </c>
      <c r="F204" s="1">
        <v>0.0</v>
      </c>
      <c r="G204" s="1" t="s">
        <v>809</v>
      </c>
      <c r="H204" s="1" t="s">
        <v>809</v>
      </c>
      <c r="I204" s="1">
        <v>31.0</v>
      </c>
      <c r="J204" s="1">
        <v>28.0</v>
      </c>
      <c r="K204" s="1">
        <v>1.0</v>
      </c>
      <c r="L204" s="1">
        <v>26157.98</v>
      </c>
    </row>
    <row r="205">
      <c r="A205" s="1">
        <v>76.0</v>
      </c>
      <c r="B205" s="1" t="s">
        <v>806</v>
      </c>
      <c r="C205" s="1" t="s">
        <v>810</v>
      </c>
      <c r="D205" s="1" t="s">
        <v>812</v>
      </c>
      <c r="E205" s="1">
        <v>0.5</v>
      </c>
      <c r="F205" s="1">
        <v>0.0</v>
      </c>
      <c r="G205" s="1" t="s">
        <v>809</v>
      </c>
      <c r="H205" s="1" t="s">
        <v>809</v>
      </c>
      <c r="I205" s="1">
        <v>31.0</v>
      </c>
      <c r="J205" s="1">
        <v>28.0</v>
      </c>
      <c r="K205" s="1">
        <v>1.0</v>
      </c>
      <c r="L205" s="1">
        <v>26157.98</v>
      </c>
    </row>
    <row r="206">
      <c r="A206" s="1">
        <v>76.0</v>
      </c>
      <c r="B206" s="1" t="s">
        <v>806</v>
      </c>
      <c r="C206" s="1" t="s">
        <v>809</v>
      </c>
      <c r="D206" s="1" t="s">
        <v>862</v>
      </c>
      <c r="E206" s="1" t="s">
        <v>809</v>
      </c>
      <c r="F206" s="1" t="s">
        <v>809</v>
      </c>
      <c r="G206" s="1" t="s">
        <v>809</v>
      </c>
      <c r="H206" s="1" t="s">
        <v>809</v>
      </c>
      <c r="I206" s="1" t="s">
        <v>809</v>
      </c>
      <c r="J206" s="1" t="s">
        <v>809</v>
      </c>
      <c r="K206" s="1">
        <v>1.0</v>
      </c>
      <c r="L206" s="1">
        <v>136800.0</v>
      </c>
    </row>
    <row r="207">
      <c r="A207" s="1">
        <v>77.0</v>
      </c>
      <c r="B207" s="1" t="s">
        <v>806</v>
      </c>
      <c r="C207" s="1" t="s">
        <v>807</v>
      </c>
      <c r="D207" s="1" t="s">
        <v>808</v>
      </c>
      <c r="E207" s="1">
        <v>0.0</v>
      </c>
      <c r="F207" s="1">
        <v>-0.25</v>
      </c>
      <c r="G207" s="1">
        <v>10.0</v>
      </c>
      <c r="H207" s="1" t="s">
        <v>809</v>
      </c>
      <c r="I207" s="1" t="s">
        <v>809</v>
      </c>
      <c r="J207" s="1" t="s">
        <v>809</v>
      </c>
      <c r="K207" s="1">
        <v>1.0</v>
      </c>
      <c r="L207" s="1">
        <v>62500.0</v>
      </c>
    </row>
    <row r="208">
      <c r="A208" s="1">
        <v>77.0</v>
      </c>
      <c r="B208" s="1" t="s">
        <v>806</v>
      </c>
      <c r="C208" s="1" t="s">
        <v>810</v>
      </c>
      <c r="D208" s="1" t="s">
        <v>808</v>
      </c>
      <c r="E208" s="1">
        <v>0.0</v>
      </c>
      <c r="F208" s="1">
        <v>-0.25</v>
      </c>
      <c r="G208" s="1">
        <v>155.0</v>
      </c>
      <c r="H208" s="1" t="s">
        <v>809</v>
      </c>
      <c r="I208" s="1" t="s">
        <v>809</v>
      </c>
      <c r="J208" s="1" t="s">
        <v>809</v>
      </c>
      <c r="K208" s="1">
        <v>1.0</v>
      </c>
      <c r="L208" s="1">
        <v>0.0</v>
      </c>
    </row>
    <row r="209">
      <c r="A209" s="1">
        <v>78.0</v>
      </c>
      <c r="B209" s="1" t="s">
        <v>806</v>
      </c>
      <c r="C209" s="1" t="s">
        <v>807</v>
      </c>
      <c r="D209" s="1" t="s">
        <v>808</v>
      </c>
      <c r="E209" s="1">
        <v>-3.0</v>
      </c>
      <c r="F209" s="1">
        <v>-1.0</v>
      </c>
      <c r="G209" s="1">
        <v>10.0</v>
      </c>
      <c r="H209" s="1" t="s">
        <v>809</v>
      </c>
      <c r="I209" s="1" t="s">
        <v>809</v>
      </c>
      <c r="J209" s="1" t="s">
        <v>809</v>
      </c>
      <c r="K209" s="1">
        <v>1.0</v>
      </c>
      <c r="L209" s="1">
        <v>31250.0</v>
      </c>
    </row>
    <row r="210">
      <c r="A210" s="1">
        <v>78.0</v>
      </c>
      <c r="B210" s="1" t="s">
        <v>806</v>
      </c>
      <c r="C210" s="1" t="s">
        <v>810</v>
      </c>
      <c r="D210" s="1" t="s">
        <v>808</v>
      </c>
      <c r="E210" s="1">
        <v>-3.25</v>
      </c>
      <c r="F210" s="1">
        <v>-1.0</v>
      </c>
      <c r="G210" s="1">
        <v>170.0</v>
      </c>
      <c r="H210" s="1" t="s">
        <v>809</v>
      </c>
      <c r="I210" s="1" t="s">
        <v>809</v>
      </c>
      <c r="J210" s="1" t="s">
        <v>809</v>
      </c>
      <c r="K210" s="1">
        <v>1.0</v>
      </c>
      <c r="L210" s="1">
        <v>31250.0</v>
      </c>
    </row>
    <row r="211">
      <c r="A211" s="1">
        <v>78.0</v>
      </c>
      <c r="B211" s="1" t="s">
        <v>825</v>
      </c>
      <c r="C211" s="1" t="s">
        <v>807</v>
      </c>
      <c r="D211" s="1" t="s">
        <v>812</v>
      </c>
      <c r="E211" s="1">
        <v>0.0</v>
      </c>
      <c r="F211" s="1">
        <v>0.0</v>
      </c>
      <c r="G211" s="1" t="s">
        <v>809</v>
      </c>
      <c r="H211" s="1" t="s">
        <v>809</v>
      </c>
      <c r="I211" s="1" t="s">
        <v>809</v>
      </c>
      <c r="J211" s="1" t="s">
        <v>809</v>
      </c>
      <c r="K211" s="1">
        <v>1.0</v>
      </c>
      <c r="L211" s="1">
        <v>29157.98</v>
      </c>
    </row>
    <row r="212">
      <c r="A212" s="1">
        <v>78.0</v>
      </c>
      <c r="B212" s="1" t="s">
        <v>825</v>
      </c>
      <c r="C212" s="1" t="s">
        <v>810</v>
      </c>
      <c r="D212" s="1" t="s">
        <v>812</v>
      </c>
      <c r="E212" s="1">
        <v>0.0</v>
      </c>
      <c r="F212" s="1">
        <v>0.0</v>
      </c>
      <c r="G212" s="1" t="s">
        <v>809</v>
      </c>
      <c r="H212" s="1" t="s">
        <v>809</v>
      </c>
      <c r="I212" s="1" t="s">
        <v>809</v>
      </c>
      <c r="J212" s="1" t="s">
        <v>809</v>
      </c>
      <c r="K212" s="1">
        <v>1.0</v>
      </c>
      <c r="L212" s="1">
        <v>29157.98</v>
      </c>
    </row>
    <row r="213">
      <c r="A213" s="1">
        <v>78.0</v>
      </c>
      <c r="B213" s="1" t="s">
        <v>825</v>
      </c>
      <c r="C213" s="1" t="s">
        <v>809</v>
      </c>
      <c r="D213" s="1" t="s">
        <v>863</v>
      </c>
      <c r="E213" s="1" t="s">
        <v>809</v>
      </c>
      <c r="F213" s="1" t="s">
        <v>809</v>
      </c>
      <c r="G213" s="1" t="s">
        <v>809</v>
      </c>
      <c r="H213" s="1" t="s">
        <v>809</v>
      </c>
      <c r="I213" s="1" t="s">
        <v>809</v>
      </c>
      <c r="J213" s="1" t="s">
        <v>809</v>
      </c>
      <c r="K213" s="1">
        <v>1.0</v>
      </c>
      <c r="L213" s="1">
        <v>201600.0</v>
      </c>
    </row>
    <row r="214">
      <c r="A214" s="1">
        <v>79.0</v>
      </c>
      <c r="B214" s="1" t="s">
        <v>806</v>
      </c>
      <c r="C214" s="1" t="s">
        <v>807</v>
      </c>
      <c r="D214" s="1" t="s">
        <v>864</v>
      </c>
      <c r="E214" s="1">
        <v>0.0</v>
      </c>
      <c r="F214" s="1">
        <v>0.0</v>
      </c>
      <c r="G214" s="1" t="s">
        <v>809</v>
      </c>
      <c r="H214" s="1" t="s">
        <v>809</v>
      </c>
      <c r="I214" s="1" t="s">
        <v>809</v>
      </c>
      <c r="J214" s="1" t="s">
        <v>809</v>
      </c>
      <c r="K214" s="1">
        <v>1.0</v>
      </c>
      <c r="L214" s="1">
        <v>652500.0</v>
      </c>
    </row>
    <row r="215">
      <c r="A215" s="1">
        <v>79.0</v>
      </c>
      <c r="B215" s="1" t="s">
        <v>806</v>
      </c>
      <c r="C215" s="1" t="s">
        <v>810</v>
      </c>
      <c r="D215" s="1" t="s">
        <v>864</v>
      </c>
      <c r="E215" s="1">
        <v>0.0</v>
      </c>
      <c r="F215" s="1">
        <v>0.0</v>
      </c>
      <c r="G215" s="1" t="s">
        <v>809</v>
      </c>
      <c r="H215" s="1" t="s">
        <v>809</v>
      </c>
      <c r="I215" s="1" t="s">
        <v>809</v>
      </c>
      <c r="J215" s="1" t="s">
        <v>809</v>
      </c>
      <c r="K215" s="1">
        <v>1.0</v>
      </c>
      <c r="L215" s="1">
        <v>652500.0</v>
      </c>
    </row>
    <row r="216">
      <c r="A216" s="1">
        <v>79.0</v>
      </c>
      <c r="B216" s="1" t="s">
        <v>806</v>
      </c>
      <c r="C216" s="1" t="s">
        <v>809</v>
      </c>
      <c r="D216" s="1" t="s">
        <v>816</v>
      </c>
      <c r="E216" s="1" t="s">
        <v>809</v>
      </c>
      <c r="F216" s="1" t="s">
        <v>809</v>
      </c>
      <c r="G216" s="1" t="s">
        <v>809</v>
      </c>
      <c r="H216" s="1" t="s">
        <v>809</v>
      </c>
      <c r="I216" s="1" t="s">
        <v>809</v>
      </c>
      <c r="J216" s="1" t="s">
        <v>809</v>
      </c>
      <c r="K216" s="1">
        <v>1.0</v>
      </c>
      <c r="L216" s="1">
        <v>0.0</v>
      </c>
    </row>
    <row r="217">
      <c r="A217" s="1">
        <v>80.0</v>
      </c>
      <c r="B217" s="1" t="s">
        <v>806</v>
      </c>
      <c r="C217" s="1" t="s">
        <v>807</v>
      </c>
      <c r="D217" s="1" t="s">
        <v>865</v>
      </c>
      <c r="E217" s="1">
        <v>0.5</v>
      </c>
      <c r="F217" s="1">
        <v>-2.75</v>
      </c>
      <c r="G217" s="1">
        <v>180.0</v>
      </c>
      <c r="H217" s="1" t="s">
        <v>809</v>
      </c>
      <c r="I217" s="1" t="s">
        <v>809</v>
      </c>
      <c r="J217" s="1" t="s">
        <v>809</v>
      </c>
      <c r="K217" s="1">
        <v>1.0</v>
      </c>
      <c r="L217" s="1">
        <v>36950.0</v>
      </c>
    </row>
    <row r="218">
      <c r="A218" s="1">
        <v>80.0</v>
      </c>
      <c r="B218" s="1" t="s">
        <v>806</v>
      </c>
      <c r="C218" s="1" t="s">
        <v>810</v>
      </c>
      <c r="D218" s="1" t="s">
        <v>865</v>
      </c>
      <c r="E218" s="1">
        <v>0.5</v>
      </c>
      <c r="F218" s="1">
        <v>-2.75</v>
      </c>
      <c r="G218" s="1">
        <v>170.0</v>
      </c>
      <c r="H218" s="1" t="s">
        <v>809</v>
      </c>
      <c r="I218" s="1" t="s">
        <v>809</v>
      </c>
      <c r="J218" s="1" t="s">
        <v>809</v>
      </c>
      <c r="K218" s="1">
        <v>1.0</v>
      </c>
      <c r="L218" s="1">
        <v>36950.0</v>
      </c>
    </row>
    <row r="219">
      <c r="A219" s="1">
        <v>80.0</v>
      </c>
      <c r="B219" s="1" t="s">
        <v>806</v>
      </c>
      <c r="C219" s="1" t="s">
        <v>809</v>
      </c>
      <c r="D219" s="1" t="s">
        <v>814</v>
      </c>
      <c r="E219" s="1" t="s">
        <v>809</v>
      </c>
      <c r="F219" s="1" t="s">
        <v>809</v>
      </c>
      <c r="G219" s="1" t="s">
        <v>809</v>
      </c>
      <c r="H219" s="1" t="s">
        <v>809</v>
      </c>
      <c r="I219" s="1" t="s">
        <v>809</v>
      </c>
      <c r="J219" s="1" t="s">
        <v>809</v>
      </c>
      <c r="K219" s="1">
        <v>1.0</v>
      </c>
      <c r="L219" s="1">
        <v>72000.0</v>
      </c>
    </row>
    <row r="220">
      <c r="A220" s="1">
        <v>81.0</v>
      </c>
      <c r="B220" s="1" t="s">
        <v>806</v>
      </c>
      <c r="C220" s="1" t="s">
        <v>807</v>
      </c>
      <c r="D220" s="1" t="s">
        <v>841</v>
      </c>
      <c r="E220" s="1">
        <v>0.0</v>
      </c>
      <c r="F220" s="1">
        <v>0.0</v>
      </c>
      <c r="G220" s="1" t="s">
        <v>809</v>
      </c>
      <c r="H220" s="1" t="s">
        <v>809</v>
      </c>
      <c r="I220" s="1" t="s">
        <v>809</v>
      </c>
      <c r="J220" s="1" t="s">
        <v>809</v>
      </c>
      <c r="K220" s="1">
        <v>1.0</v>
      </c>
      <c r="L220" s="1">
        <v>15000.0</v>
      </c>
    </row>
    <row r="221">
      <c r="A221" s="1">
        <v>81.0</v>
      </c>
      <c r="B221" s="1" t="s">
        <v>806</v>
      </c>
      <c r="C221" s="1" t="s">
        <v>810</v>
      </c>
      <c r="D221" s="1" t="s">
        <v>841</v>
      </c>
      <c r="E221" s="1">
        <v>0.0</v>
      </c>
      <c r="F221" s="1">
        <v>0.0</v>
      </c>
      <c r="G221" s="1" t="s">
        <v>809</v>
      </c>
      <c r="H221" s="1" t="s">
        <v>809</v>
      </c>
      <c r="I221" s="1" t="s">
        <v>809</v>
      </c>
      <c r="J221" s="1" t="s">
        <v>809</v>
      </c>
      <c r="K221" s="1">
        <v>1.0</v>
      </c>
      <c r="L221" s="1">
        <v>15000.0</v>
      </c>
    </row>
    <row r="222">
      <c r="A222" s="1">
        <v>81.0</v>
      </c>
      <c r="B222" s="1" t="s">
        <v>806</v>
      </c>
      <c r="C222" s="1" t="s">
        <v>809</v>
      </c>
      <c r="D222" s="1" t="s">
        <v>816</v>
      </c>
      <c r="E222" s="1" t="s">
        <v>809</v>
      </c>
      <c r="F222" s="1" t="s">
        <v>809</v>
      </c>
      <c r="G222" s="1" t="s">
        <v>809</v>
      </c>
      <c r="H222" s="1" t="s">
        <v>809</v>
      </c>
      <c r="I222" s="1" t="s">
        <v>809</v>
      </c>
      <c r="J222" s="1" t="s">
        <v>809</v>
      </c>
      <c r="K222" s="1">
        <v>1.0</v>
      </c>
      <c r="L222" s="1">
        <v>0.0</v>
      </c>
    </row>
    <row r="223">
      <c r="A223" s="1">
        <v>82.0</v>
      </c>
      <c r="B223" s="1" t="s">
        <v>806</v>
      </c>
      <c r="C223" s="1" t="s">
        <v>807</v>
      </c>
      <c r="D223" s="1" t="s">
        <v>836</v>
      </c>
      <c r="E223" s="1">
        <v>-2.25</v>
      </c>
      <c r="F223" s="1">
        <v>-1.0</v>
      </c>
      <c r="G223" s="1">
        <v>160.0</v>
      </c>
      <c r="H223" s="1" t="s">
        <v>809</v>
      </c>
      <c r="I223" s="1">
        <v>29.0</v>
      </c>
      <c r="J223" s="1">
        <v>25.0</v>
      </c>
      <c r="K223" s="1">
        <v>1.0</v>
      </c>
      <c r="L223" s="1">
        <v>49000.0</v>
      </c>
    </row>
    <row r="224">
      <c r="A224" s="1">
        <v>82.0</v>
      </c>
      <c r="B224" s="1" t="s">
        <v>806</v>
      </c>
      <c r="C224" s="1" t="s">
        <v>810</v>
      </c>
      <c r="D224" s="1" t="s">
        <v>836</v>
      </c>
      <c r="E224" s="1">
        <v>-1.5</v>
      </c>
      <c r="F224" s="1">
        <v>-1.0</v>
      </c>
      <c r="G224" s="1">
        <v>5.0</v>
      </c>
      <c r="H224" s="1" t="s">
        <v>809</v>
      </c>
      <c r="I224" s="1">
        <v>29.0</v>
      </c>
      <c r="J224" s="1">
        <v>25.0</v>
      </c>
      <c r="K224" s="1">
        <v>1.0</v>
      </c>
      <c r="L224" s="1">
        <v>49000.0</v>
      </c>
    </row>
    <row r="225">
      <c r="A225" s="1">
        <v>82.0</v>
      </c>
      <c r="B225" s="1" t="s">
        <v>806</v>
      </c>
      <c r="C225" s="1" t="s">
        <v>809</v>
      </c>
      <c r="D225" s="1" t="s">
        <v>866</v>
      </c>
      <c r="E225" s="1" t="s">
        <v>809</v>
      </c>
      <c r="F225" s="1" t="s">
        <v>809</v>
      </c>
      <c r="G225" s="1" t="s">
        <v>809</v>
      </c>
      <c r="H225" s="1" t="s">
        <v>809</v>
      </c>
      <c r="I225" s="1" t="s">
        <v>809</v>
      </c>
      <c r="J225" s="1" t="s">
        <v>809</v>
      </c>
      <c r="K225" s="1">
        <v>1.0</v>
      </c>
      <c r="L225" s="1">
        <v>223200.0</v>
      </c>
    </row>
    <row r="226">
      <c r="A226" s="1">
        <v>82.0</v>
      </c>
      <c r="B226" s="1" t="s">
        <v>825</v>
      </c>
      <c r="C226" s="1" t="s">
        <v>807</v>
      </c>
      <c r="D226" s="1" t="s">
        <v>808</v>
      </c>
      <c r="E226" s="1">
        <v>0.0</v>
      </c>
      <c r="F226" s="1">
        <v>0.0</v>
      </c>
      <c r="G226" s="1" t="s">
        <v>809</v>
      </c>
      <c r="H226" s="1" t="s">
        <v>809</v>
      </c>
      <c r="I226" s="1" t="s">
        <v>809</v>
      </c>
      <c r="J226" s="1" t="s">
        <v>809</v>
      </c>
      <c r="K226" s="1">
        <v>1.0</v>
      </c>
      <c r="L226" s="1">
        <v>15000.0</v>
      </c>
    </row>
    <row r="227">
      <c r="A227" s="1">
        <v>82.0</v>
      </c>
      <c r="B227" s="1" t="s">
        <v>825</v>
      </c>
      <c r="C227" s="1" t="s">
        <v>810</v>
      </c>
      <c r="D227" s="1" t="s">
        <v>808</v>
      </c>
      <c r="E227" s="1">
        <v>0.0</v>
      </c>
      <c r="F227" s="1">
        <v>0.0</v>
      </c>
      <c r="G227" s="1" t="s">
        <v>809</v>
      </c>
      <c r="H227" s="1" t="s">
        <v>809</v>
      </c>
      <c r="I227" s="1" t="s">
        <v>809</v>
      </c>
      <c r="J227" s="1" t="s">
        <v>809</v>
      </c>
      <c r="K227" s="1">
        <v>1.0</v>
      </c>
      <c r="L227" s="1">
        <v>15000.0</v>
      </c>
    </row>
    <row r="228">
      <c r="A228" s="1">
        <v>83.0</v>
      </c>
      <c r="B228" s="1" t="s">
        <v>806</v>
      </c>
      <c r="C228" s="1" t="s">
        <v>807</v>
      </c>
      <c r="D228" s="1" t="s">
        <v>826</v>
      </c>
      <c r="E228" s="1">
        <v>0.5</v>
      </c>
      <c r="F228" s="1">
        <v>-1.0</v>
      </c>
      <c r="G228" s="1">
        <v>176.0</v>
      </c>
      <c r="H228" s="1" t="s">
        <v>809</v>
      </c>
      <c r="I228" s="1" t="s">
        <v>809</v>
      </c>
      <c r="J228" s="1" t="s">
        <v>809</v>
      </c>
      <c r="K228" s="1">
        <v>1.0</v>
      </c>
      <c r="L228" s="1">
        <v>21395.22</v>
      </c>
    </row>
    <row r="229">
      <c r="A229" s="1">
        <v>83.0</v>
      </c>
      <c r="B229" s="1" t="s">
        <v>806</v>
      </c>
      <c r="C229" s="1" t="s">
        <v>810</v>
      </c>
      <c r="D229" s="1" t="s">
        <v>826</v>
      </c>
      <c r="E229" s="1">
        <v>0.25</v>
      </c>
      <c r="F229" s="1">
        <v>-0.5</v>
      </c>
      <c r="G229" s="1">
        <v>2.0</v>
      </c>
      <c r="H229" s="1" t="s">
        <v>809</v>
      </c>
      <c r="I229" s="1" t="s">
        <v>809</v>
      </c>
      <c r="J229" s="1" t="s">
        <v>809</v>
      </c>
      <c r="K229" s="1">
        <v>1.0</v>
      </c>
      <c r="L229" s="1">
        <v>21395.22</v>
      </c>
    </row>
    <row r="230">
      <c r="A230" s="1">
        <v>83.0</v>
      </c>
      <c r="B230" s="1" t="s">
        <v>806</v>
      </c>
      <c r="C230" s="1" t="s">
        <v>809</v>
      </c>
      <c r="D230" s="1" t="s">
        <v>867</v>
      </c>
      <c r="E230" s="1" t="s">
        <v>809</v>
      </c>
      <c r="F230" s="1" t="s">
        <v>809</v>
      </c>
      <c r="G230" s="1" t="s">
        <v>809</v>
      </c>
      <c r="H230" s="1" t="s">
        <v>809</v>
      </c>
      <c r="I230" s="1" t="s">
        <v>809</v>
      </c>
      <c r="J230" s="1" t="s">
        <v>809</v>
      </c>
      <c r="K230" s="1">
        <v>1.0</v>
      </c>
      <c r="L230" s="1">
        <v>136800.0</v>
      </c>
    </row>
    <row r="231">
      <c r="A231" s="1">
        <v>84.0</v>
      </c>
      <c r="B231" s="1" t="s">
        <v>809</v>
      </c>
      <c r="C231" s="1" t="s">
        <v>809</v>
      </c>
      <c r="D231" s="1" t="s">
        <v>868</v>
      </c>
      <c r="E231" s="1" t="s">
        <v>809</v>
      </c>
      <c r="F231" s="1" t="s">
        <v>809</v>
      </c>
      <c r="G231" s="1" t="s">
        <v>809</v>
      </c>
      <c r="H231" s="1" t="s">
        <v>809</v>
      </c>
      <c r="I231" s="1" t="s">
        <v>809</v>
      </c>
      <c r="J231" s="1" t="s">
        <v>809</v>
      </c>
      <c r="K231" s="1">
        <v>1.0</v>
      </c>
      <c r="L231" s="1">
        <v>144000.0</v>
      </c>
    </row>
    <row r="232">
      <c r="A232" s="1">
        <v>84.0</v>
      </c>
      <c r="B232" s="1" t="s">
        <v>809</v>
      </c>
      <c r="C232" s="1" t="s">
        <v>809</v>
      </c>
      <c r="D232" s="1" t="s">
        <v>869</v>
      </c>
      <c r="E232" s="1" t="s">
        <v>809</v>
      </c>
      <c r="F232" s="1" t="s">
        <v>809</v>
      </c>
      <c r="G232" s="1" t="s">
        <v>809</v>
      </c>
      <c r="H232" s="1" t="s">
        <v>809</v>
      </c>
      <c r="I232" s="1" t="s">
        <v>809</v>
      </c>
      <c r="J232" s="1" t="s">
        <v>809</v>
      </c>
      <c r="K232" s="1">
        <v>1.0</v>
      </c>
      <c r="L232" s="1">
        <v>139392.0</v>
      </c>
    </row>
    <row r="233">
      <c r="A233" s="1">
        <v>85.0</v>
      </c>
      <c r="B233" s="1" t="s">
        <v>806</v>
      </c>
      <c r="C233" s="1" t="s">
        <v>807</v>
      </c>
      <c r="D233" s="1" t="s">
        <v>870</v>
      </c>
      <c r="E233" s="1">
        <v>0.0</v>
      </c>
      <c r="F233" s="1">
        <v>0.0</v>
      </c>
      <c r="G233" s="1" t="s">
        <v>809</v>
      </c>
      <c r="H233" s="1" t="s">
        <v>809</v>
      </c>
      <c r="I233" s="1" t="s">
        <v>809</v>
      </c>
      <c r="J233" s="1" t="s">
        <v>809</v>
      </c>
      <c r="K233" s="1">
        <v>1.0</v>
      </c>
      <c r="L233" s="1">
        <v>550000.0</v>
      </c>
    </row>
    <row r="234">
      <c r="A234" s="1">
        <v>85.0</v>
      </c>
      <c r="B234" s="1" t="s">
        <v>806</v>
      </c>
      <c r="C234" s="1" t="s">
        <v>810</v>
      </c>
      <c r="D234" s="1" t="s">
        <v>870</v>
      </c>
      <c r="E234" s="1">
        <v>0.0</v>
      </c>
      <c r="F234" s="1">
        <v>0.0</v>
      </c>
      <c r="G234" s="1" t="s">
        <v>809</v>
      </c>
      <c r="H234" s="1" t="s">
        <v>809</v>
      </c>
      <c r="I234" s="1" t="s">
        <v>809</v>
      </c>
      <c r="J234" s="1" t="s">
        <v>809</v>
      </c>
      <c r="K234" s="1">
        <v>1.0</v>
      </c>
      <c r="L234" s="1">
        <v>0.0</v>
      </c>
    </row>
    <row r="235">
      <c r="A235" s="1">
        <v>85.0</v>
      </c>
      <c r="B235" s="1" t="s">
        <v>806</v>
      </c>
      <c r="C235" s="1" t="s">
        <v>809</v>
      </c>
      <c r="D235" s="1" t="s">
        <v>822</v>
      </c>
      <c r="E235" s="1" t="s">
        <v>809</v>
      </c>
      <c r="F235" s="1" t="s">
        <v>809</v>
      </c>
      <c r="G235" s="1" t="s">
        <v>809</v>
      </c>
      <c r="H235" s="1" t="s">
        <v>809</v>
      </c>
      <c r="I235" s="1" t="s">
        <v>809</v>
      </c>
      <c r="J235" s="1" t="s">
        <v>809</v>
      </c>
      <c r="K235" s="1">
        <v>1.0</v>
      </c>
      <c r="L235" s="1">
        <v>100000.0</v>
      </c>
    </row>
    <row r="236">
      <c r="A236" s="1">
        <v>86.0</v>
      </c>
      <c r="B236" s="1" t="s">
        <v>806</v>
      </c>
      <c r="C236" s="1" t="s">
        <v>807</v>
      </c>
      <c r="D236" s="1" t="s">
        <v>871</v>
      </c>
      <c r="E236" s="1">
        <v>2.5</v>
      </c>
      <c r="F236" s="1">
        <v>0.0</v>
      </c>
      <c r="G236" s="1" t="s">
        <v>809</v>
      </c>
      <c r="H236" s="1">
        <v>1.5</v>
      </c>
      <c r="I236" s="1" t="s">
        <v>809</v>
      </c>
      <c r="J236" s="1" t="s">
        <v>809</v>
      </c>
      <c r="K236" s="1">
        <v>1.0</v>
      </c>
      <c r="L236" s="1">
        <v>0.0</v>
      </c>
    </row>
    <row r="237">
      <c r="A237" s="1">
        <v>86.0</v>
      </c>
      <c r="B237" s="1" t="s">
        <v>806</v>
      </c>
      <c r="C237" s="1" t="s">
        <v>810</v>
      </c>
      <c r="D237" s="1" t="s">
        <v>871</v>
      </c>
      <c r="E237" s="1">
        <v>3.25</v>
      </c>
      <c r="F237" s="1">
        <v>0.0</v>
      </c>
      <c r="G237" s="1" t="s">
        <v>809</v>
      </c>
      <c r="H237" s="1">
        <v>1.5</v>
      </c>
      <c r="I237" s="1" t="s">
        <v>809</v>
      </c>
      <c r="J237" s="1" t="s">
        <v>809</v>
      </c>
      <c r="K237" s="1">
        <v>1.0</v>
      </c>
      <c r="L237" s="1">
        <v>0.0</v>
      </c>
    </row>
    <row r="238">
      <c r="A238" s="1">
        <v>86.0</v>
      </c>
      <c r="B238" s="1" t="s">
        <v>806</v>
      </c>
      <c r="C238" s="1" t="s">
        <v>809</v>
      </c>
      <c r="D238" s="1" t="s">
        <v>816</v>
      </c>
      <c r="E238" s="1" t="s">
        <v>809</v>
      </c>
      <c r="F238" s="1" t="s">
        <v>809</v>
      </c>
      <c r="G238" s="1" t="s">
        <v>809</v>
      </c>
      <c r="H238" s="1" t="s">
        <v>809</v>
      </c>
      <c r="I238" s="1" t="s">
        <v>809</v>
      </c>
      <c r="J238" s="1" t="s">
        <v>809</v>
      </c>
      <c r="K238" s="1">
        <v>1.0</v>
      </c>
      <c r="L238" s="1">
        <v>30000.0</v>
      </c>
    </row>
    <row r="239">
      <c r="A239" s="1">
        <v>87.0</v>
      </c>
      <c r="B239" s="1" t="s">
        <v>806</v>
      </c>
      <c r="C239" s="1" t="s">
        <v>807</v>
      </c>
      <c r="D239" s="1" t="s">
        <v>836</v>
      </c>
      <c r="E239" s="1">
        <v>0.0</v>
      </c>
      <c r="F239" s="1">
        <v>-3.0</v>
      </c>
      <c r="G239" s="1">
        <v>10.0</v>
      </c>
      <c r="H239" s="1" t="s">
        <v>809</v>
      </c>
      <c r="I239" s="1" t="s">
        <v>809</v>
      </c>
      <c r="J239" s="1" t="s">
        <v>809</v>
      </c>
      <c r="K239" s="1">
        <v>1.0</v>
      </c>
      <c r="L239" s="1">
        <v>49000.0</v>
      </c>
    </row>
    <row r="240">
      <c r="A240" s="1">
        <v>87.0</v>
      </c>
      <c r="B240" s="1" t="s">
        <v>806</v>
      </c>
      <c r="C240" s="1" t="s">
        <v>810</v>
      </c>
      <c r="D240" s="1" t="s">
        <v>836</v>
      </c>
      <c r="E240" s="1">
        <v>0.0</v>
      </c>
      <c r="F240" s="1">
        <v>0.0</v>
      </c>
      <c r="G240" s="1" t="s">
        <v>809</v>
      </c>
      <c r="H240" s="1" t="s">
        <v>809</v>
      </c>
      <c r="I240" s="1" t="s">
        <v>809</v>
      </c>
      <c r="J240" s="1" t="s">
        <v>809</v>
      </c>
      <c r="K240" s="1">
        <v>1.0</v>
      </c>
      <c r="L240" s="1">
        <v>49000.0</v>
      </c>
    </row>
    <row r="241">
      <c r="A241" s="1">
        <v>87.0</v>
      </c>
      <c r="B241" s="1" t="s">
        <v>806</v>
      </c>
      <c r="C241" s="1" t="s">
        <v>809</v>
      </c>
      <c r="D241" s="1" t="s">
        <v>814</v>
      </c>
      <c r="E241" s="1" t="s">
        <v>809</v>
      </c>
      <c r="F241" s="1" t="s">
        <v>809</v>
      </c>
      <c r="G241" s="1" t="s">
        <v>809</v>
      </c>
      <c r="H241" s="1" t="s">
        <v>809</v>
      </c>
      <c r="I241" s="1" t="s">
        <v>809</v>
      </c>
      <c r="J241" s="1" t="s">
        <v>809</v>
      </c>
      <c r="K241" s="1">
        <v>1.0</v>
      </c>
      <c r="L241" s="1">
        <v>72000.0</v>
      </c>
    </row>
    <row r="242">
      <c r="A242" s="1">
        <v>88.0</v>
      </c>
      <c r="B242" s="1" t="s">
        <v>806</v>
      </c>
      <c r="C242" s="1" t="s">
        <v>807</v>
      </c>
      <c r="D242" s="1" t="s">
        <v>865</v>
      </c>
      <c r="E242" s="1">
        <v>2.25</v>
      </c>
      <c r="F242" s="1">
        <v>-1.0</v>
      </c>
      <c r="G242" s="1">
        <v>15.0</v>
      </c>
      <c r="H242" s="1" t="s">
        <v>809</v>
      </c>
      <c r="I242" s="1" t="s">
        <v>809</v>
      </c>
      <c r="J242" s="1" t="s">
        <v>809</v>
      </c>
      <c r="K242" s="1">
        <v>1.0</v>
      </c>
      <c r="L242" s="1">
        <v>38793.45</v>
      </c>
    </row>
    <row r="243">
      <c r="A243" s="1">
        <v>88.0</v>
      </c>
      <c r="B243" s="1" t="s">
        <v>806</v>
      </c>
      <c r="C243" s="1" t="s">
        <v>810</v>
      </c>
      <c r="D243" s="1" t="s">
        <v>865</v>
      </c>
      <c r="E243" s="1">
        <v>4.5</v>
      </c>
      <c r="F243" s="1">
        <v>-3.5</v>
      </c>
      <c r="G243" s="1">
        <v>165.0</v>
      </c>
      <c r="H243" s="1" t="s">
        <v>809</v>
      </c>
      <c r="I243" s="1" t="s">
        <v>809</v>
      </c>
      <c r="J243" s="1" t="s">
        <v>809</v>
      </c>
      <c r="K243" s="1">
        <v>1.0</v>
      </c>
      <c r="L243" s="1">
        <v>38793.45</v>
      </c>
    </row>
    <row r="244">
      <c r="A244" s="1">
        <v>88.0</v>
      </c>
      <c r="B244" s="1" t="s">
        <v>806</v>
      </c>
      <c r="C244" s="1" t="s">
        <v>809</v>
      </c>
      <c r="D244" s="1" t="s">
        <v>814</v>
      </c>
      <c r="E244" s="1" t="s">
        <v>809</v>
      </c>
      <c r="F244" s="1" t="s">
        <v>809</v>
      </c>
      <c r="G244" s="1" t="s">
        <v>809</v>
      </c>
      <c r="H244" s="1" t="s">
        <v>809</v>
      </c>
      <c r="I244" s="1" t="s">
        <v>809</v>
      </c>
      <c r="J244" s="1" t="s">
        <v>809</v>
      </c>
      <c r="K244" s="1">
        <v>1.0</v>
      </c>
      <c r="L244" s="1">
        <v>72000.0</v>
      </c>
    </row>
    <row r="245">
      <c r="A245" s="1">
        <v>89.0</v>
      </c>
      <c r="B245" s="1" t="s">
        <v>825</v>
      </c>
      <c r="C245" s="1" t="s">
        <v>807</v>
      </c>
      <c r="D245" s="1" t="s">
        <v>812</v>
      </c>
      <c r="E245" s="1">
        <v>2.5</v>
      </c>
      <c r="F245" s="1">
        <v>0.0</v>
      </c>
      <c r="G245" s="1" t="s">
        <v>809</v>
      </c>
      <c r="H245" s="1" t="s">
        <v>809</v>
      </c>
      <c r="I245" s="1" t="s">
        <v>809</v>
      </c>
      <c r="J245" s="1">
        <v>20.0</v>
      </c>
      <c r="K245" s="1">
        <v>1.0</v>
      </c>
      <c r="L245" s="1">
        <v>38157.0</v>
      </c>
    </row>
    <row r="246">
      <c r="A246" s="1">
        <v>89.0</v>
      </c>
      <c r="B246" s="1" t="s">
        <v>825</v>
      </c>
      <c r="C246" s="1" t="s">
        <v>810</v>
      </c>
      <c r="D246" s="1" t="s">
        <v>812</v>
      </c>
      <c r="E246" s="1">
        <v>2.5</v>
      </c>
      <c r="F246" s="1">
        <v>0.0</v>
      </c>
      <c r="G246" s="1" t="s">
        <v>809</v>
      </c>
      <c r="H246" s="1" t="s">
        <v>809</v>
      </c>
      <c r="I246" s="1" t="s">
        <v>809</v>
      </c>
      <c r="J246" s="1">
        <v>20.0</v>
      </c>
      <c r="K246" s="1">
        <v>1.0</v>
      </c>
      <c r="L246" s="1">
        <v>38157.0</v>
      </c>
    </row>
    <row r="247">
      <c r="A247" s="1">
        <v>89.0</v>
      </c>
      <c r="B247" s="1" t="s">
        <v>825</v>
      </c>
      <c r="C247" s="1" t="s">
        <v>809</v>
      </c>
      <c r="D247" s="1" t="s">
        <v>872</v>
      </c>
      <c r="E247" s="1" t="s">
        <v>809</v>
      </c>
      <c r="F247" s="1" t="s">
        <v>809</v>
      </c>
      <c r="G247" s="1" t="s">
        <v>809</v>
      </c>
      <c r="H247" s="1" t="s">
        <v>809</v>
      </c>
      <c r="I247" s="1" t="s">
        <v>809</v>
      </c>
      <c r="J247" s="1" t="s">
        <v>809</v>
      </c>
      <c r="K247" s="1">
        <v>1.0</v>
      </c>
      <c r="L247" s="1">
        <v>144000.0</v>
      </c>
    </row>
    <row r="248">
      <c r="A248" s="1">
        <v>90.0</v>
      </c>
      <c r="B248" s="1" t="s">
        <v>806</v>
      </c>
      <c r="C248" s="1" t="s">
        <v>807</v>
      </c>
      <c r="D248" s="1" t="s">
        <v>823</v>
      </c>
      <c r="E248" s="1">
        <v>3.0</v>
      </c>
      <c r="F248" s="1">
        <v>0.0</v>
      </c>
      <c r="G248" s="1" t="s">
        <v>809</v>
      </c>
      <c r="H248" s="1">
        <v>2.0</v>
      </c>
      <c r="I248" s="1" t="s">
        <v>809</v>
      </c>
      <c r="J248" s="1" t="s">
        <v>809</v>
      </c>
      <c r="K248" s="1">
        <v>1.0</v>
      </c>
      <c r="L248" s="1">
        <v>235018.8</v>
      </c>
    </row>
    <row r="249">
      <c r="A249" s="1">
        <v>90.0</v>
      </c>
      <c r="B249" s="1" t="s">
        <v>806</v>
      </c>
      <c r="C249" s="1" t="s">
        <v>810</v>
      </c>
      <c r="D249" s="1" t="s">
        <v>823</v>
      </c>
      <c r="E249" s="1">
        <v>3.0</v>
      </c>
      <c r="F249" s="1">
        <v>0.0</v>
      </c>
      <c r="G249" s="1" t="s">
        <v>809</v>
      </c>
      <c r="H249" s="1">
        <v>2.0</v>
      </c>
      <c r="I249" s="1" t="s">
        <v>809</v>
      </c>
      <c r="J249" s="1" t="s">
        <v>809</v>
      </c>
      <c r="K249" s="1">
        <v>1.0</v>
      </c>
      <c r="L249" s="1">
        <v>235018.8</v>
      </c>
    </row>
    <row r="250">
      <c r="A250" s="1">
        <v>90.0</v>
      </c>
      <c r="B250" s="1" t="s">
        <v>806</v>
      </c>
      <c r="C250" s="1" t="s">
        <v>809</v>
      </c>
      <c r="D250" s="1" t="s">
        <v>873</v>
      </c>
      <c r="E250" s="1" t="s">
        <v>809</v>
      </c>
      <c r="F250" s="1" t="s">
        <v>809</v>
      </c>
      <c r="G250" s="1" t="s">
        <v>809</v>
      </c>
      <c r="H250" s="1" t="s">
        <v>809</v>
      </c>
      <c r="I250" s="1" t="s">
        <v>809</v>
      </c>
      <c r="J250" s="1" t="s">
        <v>809</v>
      </c>
      <c r="K250" s="1">
        <v>1.0</v>
      </c>
      <c r="L250" s="1">
        <v>144000.0</v>
      </c>
    </row>
    <row r="251">
      <c r="A251" s="1">
        <v>91.0</v>
      </c>
      <c r="B251" s="1" t="s">
        <v>806</v>
      </c>
      <c r="C251" s="1" t="s">
        <v>807</v>
      </c>
      <c r="D251" s="1" t="s">
        <v>841</v>
      </c>
      <c r="E251" s="1">
        <v>3.0</v>
      </c>
      <c r="F251" s="1">
        <v>0.0</v>
      </c>
      <c r="G251" s="1" t="s">
        <v>809</v>
      </c>
      <c r="H251" s="1">
        <v>2.0</v>
      </c>
      <c r="I251" s="1" t="s">
        <v>809</v>
      </c>
      <c r="J251" s="1" t="s">
        <v>809</v>
      </c>
      <c r="K251" s="1">
        <v>1.0</v>
      </c>
      <c r="L251" s="1">
        <v>0.0</v>
      </c>
    </row>
    <row r="252">
      <c r="A252" s="1">
        <v>91.0</v>
      </c>
      <c r="B252" s="1" t="s">
        <v>806</v>
      </c>
      <c r="C252" s="1" t="s">
        <v>810</v>
      </c>
      <c r="D252" s="1" t="s">
        <v>841</v>
      </c>
      <c r="E252" s="1">
        <v>3.0</v>
      </c>
      <c r="F252" s="1">
        <v>0.0</v>
      </c>
      <c r="G252" s="1" t="s">
        <v>809</v>
      </c>
      <c r="H252" s="1">
        <v>2.0</v>
      </c>
      <c r="I252" s="1" t="s">
        <v>809</v>
      </c>
      <c r="J252" s="1" t="s">
        <v>809</v>
      </c>
      <c r="K252" s="1">
        <v>1.0</v>
      </c>
      <c r="L252" s="1">
        <v>0.0</v>
      </c>
    </row>
    <row r="253">
      <c r="A253" s="1">
        <v>92.0</v>
      </c>
      <c r="B253" s="1" t="s">
        <v>809</v>
      </c>
      <c r="C253" s="1" t="s">
        <v>809</v>
      </c>
      <c r="D253" s="1" t="s">
        <v>874</v>
      </c>
      <c r="E253" s="1" t="s">
        <v>809</v>
      </c>
      <c r="F253" s="1" t="s">
        <v>809</v>
      </c>
      <c r="G253" s="1" t="s">
        <v>809</v>
      </c>
      <c r="H253" s="1" t="s">
        <v>809</v>
      </c>
      <c r="I253" s="1" t="s">
        <v>809</v>
      </c>
      <c r="J253" s="1" t="s">
        <v>809</v>
      </c>
      <c r="K253" s="1">
        <v>1.0</v>
      </c>
      <c r="L253" s="1">
        <v>143640.0</v>
      </c>
    </row>
    <row r="254">
      <c r="A254" s="1">
        <v>93.0</v>
      </c>
      <c r="B254" s="1" t="s">
        <v>806</v>
      </c>
      <c r="C254" s="1" t="s">
        <v>807</v>
      </c>
      <c r="D254" s="1" t="s">
        <v>819</v>
      </c>
      <c r="E254" s="1">
        <v>0.0</v>
      </c>
      <c r="F254" s="1">
        <v>0.0</v>
      </c>
      <c r="G254" s="1" t="s">
        <v>809</v>
      </c>
      <c r="H254" s="1" t="s">
        <v>809</v>
      </c>
      <c r="I254" s="1" t="s">
        <v>809</v>
      </c>
      <c r="J254" s="1" t="s">
        <v>809</v>
      </c>
      <c r="K254" s="1">
        <v>1.0</v>
      </c>
      <c r="L254" s="1">
        <v>56185.14</v>
      </c>
    </row>
    <row r="255">
      <c r="A255" s="1">
        <v>93.0</v>
      </c>
      <c r="B255" s="1" t="s">
        <v>806</v>
      </c>
      <c r="C255" s="1" t="s">
        <v>810</v>
      </c>
      <c r="D255" s="1" t="s">
        <v>819</v>
      </c>
      <c r="E255" s="1">
        <v>0.0</v>
      </c>
      <c r="F255" s="1">
        <v>0.0</v>
      </c>
      <c r="G255" s="1" t="s">
        <v>809</v>
      </c>
      <c r="H255" s="1" t="s">
        <v>809</v>
      </c>
      <c r="I255" s="1" t="s">
        <v>809</v>
      </c>
      <c r="J255" s="1" t="s">
        <v>809</v>
      </c>
      <c r="K255" s="1">
        <v>1.0</v>
      </c>
      <c r="L255" s="1">
        <v>56185.14</v>
      </c>
    </row>
    <row r="256">
      <c r="A256" s="1">
        <v>93.0</v>
      </c>
      <c r="B256" s="1" t="s">
        <v>806</v>
      </c>
      <c r="C256" s="1" t="s">
        <v>809</v>
      </c>
      <c r="D256" s="1" t="s">
        <v>827</v>
      </c>
      <c r="E256" s="1" t="s">
        <v>809</v>
      </c>
      <c r="F256" s="1" t="s">
        <v>809</v>
      </c>
      <c r="G256" s="1" t="s">
        <v>809</v>
      </c>
      <c r="H256" s="1" t="s">
        <v>809</v>
      </c>
      <c r="I256" s="1" t="s">
        <v>809</v>
      </c>
      <c r="J256" s="1" t="s">
        <v>809</v>
      </c>
      <c r="K256" s="1">
        <v>1.0</v>
      </c>
      <c r="L256" s="1">
        <v>100130.0</v>
      </c>
    </row>
    <row r="257">
      <c r="A257" s="1">
        <v>94.0</v>
      </c>
      <c r="B257" s="1" t="s">
        <v>806</v>
      </c>
      <c r="C257" s="1" t="s">
        <v>807</v>
      </c>
      <c r="D257" s="1" t="s">
        <v>823</v>
      </c>
      <c r="E257" s="1">
        <v>0.0</v>
      </c>
      <c r="F257" s="1">
        <v>0.0</v>
      </c>
      <c r="G257" s="1" t="s">
        <v>809</v>
      </c>
      <c r="H257" s="1" t="s">
        <v>809</v>
      </c>
      <c r="I257" s="1" t="s">
        <v>809</v>
      </c>
      <c r="J257" s="1" t="s">
        <v>809</v>
      </c>
      <c r="K257" s="1">
        <v>1.0</v>
      </c>
      <c r="L257" s="1">
        <v>311820.0</v>
      </c>
    </row>
    <row r="258">
      <c r="A258" s="1">
        <v>94.0</v>
      </c>
      <c r="B258" s="1" t="s">
        <v>806</v>
      </c>
      <c r="C258" s="1" t="s">
        <v>810</v>
      </c>
      <c r="D258" s="1" t="s">
        <v>823</v>
      </c>
      <c r="E258" s="1">
        <v>0.0</v>
      </c>
      <c r="F258" s="1">
        <v>0.0</v>
      </c>
      <c r="G258" s="1" t="s">
        <v>809</v>
      </c>
      <c r="H258" s="1" t="s">
        <v>809</v>
      </c>
      <c r="I258" s="1" t="s">
        <v>809</v>
      </c>
      <c r="J258" s="1" t="s">
        <v>809</v>
      </c>
      <c r="K258" s="1">
        <v>1.0</v>
      </c>
      <c r="L258" s="1">
        <v>311820.0</v>
      </c>
    </row>
    <row r="259">
      <c r="A259" s="1">
        <v>94.0</v>
      </c>
      <c r="B259" s="1" t="s">
        <v>806</v>
      </c>
      <c r="C259" s="1" t="s">
        <v>809</v>
      </c>
      <c r="D259" s="1" t="s">
        <v>875</v>
      </c>
      <c r="E259" s="1" t="s">
        <v>809</v>
      </c>
      <c r="F259" s="1" t="s">
        <v>809</v>
      </c>
      <c r="G259" s="1" t="s">
        <v>809</v>
      </c>
      <c r="H259" s="1" t="s">
        <v>809</v>
      </c>
      <c r="I259" s="1" t="s">
        <v>809</v>
      </c>
      <c r="J259" s="1" t="s">
        <v>809</v>
      </c>
      <c r="K259" s="1">
        <v>1.0</v>
      </c>
      <c r="L259" s="1">
        <v>0.0</v>
      </c>
    </row>
    <row r="260">
      <c r="A260" s="1">
        <v>95.0</v>
      </c>
      <c r="B260" s="1" t="s">
        <v>806</v>
      </c>
      <c r="C260" s="1" t="s">
        <v>807</v>
      </c>
      <c r="D260" s="1" t="s">
        <v>841</v>
      </c>
      <c r="E260" s="1">
        <v>1.75</v>
      </c>
      <c r="F260" s="1">
        <v>0.0</v>
      </c>
      <c r="G260" s="1" t="s">
        <v>809</v>
      </c>
      <c r="H260" s="1" t="s">
        <v>809</v>
      </c>
      <c r="I260" s="1" t="s">
        <v>809</v>
      </c>
      <c r="J260" s="1" t="s">
        <v>809</v>
      </c>
      <c r="K260" s="1">
        <v>1.0</v>
      </c>
      <c r="L260" s="1">
        <v>0.0</v>
      </c>
    </row>
    <row r="261">
      <c r="A261" s="1">
        <v>95.0</v>
      </c>
      <c r="B261" s="1" t="s">
        <v>806</v>
      </c>
      <c r="C261" s="1" t="s">
        <v>810</v>
      </c>
      <c r="D261" s="1" t="s">
        <v>841</v>
      </c>
      <c r="E261" s="1">
        <v>2.25</v>
      </c>
      <c r="F261" s="1">
        <v>-1.25</v>
      </c>
      <c r="G261" s="1">
        <v>160.0</v>
      </c>
      <c r="H261" s="1" t="s">
        <v>809</v>
      </c>
      <c r="I261" s="1" t="s">
        <v>809</v>
      </c>
      <c r="J261" s="1" t="s">
        <v>809</v>
      </c>
      <c r="K261" s="1">
        <v>1.0</v>
      </c>
      <c r="L261" s="1">
        <v>0.0</v>
      </c>
    </row>
    <row r="262">
      <c r="A262" s="1">
        <v>95.0</v>
      </c>
      <c r="B262" s="1" t="s">
        <v>806</v>
      </c>
      <c r="C262" s="1" t="s">
        <v>809</v>
      </c>
      <c r="D262" s="1" t="s">
        <v>876</v>
      </c>
      <c r="E262" s="1" t="s">
        <v>809</v>
      </c>
      <c r="F262" s="1" t="s">
        <v>809</v>
      </c>
      <c r="G262" s="1" t="s">
        <v>809</v>
      </c>
      <c r="H262" s="1" t="s">
        <v>809</v>
      </c>
      <c r="I262" s="1" t="s">
        <v>809</v>
      </c>
      <c r="J262" s="1" t="s">
        <v>809</v>
      </c>
      <c r="K262" s="1">
        <v>1.0</v>
      </c>
      <c r="L262" s="1">
        <v>143640.0</v>
      </c>
    </row>
    <row r="263">
      <c r="A263" s="1">
        <v>96.0</v>
      </c>
      <c r="B263" s="1" t="s">
        <v>806</v>
      </c>
      <c r="C263" s="1" t="s">
        <v>807</v>
      </c>
      <c r="D263" s="1" t="s">
        <v>812</v>
      </c>
      <c r="E263" s="1">
        <v>1.0</v>
      </c>
      <c r="F263" s="1">
        <v>-1.0</v>
      </c>
      <c r="G263" s="1">
        <v>175.0</v>
      </c>
      <c r="H263" s="1" t="s">
        <v>809</v>
      </c>
      <c r="I263" s="1" t="s">
        <v>809</v>
      </c>
      <c r="J263" s="1" t="s">
        <v>809</v>
      </c>
      <c r="K263" s="1">
        <v>1.0</v>
      </c>
      <c r="L263" s="1">
        <v>29157.98</v>
      </c>
    </row>
    <row r="264">
      <c r="A264" s="1">
        <v>96.0</v>
      </c>
      <c r="B264" s="1" t="s">
        <v>806</v>
      </c>
      <c r="C264" s="1" t="s">
        <v>810</v>
      </c>
      <c r="D264" s="1" t="s">
        <v>812</v>
      </c>
      <c r="E264" s="1">
        <v>3.5</v>
      </c>
      <c r="F264" s="1">
        <v>-3.5</v>
      </c>
      <c r="G264" s="1">
        <v>15.0</v>
      </c>
      <c r="H264" s="1" t="s">
        <v>809</v>
      </c>
      <c r="I264" s="1" t="s">
        <v>809</v>
      </c>
      <c r="J264" s="1" t="s">
        <v>809</v>
      </c>
      <c r="K264" s="1">
        <v>1.0</v>
      </c>
      <c r="L264" s="1">
        <v>29157.98</v>
      </c>
    </row>
    <row r="265">
      <c r="A265" s="1">
        <v>96.0</v>
      </c>
      <c r="B265" s="1" t="s">
        <v>806</v>
      </c>
      <c r="C265" s="1" t="s">
        <v>809</v>
      </c>
      <c r="D265" s="1" t="s">
        <v>814</v>
      </c>
      <c r="E265" s="1" t="s">
        <v>809</v>
      </c>
      <c r="F265" s="1" t="s">
        <v>809</v>
      </c>
      <c r="G265" s="1" t="s">
        <v>809</v>
      </c>
      <c r="H265" s="1" t="s">
        <v>809</v>
      </c>
      <c r="I265" s="1" t="s">
        <v>809</v>
      </c>
      <c r="J265" s="1" t="s">
        <v>809</v>
      </c>
      <c r="K265" s="1">
        <v>1.0</v>
      </c>
      <c r="L265" s="1">
        <v>72000.0</v>
      </c>
    </row>
    <row r="266">
      <c r="A266" s="1">
        <v>97.0</v>
      </c>
      <c r="B266" s="1" t="s">
        <v>806</v>
      </c>
      <c r="C266" s="1" t="s">
        <v>807</v>
      </c>
      <c r="D266" s="1" t="s">
        <v>812</v>
      </c>
      <c r="E266" s="1">
        <v>0.0</v>
      </c>
      <c r="F266" s="1">
        <v>-0.5</v>
      </c>
      <c r="G266" s="1">
        <v>100.0</v>
      </c>
      <c r="H266" s="1" t="s">
        <v>809</v>
      </c>
      <c r="I266" s="1" t="s">
        <v>809</v>
      </c>
      <c r="J266" s="1" t="s">
        <v>809</v>
      </c>
      <c r="K266" s="1">
        <v>1.0</v>
      </c>
      <c r="L266" s="1">
        <v>29157.98</v>
      </c>
    </row>
    <row r="267">
      <c r="A267" s="1">
        <v>97.0</v>
      </c>
      <c r="B267" s="1" t="s">
        <v>806</v>
      </c>
      <c r="C267" s="1" t="s">
        <v>810</v>
      </c>
      <c r="D267" s="1" t="s">
        <v>812</v>
      </c>
      <c r="E267" s="1">
        <v>0.0</v>
      </c>
      <c r="F267" s="1">
        <v>-0.5</v>
      </c>
      <c r="G267" s="1">
        <v>90.0</v>
      </c>
      <c r="H267" s="1" t="s">
        <v>809</v>
      </c>
      <c r="I267" s="1" t="s">
        <v>809</v>
      </c>
      <c r="J267" s="1" t="s">
        <v>809</v>
      </c>
      <c r="K267" s="1">
        <v>1.0</v>
      </c>
      <c r="L267" s="1">
        <v>29157.98</v>
      </c>
    </row>
    <row r="268">
      <c r="A268" s="1">
        <v>97.0</v>
      </c>
      <c r="B268" s="1" t="s">
        <v>806</v>
      </c>
      <c r="C268" s="1" t="s">
        <v>809</v>
      </c>
      <c r="D268" s="1" t="s">
        <v>877</v>
      </c>
      <c r="E268" s="1" t="s">
        <v>809</v>
      </c>
      <c r="F268" s="1" t="s">
        <v>809</v>
      </c>
      <c r="G268" s="1" t="s">
        <v>809</v>
      </c>
      <c r="H268" s="1" t="s">
        <v>809</v>
      </c>
      <c r="I268" s="1" t="s">
        <v>809</v>
      </c>
      <c r="J268" s="1" t="s">
        <v>809</v>
      </c>
      <c r="K268" s="1">
        <v>1.0</v>
      </c>
      <c r="L268" s="1">
        <v>147042.0</v>
      </c>
    </row>
    <row r="269">
      <c r="A269" s="1">
        <v>98.0</v>
      </c>
      <c r="B269" s="1" t="s">
        <v>806</v>
      </c>
      <c r="C269" s="1" t="s">
        <v>807</v>
      </c>
      <c r="D269" s="1" t="s">
        <v>808</v>
      </c>
      <c r="E269" s="1">
        <v>0.0</v>
      </c>
      <c r="F269" s="1">
        <v>-0.5</v>
      </c>
      <c r="G269" s="1">
        <v>100.0</v>
      </c>
      <c r="H269" s="1" t="s">
        <v>809</v>
      </c>
      <c r="I269" s="1" t="s">
        <v>809</v>
      </c>
      <c r="J269" s="1" t="s">
        <v>809</v>
      </c>
      <c r="K269" s="1">
        <v>1.0</v>
      </c>
      <c r="L269" s="1">
        <v>9259.87</v>
      </c>
    </row>
    <row r="270">
      <c r="A270" s="1">
        <v>98.0</v>
      </c>
      <c r="B270" s="1" t="s">
        <v>806</v>
      </c>
      <c r="C270" s="1" t="s">
        <v>810</v>
      </c>
      <c r="D270" s="1" t="s">
        <v>808</v>
      </c>
      <c r="E270" s="1">
        <v>0.0</v>
      </c>
      <c r="F270" s="1">
        <v>-0.5</v>
      </c>
      <c r="G270" s="1">
        <v>90.0</v>
      </c>
      <c r="H270" s="1" t="s">
        <v>809</v>
      </c>
      <c r="I270" s="1" t="s">
        <v>809</v>
      </c>
      <c r="J270" s="1" t="s">
        <v>809</v>
      </c>
      <c r="K270" s="1">
        <v>1.0</v>
      </c>
      <c r="L270" s="1">
        <v>9259.87</v>
      </c>
    </row>
    <row r="271">
      <c r="A271" s="1">
        <v>98.0</v>
      </c>
      <c r="B271" s="1" t="s">
        <v>806</v>
      </c>
      <c r="C271" s="1" t="s">
        <v>809</v>
      </c>
      <c r="D271" s="1" t="s">
        <v>878</v>
      </c>
      <c r="E271" s="1" t="s">
        <v>809</v>
      </c>
      <c r="F271" s="1" t="s">
        <v>809</v>
      </c>
      <c r="G271" s="1" t="s">
        <v>809</v>
      </c>
      <c r="H271" s="1" t="s">
        <v>809</v>
      </c>
      <c r="I271" s="1" t="s">
        <v>809</v>
      </c>
      <c r="J271" s="1" t="s">
        <v>809</v>
      </c>
      <c r="K271" s="1">
        <v>1.0</v>
      </c>
      <c r="L271" s="1">
        <v>132300.0</v>
      </c>
    </row>
    <row r="272">
      <c r="A272" s="1">
        <v>99.0</v>
      </c>
      <c r="B272" s="1" t="s">
        <v>809</v>
      </c>
      <c r="C272" s="1" t="s">
        <v>809</v>
      </c>
      <c r="D272" s="1" t="s">
        <v>879</v>
      </c>
      <c r="E272" s="1" t="s">
        <v>809</v>
      </c>
      <c r="F272" s="1" t="s">
        <v>809</v>
      </c>
      <c r="G272" s="1" t="s">
        <v>809</v>
      </c>
      <c r="H272" s="1" t="s">
        <v>809</v>
      </c>
      <c r="I272" s="1" t="s">
        <v>809</v>
      </c>
      <c r="J272" s="1" t="s">
        <v>809</v>
      </c>
      <c r="K272" s="1">
        <v>1.0</v>
      </c>
      <c r="L272" s="1">
        <v>252000.0</v>
      </c>
    </row>
    <row r="273">
      <c r="A273" s="1">
        <v>100.0</v>
      </c>
      <c r="B273" s="1" t="s">
        <v>809</v>
      </c>
      <c r="C273" s="1" t="s">
        <v>809</v>
      </c>
      <c r="D273" s="1" t="s">
        <v>880</v>
      </c>
      <c r="E273" s="1" t="s">
        <v>809</v>
      </c>
      <c r="F273" s="1" t="s">
        <v>809</v>
      </c>
      <c r="G273" s="1" t="s">
        <v>809</v>
      </c>
      <c r="H273" s="1" t="s">
        <v>809</v>
      </c>
      <c r="I273" s="1" t="s">
        <v>809</v>
      </c>
      <c r="J273" s="1" t="s">
        <v>809</v>
      </c>
      <c r="K273" s="1">
        <v>1.0</v>
      </c>
      <c r="L273" s="1">
        <v>78000.0</v>
      </c>
    </row>
    <row r="274">
      <c r="A274" s="1">
        <v>101.0</v>
      </c>
      <c r="B274" s="1" t="s">
        <v>806</v>
      </c>
      <c r="C274" s="1" t="s">
        <v>807</v>
      </c>
      <c r="D274" s="1" t="s">
        <v>836</v>
      </c>
      <c r="E274" s="1">
        <v>-3.75</v>
      </c>
      <c r="F274" s="1">
        <v>-0.25</v>
      </c>
      <c r="G274" s="1">
        <v>155.0</v>
      </c>
      <c r="H274" s="1" t="s">
        <v>809</v>
      </c>
      <c r="I274" s="1">
        <v>29.0</v>
      </c>
      <c r="J274" s="1">
        <v>20.0</v>
      </c>
      <c r="K274" s="1">
        <v>1.0</v>
      </c>
      <c r="L274" s="1">
        <v>49500.0</v>
      </c>
    </row>
    <row r="275">
      <c r="A275" s="1">
        <v>101.0</v>
      </c>
      <c r="B275" s="1" t="s">
        <v>806</v>
      </c>
      <c r="C275" s="1" t="s">
        <v>810</v>
      </c>
      <c r="D275" s="1" t="s">
        <v>836</v>
      </c>
      <c r="E275" s="1">
        <v>0.25</v>
      </c>
      <c r="F275" s="1">
        <v>-0.75</v>
      </c>
      <c r="G275" s="1">
        <v>45.0</v>
      </c>
      <c r="H275" s="1" t="s">
        <v>809</v>
      </c>
      <c r="I275" s="1">
        <v>27.0</v>
      </c>
      <c r="J275" s="1">
        <v>20.0</v>
      </c>
      <c r="K275" s="1">
        <v>1.0</v>
      </c>
      <c r="L275" s="1">
        <v>49500.0</v>
      </c>
    </row>
    <row r="276">
      <c r="A276" s="1">
        <v>102.0</v>
      </c>
      <c r="B276" s="1" t="s">
        <v>806</v>
      </c>
      <c r="C276" s="1" t="s">
        <v>807</v>
      </c>
      <c r="D276" s="1" t="s">
        <v>836</v>
      </c>
      <c r="E276" s="1">
        <v>-0.5</v>
      </c>
      <c r="F276" s="1">
        <v>-0.75</v>
      </c>
      <c r="G276" s="1">
        <v>165.0</v>
      </c>
      <c r="H276" s="1" t="s">
        <v>809</v>
      </c>
      <c r="I276" s="1">
        <v>29.0</v>
      </c>
      <c r="J276" s="1">
        <v>26.0</v>
      </c>
      <c r="K276" s="1">
        <v>1.0</v>
      </c>
      <c r="L276" s="1">
        <v>84000.0</v>
      </c>
    </row>
    <row r="277">
      <c r="A277" s="1">
        <v>102.0</v>
      </c>
      <c r="B277" s="1" t="s">
        <v>806</v>
      </c>
      <c r="C277" s="1" t="s">
        <v>810</v>
      </c>
      <c r="D277" s="1" t="s">
        <v>836</v>
      </c>
      <c r="E277" s="1">
        <v>-0.25</v>
      </c>
      <c r="F277" s="1">
        <v>-0.5</v>
      </c>
      <c r="G277" s="1">
        <v>180.0</v>
      </c>
      <c r="H277" s="1" t="s">
        <v>809</v>
      </c>
      <c r="I277" s="1">
        <v>29.0</v>
      </c>
      <c r="J277" s="1">
        <v>26.0</v>
      </c>
      <c r="K277" s="1">
        <v>1.0</v>
      </c>
      <c r="L277" s="1">
        <v>0.0</v>
      </c>
    </row>
    <row r="278">
      <c r="A278" s="1">
        <v>102.0</v>
      </c>
      <c r="B278" s="1" t="s">
        <v>806</v>
      </c>
      <c r="C278" s="1" t="s">
        <v>809</v>
      </c>
      <c r="D278" s="1" t="s">
        <v>881</v>
      </c>
      <c r="E278" s="1" t="s">
        <v>809</v>
      </c>
      <c r="F278" s="1" t="s">
        <v>809</v>
      </c>
      <c r="G278" s="1" t="s">
        <v>809</v>
      </c>
      <c r="H278" s="1" t="s">
        <v>809</v>
      </c>
      <c r="I278" s="1" t="s">
        <v>809</v>
      </c>
      <c r="J278" s="1" t="s">
        <v>809</v>
      </c>
      <c r="K278" s="1">
        <v>1.0</v>
      </c>
      <c r="L278" s="1">
        <v>89420.0</v>
      </c>
    </row>
    <row r="279">
      <c r="A279" s="1">
        <v>103.0</v>
      </c>
      <c r="B279" s="1" t="s">
        <v>825</v>
      </c>
      <c r="C279" s="1" t="s">
        <v>807</v>
      </c>
      <c r="D279" s="1" t="s">
        <v>836</v>
      </c>
      <c r="E279" s="1">
        <v>1.0</v>
      </c>
      <c r="F279" s="1">
        <v>0.0</v>
      </c>
      <c r="G279" s="1" t="s">
        <v>809</v>
      </c>
      <c r="H279" s="1" t="s">
        <v>809</v>
      </c>
      <c r="I279" s="1" t="s">
        <v>809</v>
      </c>
      <c r="J279" s="1" t="s">
        <v>809</v>
      </c>
      <c r="K279" s="1">
        <v>1.0</v>
      </c>
      <c r="L279" s="1">
        <v>84000.0</v>
      </c>
    </row>
    <row r="280">
      <c r="A280" s="1">
        <v>103.0</v>
      </c>
      <c r="B280" s="1" t="s">
        <v>825</v>
      </c>
      <c r="C280" s="1" t="s">
        <v>810</v>
      </c>
      <c r="D280" s="1" t="s">
        <v>836</v>
      </c>
      <c r="E280" s="1">
        <v>1.0</v>
      </c>
      <c r="F280" s="1">
        <v>0.0</v>
      </c>
      <c r="G280" s="1" t="s">
        <v>809</v>
      </c>
      <c r="H280" s="1" t="s">
        <v>809</v>
      </c>
      <c r="I280" s="1" t="s">
        <v>809</v>
      </c>
      <c r="J280" s="1" t="s">
        <v>809</v>
      </c>
      <c r="K280" s="1">
        <v>1.0</v>
      </c>
      <c r="L280" s="1">
        <v>0.0</v>
      </c>
    </row>
    <row r="281">
      <c r="A281" s="1">
        <v>103.0</v>
      </c>
      <c r="B281" s="1" t="s">
        <v>825</v>
      </c>
      <c r="C281" s="1" t="s">
        <v>809</v>
      </c>
      <c r="D281" s="1" t="s">
        <v>814</v>
      </c>
      <c r="E281" s="1" t="s">
        <v>809</v>
      </c>
      <c r="F281" s="1" t="s">
        <v>809</v>
      </c>
      <c r="G281" s="1" t="s">
        <v>809</v>
      </c>
      <c r="H281" s="1" t="s">
        <v>809</v>
      </c>
      <c r="I281" s="1" t="s">
        <v>809</v>
      </c>
      <c r="J281" s="1" t="s">
        <v>809</v>
      </c>
      <c r="K281" s="1">
        <v>1.0</v>
      </c>
      <c r="L281" s="1">
        <v>100000.0</v>
      </c>
    </row>
    <row r="282">
      <c r="A282" s="1">
        <v>104.0</v>
      </c>
      <c r="B282" s="1" t="s">
        <v>806</v>
      </c>
      <c r="C282" s="1" t="s">
        <v>807</v>
      </c>
      <c r="D282" s="1" t="s">
        <v>812</v>
      </c>
      <c r="E282" s="1">
        <v>0.5</v>
      </c>
      <c r="F282" s="1">
        <v>-1.5</v>
      </c>
      <c r="G282" s="1">
        <v>165.0</v>
      </c>
      <c r="H282" s="1" t="s">
        <v>809</v>
      </c>
      <c r="I282" s="1" t="s">
        <v>809</v>
      </c>
      <c r="J282" s="1" t="s">
        <v>809</v>
      </c>
      <c r="K282" s="1">
        <v>1.0</v>
      </c>
      <c r="L282" s="1">
        <v>29157.98</v>
      </c>
    </row>
    <row r="283">
      <c r="A283" s="1">
        <v>104.0</v>
      </c>
      <c r="B283" s="1" t="s">
        <v>806</v>
      </c>
      <c r="C283" s="1" t="s">
        <v>810</v>
      </c>
      <c r="D283" s="1" t="s">
        <v>812</v>
      </c>
      <c r="E283" s="1">
        <v>0.25</v>
      </c>
      <c r="F283" s="1">
        <v>-1.25</v>
      </c>
      <c r="G283" s="1">
        <v>180.0</v>
      </c>
      <c r="H283" s="1" t="s">
        <v>809</v>
      </c>
      <c r="I283" s="1" t="s">
        <v>809</v>
      </c>
      <c r="J283" s="1" t="s">
        <v>809</v>
      </c>
      <c r="K283" s="1">
        <v>1.0</v>
      </c>
      <c r="L283" s="1">
        <v>29157.98</v>
      </c>
    </row>
    <row r="284">
      <c r="A284" s="1">
        <v>104.0</v>
      </c>
      <c r="B284" s="1" t="s">
        <v>806</v>
      </c>
      <c r="C284" s="1" t="s">
        <v>809</v>
      </c>
      <c r="D284" s="1" t="s">
        <v>814</v>
      </c>
      <c r="E284" s="1" t="s">
        <v>809</v>
      </c>
      <c r="F284" s="1" t="s">
        <v>809</v>
      </c>
      <c r="G284" s="1" t="s">
        <v>809</v>
      </c>
      <c r="H284" s="1" t="s">
        <v>809</v>
      </c>
      <c r="I284" s="1" t="s">
        <v>809</v>
      </c>
      <c r="J284" s="1" t="s">
        <v>809</v>
      </c>
      <c r="K284" s="1">
        <v>1.0</v>
      </c>
      <c r="L284" s="1">
        <v>120000.0</v>
      </c>
    </row>
    <row r="285">
      <c r="A285" s="1">
        <v>105.0</v>
      </c>
      <c r="B285" s="1" t="s">
        <v>806</v>
      </c>
      <c r="C285" s="1" t="s">
        <v>807</v>
      </c>
      <c r="D285" s="1" t="s">
        <v>882</v>
      </c>
      <c r="E285" s="1">
        <v>3.0</v>
      </c>
      <c r="F285" s="1">
        <v>0.0</v>
      </c>
      <c r="G285" s="1" t="s">
        <v>809</v>
      </c>
      <c r="H285" s="1" t="s">
        <v>809</v>
      </c>
      <c r="I285" s="1">
        <v>34.0</v>
      </c>
      <c r="J285" s="1">
        <v>30.0</v>
      </c>
      <c r="K285" s="1">
        <v>1.0</v>
      </c>
      <c r="L285" s="1">
        <v>188000.0</v>
      </c>
    </row>
    <row r="286">
      <c r="A286" s="1">
        <v>105.0</v>
      </c>
      <c r="B286" s="1" t="s">
        <v>806</v>
      </c>
      <c r="C286" s="1" t="s">
        <v>810</v>
      </c>
      <c r="D286" s="1" t="s">
        <v>882</v>
      </c>
      <c r="E286" s="1">
        <v>3.25</v>
      </c>
      <c r="F286" s="1">
        <v>-0.5</v>
      </c>
      <c r="G286" s="1">
        <v>175.0</v>
      </c>
      <c r="H286" s="1" t="s">
        <v>809</v>
      </c>
      <c r="I286" s="1">
        <v>29.0</v>
      </c>
      <c r="J286" s="1">
        <v>27.0</v>
      </c>
      <c r="K286" s="1">
        <v>1.0</v>
      </c>
      <c r="L286" s="1">
        <v>0.0</v>
      </c>
    </row>
    <row r="287">
      <c r="A287" s="1">
        <v>105.0</v>
      </c>
      <c r="B287" s="1" t="s">
        <v>806</v>
      </c>
      <c r="C287" s="1" t="s">
        <v>809</v>
      </c>
      <c r="D287" s="1" t="s">
        <v>814</v>
      </c>
      <c r="E287" s="1" t="s">
        <v>809</v>
      </c>
      <c r="F287" s="1" t="s">
        <v>809</v>
      </c>
      <c r="G287" s="1" t="s">
        <v>809</v>
      </c>
      <c r="H287" s="1" t="s">
        <v>809</v>
      </c>
      <c r="I287" s="1" t="s">
        <v>809</v>
      </c>
      <c r="J287" s="1" t="s">
        <v>809</v>
      </c>
      <c r="K287" s="1">
        <v>1.0</v>
      </c>
      <c r="L287" s="1">
        <v>70000.0</v>
      </c>
    </row>
    <row r="288">
      <c r="A288" s="1">
        <v>106.0</v>
      </c>
      <c r="B288" s="1" t="s">
        <v>806</v>
      </c>
      <c r="C288" s="1" t="s">
        <v>807</v>
      </c>
      <c r="D288" s="1" t="s">
        <v>836</v>
      </c>
      <c r="E288" s="1">
        <v>-0.25</v>
      </c>
      <c r="F288" s="1">
        <v>-0.25</v>
      </c>
      <c r="G288" s="1">
        <v>150.0</v>
      </c>
      <c r="H288" s="1" t="s">
        <v>809</v>
      </c>
      <c r="I288" s="1">
        <v>30.0</v>
      </c>
      <c r="J288" s="1">
        <v>26.0</v>
      </c>
      <c r="K288" s="1">
        <v>1.0</v>
      </c>
      <c r="L288" s="1">
        <v>98996.0</v>
      </c>
    </row>
    <row r="289">
      <c r="A289" s="1">
        <v>106.0</v>
      </c>
      <c r="B289" s="1" t="s">
        <v>806</v>
      </c>
      <c r="C289" s="1" t="s">
        <v>810</v>
      </c>
      <c r="D289" s="1" t="s">
        <v>836</v>
      </c>
      <c r="E289" s="1">
        <v>0.0</v>
      </c>
      <c r="F289" s="1">
        <v>-0.25</v>
      </c>
      <c r="G289" s="1">
        <v>20.0</v>
      </c>
      <c r="H289" s="1" t="s">
        <v>809</v>
      </c>
      <c r="I289" s="1">
        <v>31.0</v>
      </c>
      <c r="J289" s="1">
        <v>26.0</v>
      </c>
      <c r="K289" s="1">
        <v>1.0</v>
      </c>
      <c r="L289" s="1">
        <v>0.0</v>
      </c>
    </row>
    <row r="290">
      <c r="A290" s="1">
        <v>107.0</v>
      </c>
      <c r="B290" s="1" t="s">
        <v>806</v>
      </c>
      <c r="C290" s="1" t="s">
        <v>807</v>
      </c>
      <c r="D290" s="1" t="s">
        <v>836</v>
      </c>
      <c r="E290" s="1">
        <v>-2.0</v>
      </c>
      <c r="F290" s="1">
        <v>0.0</v>
      </c>
      <c r="G290" s="1" t="s">
        <v>809</v>
      </c>
      <c r="H290" s="1" t="s">
        <v>809</v>
      </c>
      <c r="I290" s="1" t="s">
        <v>809</v>
      </c>
      <c r="J290" s="1" t="s">
        <v>809</v>
      </c>
      <c r="K290" s="1">
        <v>1.0</v>
      </c>
      <c r="L290" s="1">
        <v>53193.29</v>
      </c>
    </row>
    <row r="291">
      <c r="A291" s="1">
        <v>107.0</v>
      </c>
      <c r="B291" s="1" t="s">
        <v>806</v>
      </c>
      <c r="C291" s="1" t="s">
        <v>810</v>
      </c>
      <c r="D291" s="1" t="s">
        <v>836</v>
      </c>
      <c r="E291" s="1">
        <v>-2.0</v>
      </c>
      <c r="F291" s="1">
        <v>0.0</v>
      </c>
      <c r="G291" s="1" t="s">
        <v>809</v>
      </c>
      <c r="H291" s="1" t="s">
        <v>809</v>
      </c>
      <c r="I291" s="1" t="s">
        <v>809</v>
      </c>
      <c r="J291" s="1" t="s">
        <v>809</v>
      </c>
      <c r="K291" s="1">
        <v>1.0</v>
      </c>
      <c r="L291" s="1">
        <v>53193.29</v>
      </c>
    </row>
    <row r="292">
      <c r="A292" s="1">
        <v>107.0</v>
      </c>
      <c r="B292" s="1" t="s">
        <v>806</v>
      </c>
      <c r="C292" s="1" t="s">
        <v>809</v>
      </c>
      <c r="D292" s="1" t="s">
        <v>883</v>
      </c>
      <c r="E292" s="1" t="s">
        <v>809</v>
      </c>
      <c r="F292" s="1" t="s">
        <v>809</v>
      </c>
      <c r="G292" s="1" t="s">
        <v>809</v>
      </c>
      <c r="H292" s="1" t="s">
        <v>809</v>
      </c>
      <c r="I292" s="1" t="s">
        <v>809</v>
      </c>
      <c r="J292" s="1" t="s">
        <v>809</v>
      </c>
      <c r="K292" s="1">
        <v>1.0</v>
      </c>
      <c r="L292" s="1">
        <v>118873.44</v>
      </c>
    </row>
    <row r="293">
      <c r="A293" s="1">
        <v>108.0</v>
      </c>
      <c r="B293" s="1" t="s">
        <v>806</v>
      </c>
      <c r="C293" s="1" t="s">
        <v>807</v>
      </c>
      <c r="D293" s="1" t="s">
        <v>836</v>
      </c>
      <c r="E293" s="1">
        <v>-2.0</v>
      </c>
      <c r="F293" s="1">
        <v>0.0</v>
      </c>
      <c r="G293" s="1" t="s">
        <v>809</v>
      </c>
      <c r="H293" s="1" t="s">
        <v>809</v>
      </c>
      <c r="I293" s="1" t="s">
        <v>809</v>
      </c>
      <c r="J293" s="1" t="s">
        <v>809</v>
      </c>
      <c r="K293" s="1">
        <v>1.0</v>
      </c>
      <c r="L293" s="1">
        <v>98966.0</v>
      </c>
    </row>
    <row r="294">
      <c r="A294" s="1">
        <v>108.0</v>
      </c>
      <c r="B294" s="1" t="s">
        <v>806</v>
      </c>
      <c r="C294" s="1" t="s">
        <v>810</v>
      </c>
      <c r="D294" s="1" t="s">
        <v>836</v>
      </c>
      <c r="E294" s="1">
        <v>-2.0</v>
      </c>
      <c r="F294" s="1">
        <v>0.0</v>
      </c>
      <c r="G294" s="1" t="s">
        <v>809</v>
      </c>
      <c r="H294" s="1" t="s">
        <v>809</v>
      </c>
      <c r="I294" s="1" t="s">
        <v>809</v>
      </c>
      <c r="J294" s="1" t="s">
        <v>809</v>
      </c>
      <c r="K294" s="1">
        <v>1.0</v>
      </c>
      <c r="L294" s="1">
        <v>0.0</v>
      </c>
    </row>
    <row r="295">
      <c r="A295" s="1">
        <v>108.0</v>
      </c>
      <c r="B295" s="1" t="s">
        <v>806</v>
      </c>
      <c r="C295" s="1" t="s">
        <v>809</v>
      </c>
      <c r="D295" s="1" t="s">
        <v>883</v>
      </c>
      <c r="E295" s="1" t="s">
        <v>809</v>
      </c>
      <c r="F295" s="1" t="s">
        <v>809</v>
      </c>
      <c r="G295" s="1" t="s">
        <v>809</v>
      </c>
      <c r="H295" s="1" t="s">
        <v>809</v>
      </c>
      <c r="I295" s="1" t="s">
        <v>809</v>
      </c>
      <c r="J295" s="1" t="s">
        <v>809</v>
      </c>
      <c r="K295" s="1">
        <v>1.0</v>
      </c>
      <c r="L295" s="1">
        <v>126573.0</v>
      </c>
    </row>
    <row r="296">
      <c r="A296" s="1">
        <v>109.0</v>
      </c>
      <c r="B296" s="1" t="s">
        <v>806</v>
      </c>
      <c r="C296" s="1" t="s">
        <v>807</v>
      </c>
      <c r="D296" s="1" t="s">
        <v>836</v>
      </c>
      <c r="E296" s="1">
        <v>0.0</v>
      </c>
      <c r="F296" s="1">
        <v>0.0</v>
      </c>
      <c r="G296" s="1" t="s">
        <v>809</v>
      </c>
      <c r="H296" s="1" t="s">
        <v>809</v>
      </c>
      <c r="I296" s="1" t="s">
        <v>809</v>
      </c>
      <c r="J296" s="1" t="s">
        <v>809</v>
      </c>
      <c r="K296" s="1">
        <v>1.0</v>
      </c>
      <c r="L296" s="1">
        <v>49498.0</v>
      </c>
    </row>
    <row r="297">
      <c r="A297" s="1">
        <v>109.0</v>
      </c>
      <c r="B297" s="1" t="s">
        <v>806</v>
      </c>
      <c r="C297" s="1" t="s">
        <v>810</v>
      </c>
      <c r="D297" s="1" t="s">
        <v>836</v>
      </c>
      <c r="E297" s="1">
        <v>0.0</v>
      </c>
      <c r="F297" s="1">
        <v>0.0</v>
      </c>
      <c r="G297" s="1" t="s">
        <v>809</v>
      </c>
      <c r="H297" s="1" t="s">
        <v>809</v>
      </c>
      <c r="I297" s="1" t="s">
        <v>809</v>
      </c>
      <c r="J297" s="1" t="s">
        <v>809</v>
      </c>
      <c r="K297" s="1">
        <v>1.0</v>
      </c>
      <c r="L297" s="1">
        <v>49898.0</v>
      </c>
    </row>
    <row r="298">
      <c r="A298" s="1">
        <v>109.0</v>
      </c>
      <c r="B298" s="1" t="s">
        <v>806</v>
      </c>
      <c r="C298" s="1" t="s">
        <v>809</v>
      </c>
      <c r="D298" s="1" t="s">
        <v>884</v>
      </c>
      <c r="E298" s="1" t="s">
        <v>809</v>
      </c>
      <c r="F298" s="1" t="s">
        <v>809</v>
      </c>
      <c r="G298" s="1" t="s">
        <v>809</v>
      </c>
      <c r="H298" s="1" t="s">
        <v>809</v>
      </c>
      <c r="I298" s="1" t="s">
        <v>809</v>
      </c>
      <c r="J298" s="1" t="s">
        <v>809</v>
      </c>
      <c r="K298" s="1">
        <v>1.0</v>
      </c>
      <c r="L298" s="1">
        <v>143600.0</v>
      </c>
    </row>
    <row r="299">
      <c r="A299" s="1">
        <v>109.0</v>
      </c>
      <c r="B299" s="1" t="s">
        <v>825</v>
      </c>
      <c r="C299" s="1" t="s">
        <v>807</v>
      </c>
      <c r="D299" s="1" t="s">
        <v>836</v>
      </c>
      <c r="E299" s="1">
        <v>0.75</v>
      </c>
      <c r="F299" s="1">
        <v>-0.25</v>
      </c>
      <c r="G299" s="1">
        <v>35.0</v>
      </c>
      <c r="H299" s="1" t="s">
        <v>809</v>
      </c>
      <c r="I299" s="1" t="s">
        <v>809</v>
      </c>
      <c r="J299" s="1" t="s">
        <v>809</v>
      </c>
      <c r="K299" s="1">
        <v>1.0</v>
      </c>
      <c r="L299" s="1">
        <v>49489.0</v>
      </c>
    </row>
    <row r="300">
      <c r="A300" s="1">
        <v>109.0</v>
      </c>
      <c r="B300" s="1" t="s">
        <v>825</v>
      </c>
      <c r="C300" s="1" t="s">
        <v>810</v>
      </c>
      <c r="D300" s="1" t="s">
        <v>836</v>
      </c>
      <c r="E300" s="1">
        <v>1.25</v>
      </c>
      <c r="F300" s="1">
        <v>-0.75</v>
      </c>
      <c r="G300" s="1">
        <v>160.0</v>
      </c>
      <c r="H300" s="1" t="s">
        <v>809</v>
      </c>
      <c r="I300" s="1" t="s">
        <v>809</v>
      </c>
      <c r="J300" s="1" t="s">
        <v>809</v>
      </c>
      <c r="K300" s="1">
        <v>1.0</v>
      </c>
      <c r="L300" s="1">
        <v>49489.0</v>
      </c>
    </row>
    <row r="301">
      <c r="A301" s="1">
        <v>109.0</v>
      </c>
      <c r="B301" s="1" t="s">
        <v>825</v>
      </c>
      <c r="C301" s="1" t="s">
        <v>809</v>
      </c>
      <c r="D301" s="1" t="s">
        <v>884</v>
      </c>
      <c r="E301" s="1" t="s">
        <v>809</v>
      </c>
      <c r="F301" s="1" t="s">
        <v>809</v>
      </c>
      <c r="G301" s="1" t="s">
        <v>809</v>
      </c>
      <c r="H301" s="1" t="s">
        <v>809</v>
      </c>
      <c r="I301" s="1" t="s">
        <v>809</v>
      </c>
      <c r="J301" s="1" t="s">
        <v>809</v>
      </c>
      <c r="K301" s="1">
        <v>1.0</v>
      </c>
      <c r="L301" s="1">
        <v>143600.0</v>
      </c>
    </row>
    <row r="302">
      <c r="A302" s="1">
        <v>110.0</v>
      </c>
      <c r="B302" s="1" t="s">
        <v>825</v>
      </c>
      <c r="C302" s="1" t="s">
        <v>807</v>
      </c>
      <c r="D302" s="1" t="s">
        <v>836</v>
      </c>
      <c r="E302" s="1">
        <v>0.75</v>
      </c>
      <c r="F302" s="1">
        <v>-0.25</v>
      </c>
      <c r="G302" s="1">
        <v>35.0</v>
      </c>
      <c r="H302" s="1" t="s">
        <v>809</v>
      </c>
      <c r="I302" s="1" t="s">
        <v>809</v>
      </c>
      <c r="J302" s="1" t="s">
        <v>809</v>
      </c>
      <c r="K302" s="1">
        <v>1.0</v>
      </c>
      <c r="L302" s="1">
        <v>49500.0</v>
      </c>
    </row>
    <row r="303">
      <c r="A303" s="1">
        <v>110.0</v>
      </c>
      <c r="B303" s="1" t="s">
        <v>825</v>
      </c>
      <c r="C303" s="1" t="s">
        <v>810</v>
      </c>
      <c r="D303" s="1" t="s">
        <v>836</v>
      </c>
      <c r="E303" s="1">
        <v>1.25</v>
      </c>
      <c r="F303" s="1">
        <v>-0.75</v>
      </c>
      <c r="G303" s="1">
        <v>160.0</v>
      </c>
      <c r="H303" s="1" t="s">
        <v>809</v>
      </c>
      <c r="I303" s="1" t="s">
        <v>809</v>
      </c>
      <c r="J303" s="1" t="s">
        <v>809</v>
      </c>
      <c r="K303" s="1">
        <v>1.0</v>
      </c>
      <c r="L303" s="1">
        <v>49500.0</v>
      </c>
    </row>
    <row r="304">
      <c r="A304" s="1">
        <v>110.0</v>
      </c>
      <c r="B304" s="1" t="s">
        <v>825</v>
      </c>
      <c r="C304" s="1" t="s">
        <v>809</v>
      </c>
      <c r="D304" s="1" t="s">
        <v>884</v>
      </c>
      <c r="E304" s="1" t="s">
        <v>809</v>
      </c>
      <c r="F304" s="1" t="s">
        <v>809</v>
      </c>
      <c r="G304" s="1" t="s">
        <v>809</v>
      </c>
      <c r="H304" s="1" t="s">
        <v>809</v>
      </c>
      <c r="I304" s="1" t="s">
        <v>809</v>
      </c>
      <c r="J304" s="1" t="s">
        <v>809</v>
      </c>
      <c r="K304" s="1">
        <v>1.0</v>
      </c>
      <c r="L304" s="1">
        <v>143600.0</v>
      </c>
    </row>
    <row r="305">
      <c r="A305" s="1">
        <v>111.0</v>
      </c>
      <c r="B305" s="1" t="s">
        <v>806</v>
      </c>
      <c r="C305" s="1" t="s">
        <v>807</v>
      </c>
      <c r="D305" s="1" t="s">
        <v>836</v>
      </c>
      <c r="E305" s="1">
        <v>0.0</v>
      </c>
      <c r="F305" s="1">
        <v>-0.75</v>
      </c>
      <c r="G305" s="1">
        <v>60.0</v>
      </c>
      <c r="H305" s="1" t="s">
        <v>809</v>
      </c>
      <c r="I305" s="1">
        <v>33.0</v>
      </c>
      <c r="J305" s="1">
        <v>28.0</v>
      </c>
      <c r="K305" s="1">
        <v>1.0</v>
      </c>
      <c r="L305" s="1">
        <v>84000.0</v>
      </c>
    </row>
    <row r="306">
      <c r="A306" s="1">
        <v>111.0</v>
      </c>
      <c r="B306" s="1" t="s">
        <v>806</v>
      </c>
      <c r="C306" s="1" t="s">
        <v>810</v>
      </c>
      <c r="D306" s="1" t="s">
        <v>836</v>
      </c>
      <c r="E306" s="1">
        <v>-1.25</v>
      </c>
      <c r="F306" s="1">
        <v>0.0</v>
      </c>
      <c r="G306" s="1" t="s">
        <v>809</v>
      </c>
      <c r="H306" s="1" t="s">
        <v>809</v>
      </c>
      <c r="I306" s="1">
        <v>30.0</v>
      </c>
      <c r="J306" s="1">
        <v>26.0</v>
      </c>
      <c r="K306" s="1">
        <v>1.0</v>
      </c>
      <c r="L306" s="1">
        <v>0.0</v>
      </c>
    </row>
    <row r="307">
      <c r="A307" s="1">
        <v>112.0</v>
      </c>
      <c r="B307" s="1" t="s">
        <v>806</v>
      </c>
      <c r="C307" s="1" t="s">
        <v>807</v>
      </c>
      <c r="D307" s="1" t="s">
        <v>885</v>
      </c>
      <c r="E307" s="1">
        <v>0.0</v>
      </c>
      <c r="F307" s="1">
        <v>-0.75</v>
      </c>
      <c r="G307" s="1">
        <v>60.0</v>
      </c>
      <c r="H307" s="1" t="s">
        <v>809</v>
      </c>
      <c r="I307" s="1">
        <v>33.0</v>
      </c>
      <c r="J307" s="1">
        <v>28.0</v>
      </c>
      <c r="K307" s="1">
        <v>1.0</v>
      </c>
      <c r="L307" s="1">
        <v>67000.0</v>
      </c>
    </row>
    <row r="308">
      <c r="A308" s="1">
        <v>112.0</v>
      </c>
      <c r="B308" s="1" t="s">
        <v>806</v>
      </c>
      <c r="C308" s="1" t="s">
        <v>810</v>
      </c>
      <c r="D308" s="1" t="s">
        <v>885</v>
      </c>
      <c r="E308" s="1">
        <v>-1.25</v>
      </c>
      <c r="F308" s="1">
        <v>0.0</v>
      </c>
      <c r="G308" s="1" t="s">
        <v>809</v>
      </c>
      <c r="H308" s="1" t="s">
        <v>809</v>
      </c>
      <c r="I308" s="1">
        <v>30.0</v>
      </c>
      <c r="J308" s="1">
        <v>28.0</v>
      </c>
      <c r="K308" s="1">
        <v>1.0</v>
      </c>
      <c r="L308" s="1">
        <v>0.0</v>
      </c>
    </row>
    <row r="309">
      <c r="A309" s="1">
        <v>113.0</v>
      </c>
      <c r="B309" s="1" t="s">
        <v>806</v>
      </c>
      <c r="C309" s="1" t="s">
        <v>807</v>
      </c>
      <c r="D309" s="1" t="s">
        <v>836</v>
      </c>
      <c r="E309" s="1">
        <v>-5.0</v>
      </c>
      <c r="F309" s="1">
        <v>-1.5</v>
      </c>
      <c r="G309" s="1">
        <v>60.0</v>
      </c>
      <c r="H309" s="1" t="s">
        <v>809</v>
      </c>
      <c r="I309" s="1" t="s">
        <v>809</v>
      </c>
      <c r="J309" s="1" t="s">
        <v>809</v>
      </c>
      <c r="K309" s="1">
        <v>1.0</v>
      </c>
      <c r="L309" s="1">
        <v>0.0</v>
      </c>
    </row>
    <row r="310">
      <c r="A310" s="1">
        <v>113.0</v>
      </c>
      <c r="B310" s="1" t="s">
        <v>806</v>
      </c>
      <c r="C310" s="1" t="s">
        <v>810</v>
      </c>
      <c r="D310" s="1" t="s">
        <v>836</v>
      </c>
      <c r="E310" s="1">
        <v>-3.0</v>
      </c>
      <c r="F310" s="1">
        <v>-1.0</v>
      </c>
      <c r="G310" s="1">
        <v>100.0</v>
      </c>
      <c r="H310" s="1" t="s">
        <v>809</v>
      </c>
      <c r="I310" s="1" t="s">
        <v>809</v>
      </c>
      <c r="J310" s="1" t="s">
        <v>809</v>
      </c>
      <c r="K310" s="1">
        <v>1.0</v>
      </c>
      <c r="L310" s="1">
        <v>0.0</v>
      </c>
    </row>
    <row r="311">
      <c r="A311" s="1">
        <v>113.0</v>
      </c>
      <c r="B311" s="1" t="s">
        <v>806</v>
      </c>
      <c r="C311" s="1" t="s">
        <v>809</v>
      </c>
      <c r="D311" s="1" t="s">
        <v>886</v>
      </c>
      <c r="E311" s="1" t="s">
        <v>809</v>
      </c>
      <c r="F311" s="1" t="s">
        <v>809</v>
      </c>
      <c r="G311" s="1" t="s">
        <v>809</v>
      </c>
      <c r="H311" s="1" t="s">
        <v>809</v>
      </c>
      <c r="I311" s="1" t="s">
        <v>809</v>
      </c>
      <c r="J311" s="1" t="s">
        <v>809</v>
      </c>
      <c r="K311" s="1">
        <v>1.0</v>
      </c>
      <c r="L311" s="1">
        <v>0.0</v>
      </c>
    </row>
    <row r="312">
      <c r="A312" s="1">
        <v>114.0</v>
      </c>
      <c r="B312" s="1" t="s">
        <v>806</v>
      </c>
      <c r="C312" s="1" t="s">
        <v>807</v>
      </c>
      <c r="D312" s="1" t="s">
        <v>887</v>
      </c>
      <c r="E312" s="1">
        <v>0.0</v>
      </c>
      <c r="F312" s="1">
        <v>-4.75</v>
      </c>
      <c r="G312" s="1">
        <v>5.0</v>
      </c>
      <c r="H312" s="1" t="s">
        <v>809</v>
      </c>
      <c r="I312" s="1">
        <v>28.0</v>
      </c>
      <c r="J312" s="1" t="s">
        <v>809</v>
      </c>
      <c r="K312" s="1">
        <v>1.0</v>
      </c>
      <c r="L312" s="1">
        <v>181000.0</v>
      </c>
    </row>
    <row r="313">
      <c r="A313" s="1">
        <v>114.0</v>
      </c>
      <c r="B313" s="1" t="s">
        <v>806</v>
      </c>
      <c r="C313" s="1" t="s">
        <v>810</v>
      </c>
      <c r="D313" s="1" t="s">
        <v>887</v>
      </c>
      <c r="E313" s="1">
        <v>0.0</v>
      </c>
      <c r="F313" s="1">
        <v>-4.25</v>
      </c>
      <c r="G313" s="1">
        <v>175.0</v>
      </c>
      <c r="H313" s="1" t="s">
        <v>809</v>
      </c>
      <c r="I313" s="1">
        <v>28.0</v>
      </c>
      <c r="J313" s="1" t="s">
        <v>809</v>
      </c>
      <c r="K313" s="1">
        <v>1.0</v>
      </c>
      <c r="L313" s="1">
        <v>181000.0</v>
      </c>
    </row>
    <row r="314">
      <c r="A314" s="1">
        <v>115.0</v>
      </c>
      <c r="B314" s="1" t="s">
        <v>806</v>
      </c>
      <c r="C314" s="1" t="s">
        <v>807</v>
      </c>
      <c r="D314" s="1" t="s">
        <v>812</v>
      </c>
      <c r="E314" s="1">
        <v>0.5</v>
      </c>
      <c r="F314" s="1">
        <v>-1.25</v>
      </c>
      <c r="G314" s="1">
        <v>5.0</v>
      </c>
      <c r="H314" s="1" t="s">
        <v>809</v>
      </c>
      <c r="I314" s="1" t="s">
        <v>809</v>
      </c>
      <c r="J314" s="1" t="s">
        <v>809</v>
      </c>
      <c r="K314" s="1">
        <v>1.0</v>
      </c>
      <c r="L314" s="1">
        <v>29157.98</v>
      </c>
    </row>
    <row r="315">
      <c r="A315" s="1">
        <v>115.0</v>
      </c>
      <c r="B315" s="1" t="s">
        <v>806</v>
      </c>
      <c r="C315" s="1" t="s">
        <v>810</v>
      </c>
      <c r="D315" s="1" t="s">
        <v>812</v>
      </c>
      <c r="E315" s="1">
        <v>0.25</v>
      </c>
      <c r="F315" s="1">
        <v>-0.75</v>
      </c>
      <c r="G315" s="1">
        <v>165.0</v>
      </c>
      <c r="H315" s="1" t="s">
        <v>809</v>
      </c>
      <c r="I315" s="1" t="s">
        <v>809</v>
      </c>
      <c r="J315" s="1" t="s">
        <v>809</v>
      </c>
      <c r="K315" s="1">
        <v>1.0</v>
      </c>
      <c r="L315" s="1">
        <v>29157.98</v>
      </c>
    </row>
    <row r="316">
      <c r="A316" s="1">
        <v>116.0</v>
      </c>
      <c r="B316" s="1" t="s">
        <v>806</v>
      </c>
      <c r="C316" s="1" t="s">
        <v>807</v>
      </c>
      <c r="D316" s="1" t="s">
        <v>812</v>
      </c>
      <c r="E316" s="1">
        <v>0.5</v>
      </c>
      <c r="F316" s="1">
        <v>0.0</v>
      </c>
      <c r="G316" s="1" t="s">
        <v>809</v>
      </c>
      <c r="H316" s="1" t="s">
        <v>809</v>
      </c>
      <c r="I316" s="1">
        <v>29.0</v>
      </c>
      <c r="J316" s="1">
        <v>22.0</v>
      </c>
      <c r="K316" s="1">
        <v>1.0</v>
      </c>
      <c r="L316" s="1">
        <v>29157.98</v>
      </c>
    </row>
    <row r="317">
      <c r="A317" s="1">
        <v>116.0</v>
      </c>
      <c r="B317" s="1" t="s">
        <v>806</v>
      </c>
      <c r="C317" s="1" t="s">
        <v>810</v>
      </c>
      <c r="D317" s="1" t="s">
        <v>812</v>
      </c>
      <c r="E317" s="1">
        <v>0.5</v>
      </c>
      <c r="F317" s="1">
        <v>0.0</v>
      </c>
      <c r="G317" s="1" t="s">
        <v>809</v>
      </c>
      <c r="H317" s="1" t="s">
        <v>809</v>
      </c>
      <c r="I317" s="1">
        <v>29.0</v>
      </c>
      <c r="J317" s="1">
        <v>22.0</v>
      </c>
      <c r="K317" s="1">
        <v>1.0</v>
      </c>
      <c r="L317" s="1">
        <v>29157.98</v>
      </c>
    </row>
    <row r="318">
      <c r="A318" s="1">
        <v>116.0</v>
      </c>
      <c r="B318" s="1" t="s">
        <v>806</v>
      </c>
      <c r="C318" s="1" t="s">
        <v>809</v>
      </c>
      <c r="D318" s="1" t="s">
        <v>888</v>
      </c>
      <c r="E318" s="1" t="s">
        <v>809</v>
      </c>
      <c r="F318" s="1" t="s">
        <v>809</v>
      </c>
      <c r="G318" s="1" t="s">
        <v>809</v>
      </c>
      <c r="H318" s="1" t="s">
        <v>809</v>
      </c>
      <c r="I318" s="1" t="s">
        <v>809</v>
      </c>
      <c r="J318" s="1" t="s">
        <v>809</v>
      </c>
      <c r="K318" s="1">
        <v>1.0</v>
      </c>
      <c r="L318" s="1">
        <v>103771.0</v>
      </c>
    </row>
    <row r="319">
      <c r="A319" s="1">
        <v>117.0</v>
      </c>
      <c r="B319" s="1" t="s">
        <v>806</v>
      </c>
      <c r="C319" s="1" t="s">
        <v>807</v>
      </c>
      <c r="D319" s="1" t="s">
        <v>812</v>
      </c>
      <c r="E319" s="1">
        <v>0.0</v>
      </c>
      <c r="F319" s="1">
        <v>-1.0</v>
      </c>
      <c r="G319" s="1">
        <v>60.0</v>
      </c>
      <c r="H319" s="1" t="s">
        <v>809</v>
      </c>
      <c r="I319" s="1" t="s">
        <v>809</v>
      </c>
      <c r="J319" s="1" t="s">
        <v>809</v>
      </c>
      <c r="K319" s="1">
        <v>1.0</v>
      </c>
      <c r="L319" s="1">
        <v>29157.98</v>
      </c>
    </row>
    <row r="320">
      <c r="A320" s="1">
        <v>117.0</v>
      </c>
      <c r="B320" s="1" t="s">
        <v>806</v>
      </c>
      <c r="C320" s="1" t="s">
        <v>810</v>
      </c>
      <c r="D320" s="1" t="s">
        <v>812</v>
      </c>
      <c r="E320" s="1">
        <v>0.0</v>
      </c>
      <c r="F320" s="1">
        <v>-1.0</v>
      </c>
      <c r="G320" s="1">
        <v>90.0</v>
      </c>
      <c r="H320" s="1" t="s">
        <v>809</v>
      </c>
      <c r="I320" s="1" t="s">
        <v>809</v>
      </c>
      <c r="J320" s="1" t="s">
        <v>809</v>
      </c>
      <c r="K320" s="1">
        <v>1.0</v>
      </c>
      <c r="L320" s="1">
        <v>29157.98</v>
      </c>
    </row>
    <row r="321">
      <c r="A321" s="1">
        <v>117.0</v>
      </c>
      <c r="B321" s="1" t="s">
        <v>806</v>
      </c>
      <c r="C321" s="1" t="s">
        <v>809</v>
      </c>
      <c r="D321" s="1" t="s">
        <v>814</v>
      </c>
      <c r="E321" s="1" t="s">
        <v>809</v>
      </c>
      <c r="F321" s="1" t="s">
        <v>809</v>
      </c>
      <c r="G321" s="1" t="s">
        <v>809</v>
      </c>
      <c r="H321" s="1" t="s">
        <v>809</v>
      </c>
      <c r="I321" s="1" t="s">
        <v>809</v>
      </c>
      <c r="J321" s="1" t="s">
        <v>809</v>
      </c>
      <c r="K321" s="1">
        <v>1.0</v>
      </c>
      <c r="L321" s="1">
        <v>72000.0</v>
      </c>
    </row>
    <row r="322">
      <c r="A322" s="1">
        <v>118.0</v>
      </c>
      <c r="B322" s="1" t="s">
        <v>806</v>
      </c>
      <c r="C322" s="1" t="s">
        <v>807</v>
      </c>
      <c r="D322" s="1" t="s">
        <v>823</v>
      </c>
      <c r="E322" s="1">
        <v>0.0</v>
      </c>
      <c r="F322" s="1">
        <v>-0.5</v>
      </c>
      <c r="G322" s="1">
        <v>100.0</v>
      </c>
      <c r="H322" s="1">
        <v>1.75</v>
      </c>
      <c r="I322" s="1">
        <v>30.0</v>
      </c>
      <c r="J322" s="1">
        <v>28.0</v>
      </c>
      <c r="K322" s="1">
        <v>1.0</v>
      </c>
      <c r="L322" s="1">
        <v>235018.8</v>
      </c>
    </row>
    <row r="323">
      <c r="A323" s="1">
        <v>118.0</v>
      </c>
      <c r="B323" s="1" t="s">
        <v>806</v>
      </c>
      <c r="C323" s="1" t="s">
        <v>810</v>
      </c>
      <c r="D323" s="1" t="s">
        <v>823</v>
      </c>
      <c r="E323" s="1">
        <v>-0.25</v>
      </c>
      <c r="F323" s="1">
        <v>0.0</v>
      </c>
      <c r="G323" s="1" t="s">
        <v>809</v>
      </c>
      <c r="H323" s="1">
        <v>1.75</v>
      </c>
      <c r="I323" s="1">
        <v>29.0</v>
      </c>
      <c r="J323" s="1">
        <v>27.0</v>
      </c>
      <c r="K323" s="1">
        <v>1.0</v>
      </c>
      <c r="L323" s="1">
        <v>235018.8</v>
      </c>
    </row>
    <row r="324">
      <c r="A324" s="1">
        <v>118.0</v>
      </c>
      <c r="B324" s="1" t="s">
        <v>806</v>
      </c>
      <c r="C324" s="1" t="s">
        <v>809</v>
      </c>
      <c r="D324" s="1" t="s">
        <v>889</v>
      </c>
      <c r="E324" s="1" t="s">
        <v>809</v>
      </c>
      <c r="F324" s="1" t="s">
        <v>809</v>
      </c>
      <c r="G324" s="1" t="s">
        <v>809</v>
      </c>
      <c r="H324" s="1" t="s">
        <v>809</v>
      </c>
      <c r="I324" s="1" t="s">
        <v>809</v>
      </c>
      <c r="J324" s="1" t="s">
        <v>809</v>
      </c>
      <c r="K324" s="1">
        <v>1.0</v>
      </c>
      <c r="L324" s="1">
        <v>143000.0</v>
      </c>
    </row>
    <row r="325">
      <c r="A325" s="1">
        <v>119.0</v>
      </c>
      <c r="B325" s="1" t="s">
        <v>809</v>
      </c>
      <c r="C325" s="1" t="s">
        <v>809</v>
      </c>
      <c r="D325" s="1" t="s">
        <v>890</v>
      </c>
      <c r="E325" s="1" t="s">
        <v>809</v>
      </c>
      <c r="F325" s="1" t="s">
        <v>809</v>
      </c>
      <c r="G325" s="1" t="s">
        <v>809</v>
      </c>
      <c r="H325" s="1" t="s">
        <v>809</v>
      </c>
      <c r="I325" s="1" t="s">
        <v>809</v>
      </c>
      <c r="J325" s="1" t="s">
        <v>809</v>
      </c>
      <c r="K325" s="1">
        <v>1.0</v>
      </c>
      <c r="L325" s="1">
        <v>239000.0</v>
      </c>
    </row>
    <row r="326">
      <c r="A326" s="1">
        <v>119.0</v>
      </c>
      <c r="B326" s="1" t="s">
        <v>809</v>
      </c>
      <c r="C326" s="1" t="s">
        <v>809</v>
      </c>
      <c r="D326" s="1" t="s">
        <v>891</v>
      </c>
      <c r="E326" s="1" t="s">
        <v>809</v>
      </c>
      <c r="F326" s="1" t="s">
        <v>809</v>
      </c>
      <c r="G326" s="1" t="s">
        <v>809</v>
      </c>
      <c r="H326" s="1" t="s">
        <v>809</v>
      </c>
      <c r="I326" s="1" t="s">
        <v>809</v>
      </c>
      <c r="J326" s="1" t="s">
        <v>809</v>
      </c>
      <c r="K326" s="1">
        <v>1.0</v>
      </c>
      <c r="L326" s="1">
        <v>239000.0</v>
      </c>
    </row>
    <row r="327">
      <c r="A327" s="1">
        <v>119.0</v>
      </c>
      <c r="B327" s="1" t="s">
        <v>809</v>
      </c>
      <c r="C327" s="1" t="s">
        <v>809</v>
      </c>
      <c r="D327" s="1" t="s">
        <v>892</v>
      </c>
      <c r="E327" s="1" t="s">
        <v>809</v>
      </c>
      <c r="F327" s="1" t="s">
        <v>809</v>
      </c>
      <c r="G327" s="1" t="s">
        <v>809</v>
      </c>
      <c r="H327" s="1" t="s">
        <v>809</v>
      </c>
      <c r="I327" s="1" t="s">
        <v>809</v>
      </c>
      <c r="J327" s="1" t="s">
        <v>809</v>
      </c>
      <c r="K327" s="1">
        <v>1.0</v>
      </c>
      <c r="L327" s="1">
        <v>239000.0</v>
      </c>
    </row>
    <row r="328">
      <c r="A328" s="1">
        <v>119.0</v>
      </c>
      <c r="B328" s="1" t="s">
        <v>809</v>
      </c>
      <c r="C328" s="1" t="s">
        <v>809</v>
      </c>
      <c r="D328" s="1" t="s">
        <v>893</v>
      </c>
      <c r="E328" s="1" t="s">
        <v>809</v>
      </c>
      <c r="F328" s="1" t="s">
        <v>809</v>
      </c>
      <c r="G328" s="1" t="s">
        <v>809</v>
      </c>
      <c r="H328" s="1" t="s">
        <v>809</v>
      </c>
      <c r="I328" s="1" t="s">
        <v>809</v>
      </c>
      <c r="J328" s="1" t="s">
        <v>809</v>
      </c>
      <c r="K328" s="1">
        <v>1.0</v>
      </c>
      <c r="L328" s="1">
        <v>239000.0</v>
      </c>
    </row>
    <row r="329">
      <c r="A329" s="1">
        <v>120.0</v>
      </c>
      <c r="B329" s="1" t="s">
        <v>806</v>
      </c>
      <c r="C329" s="1" t="s">
        <v>807</v>
      </c>
      <c r="D329" s="1" t="s">
        <v>894</v>
      </c>
      <c r="E329" s="1">
        <v>0.25</v>
      </c>
      <c r="F329" s="1">
        <v>0.0</v>
      </c>
      <c r="G329" s="1" t="s">
        <v>809</v>
      </c>
      <c r="H329" s="1">
        <v>2.0</v>
      </c>
      <c r="I329" s="1" t="s">
        <v>809</v>
      </c>
      <c r="J329" s="1" t="s">
        <v>809</v>
      </c>
      <c r="K329" s="1">
        <v>1.0</v>
      </c>
      <c r="L329" s="1">
        <v>182500.0</v>
      </c>
    </row>
    <row r="330">
      <c r="A330" s="1">
        <v>120.0</v>
      </c>
      <c r="B330" s="1" t="s">
        <v>806</v>
      </c>
      <c r="C330" s="1" t="s">
        <v>810</v>
      </c>
      <c r="D330" s="1" t="s">
        <v>894</v>
      </c>
      <c r="E330" s="1">
        <v>0.25</v>
      </c>
      <c r="F330" s="1">
        <v>0.0</v>
      </c>
      <c r="G330" s="1" t="s">
        <v>809</v>
      </c>
      <c r="H330" s="1">
        <v>2.0</v>
      </c>
      <c r="I330" s="1" t="s">
        <v>809</v>
      </c>
      <c r="J330" s="1" t="s">
        <v>809</v>
      </c>
      <c r="K330" s="1">
        <v>1.0</v>
      </c>
      <c r="L330" s="1">
        <v>182500.0</v>
      </c>
    </row>
    <row r="331">
      <c r="A331" s="1">
        <v>121.0</v>
      </c>
      <c r="B331" s="1" t="s">
        <v>806</v>
      </c>
      <c r="C331" s="1" t="s">
        <v>807</v>
      </c>
      <c r="D331" s="1" t="s">
        <v>823</v>
      </c>
      <c r="E331" s="1">
        <v>0.25</v>
      </c>
      <c r="F331" s="1">
        <v>-0.25</v>
      </c>
      <c r="G331" s="1">
        <v>130.0</v>
      </c>
      <c r="H331" s="1">
        <v>1.25</v>
      </c>
      <c r="I331" s="1">
        <v>30.0</v>
      </c>
      <c r="J331" s="1">
        <v>25.0</v>
      </c>
      <c r="K331" s="1">
        <v>1.0</v>
      </c>
      <c r="L331" s="1">
        <v>295000.0</v>
      </c>
    </row>
    <row r="332">
      <c r="A332" s="1">
        <v>121.0</v>
      </c>
      <c r="B332" s="1" t="s">
        <v>806</v>
      </c>
      <c r="C332" s="1" t="s">
        <v>810</v>
      </c>
      <c r="D332" s="1" t="s">
        <v>823</v>
      </c>
      <c r="E332" s="1">
        <v>1.75</v>
      </c>
      <c r="F332" s="1">
        <v>-0.75</v>
      </c>
      <c r="G332" s="1">
        <v>10.0</v>
      </c>
      <c r="H332" s="1">
        <v>1.25</v>
      </c>
      <c r="I332" s="1">
        <v>31.0</v>
      </c>
      <c r="J332" s="1">
        <v>25.0</v>
      </c>
      <c r="K332" s="1">
        <v>1.0</v>
      </c>
      <c r="L332" s="1">
        <v>295000.0</v>
      </c>
    </row>
    <row r="333">
      <c r="A333" s="1">
        <v>121.0</v>
      </c>
      <c r="B333" s="1" t="s">
        <v>806</v>
      </c>
      <c r="C333" s="1" t="s">
        <v>809</v>
      </c>
      <c r="D333" s="1" t="s">
        <v>895</v>
      </c>
      <c r="E333" s="1" t="s">
        <v>809</v>
      </c>
      <c r="F333" s="1" t="s">
        <v>809</v>
      </c>
      <c r="G333" s="1" t="s">
        <v>809</v>
      </c>
      <c r="H333" s="1" t="s">
        <v>809</v>
      </c>
      <c r="I333" s="1" t="s">
        <v>809</v>
      </c>
      <c r="J333" s="1" t="s">
        <v>809</v>
      </c>
      <c r="K333" s="1">
        <v>1.0</v>
      </c>
      <c r="L333" s="1">
        <v>177000.0</v>
      </c>
    </row>
    <row r="334">
      <c r="A334" s="1">
        <v>122.0</v>
      </c>
      <c r="B334" s="1" t="s">
        <v>806</v>
      </c>
      <c r="C334" s="1" t="s">
        <v>807</v>
      </c>
      <c r="D334" s="1" t="s">
        <v>896</v>
      </c>
      <c r="E334" s="1">
        <v>0.25</v>
      </c>
      <c r="F334" s="1">
        <v>-0.25</v>
      </c>
      <c r="G334" s="1">
        <v>130.0</v>
      </c>
      <c r="H334" s="1">
        <v>1.25</v>
      </c>
      <c r="I334" s="1" t="s">
        <v>809</v>
      </c>
      <c r="J334" s="1" t="s">
        <v>809</v>
      </c>
      <c r="K334" s="1">
        <v>1.0</v>
      </c>
      <c r="L334" s="1">
        <v>0.0</v>
      </c>
    </row>
    <row r="335">
      <c r="A335" s="1">
        <v>122.0</v>
      </c>
      <c r="B335" s="1" t="s">
        <v>806</v>
      </c>
      <c r="C335" s="1" t="s">
        <v>810</v>
      </c>
      <c r="D335" s="1" t="s">
        <v>896</v>
      </c>
      <c r="E335" s="1">
        <v>1.75</v>
      </c>
      <c r="F335" s="1">
        <v>-0.75</v>
      </c>
      <c r="G335" s="1">
        <v>10.0</v>
      </c>
      <c r="H335" s="1">
        <v>1.25</v>
      </c>
      <c r="I335" s="1" t="s">
        <v>809</v>
      </c>
      <c r="J335" s="1" t="s">
        <v>809</v>
      </c>
      <c r="K335" s="1">
        <v>1.0</v>
      </c>
      <c r="L335" s="1">
        <v>0.0</v>
      </c>
    </row>
    <row r="336">
      <c r="A336" s="1">
        <v>122.0</v>
      </c>
      <c r="B336" s="1" t="s">
        <v>806</v>
      </c>
      <c r="C336" s="1" t="s">
        <v>809</v>
      </c>
      <c r="D336" s="1" t="s">
        <v>897</v>
      </c>
      <c r="E336" s="1" t="s">
        <v>809</v>
      </c>
      <c r="F336" s="1" t="s">
        <v>809</v>
      </c>
      <c r="G336" s="1" t="s">
        <v>809</v>
      </c>
      <c r="H336" s="1" t="s">
        <v>809</v>
      </c>
      <c r="I336" s="1" t="s">
        <v>809</v>
      </c>
      <c r="J336" s="1" t="s">
        <v>809</v>
      </c>
      <c r="K336" s="1">
        <v>1.0</v>
      </c>
      <c r="L336" s="1">
        <v>40000.0</v>
      </c>
    </row>
    <row r="337">
      <c r="A337" s="1">
        <v>123.0</v>
      </c>
      <c r="B337" s="1" t="s">
        <v>806</v>
      </c>
      <c r="C337" s="1" t="s">
        <v>807</v>
      </c>
      <c r="D337" s="1" t="s">
        <v>812</v>
      </c>
      <c r="E337" s="1">
        <v>0.0</v>
      </c>
      <c r="F337" s="1">
        <v>0.0</v>
      </c>
      <c r="G337" s="1" t="s">
        <v>809</v>
      </c>
      <c r="H337" s="1" t="s">
        <v>809</v>
      </c>
      <c r="I337" s="1" t="s">
        <v>809</v>
      </c>
      <c r="J337" s="1" t="s">
        <v>809</v>
      </c>
      <c r="K337" s="1">
        <v>1.0</v>
      </c>
      <c r="L337" s="1">
        <v>30615.9</v>
      </c>
    </row>
    <row r="338">
      <c r="A338" s="1">
        <v>123.0</v>
      </c>
      <c r="B338" s="1" t="s">
        <v>806</v>
      </c>
      <c r="C338" s="1" t="s">
        <v>810</v>
      </c>
      <c r="D338" s="1" t="s">
        <v>812</v>
      </c>
      <c r="E338" s="1">
        <v>0.0</v>
      </c>
      <c r="F338" s="1">
        <v>0.0</v>
      </c>
      <c r="G338" s="1" t="s">
        <v>809</v>
      </c>
      <c r="H338" s="1" t="s">
        <v>809</v>
      </c>
      <c r="I338" s="1" t="s">
        <v>809</v>
      </c>
      <c r="J338" s="1" t="s">
        <v>809</v>
      </c>
      <c r="K338" s="1">
        <v>1.0</v>
      </c>
      <c r="L338" s="1">
        <v>30615.9</v>
      </c>
    </row>
    <row r="339">
      <c r="A339" s="1">
        <v>123.0</v>
      </c>
      <c r="B339" s="1" t="s">
        <v>806</v>
      </c>
      <c r="C339" s="1" t="s">
        <v>809</v>
      </c>
      <c r="D339" s="1" t="s">
        <v>898</v>
      </c>
      <c r="E339" s="1" t="s">
        <v>809</v>
      </c>
      <c r="F339" s="1" t="s">
        <v>809</v>
      </c>
      <c r="G339" s="1" t="s">
        <v>809</v>
      </c>
      <c r="H339" s="1" t="s">
        <v>809</v>
      </c>
      <c r="I339" s="1" t="s">
        <v>809</v>
      </c>
      <c r="J339" s="1" t="s">
        <v>809</v>
      </c>
      <c r="K339" s="1">
        <v>1.0</v>
      </c>
      <c r="L339" s="1">
        <v>153551.16</v>
      </c>
    </row>
    <row r="340">
      <c r="A340" s="1">
        <v>124.0</v>
      </c>
      <c r="B340" s="1" t="s">
        <v>806</v>
      </c>
      <c r="C340" s="1" t="s">
        <v>807</v>
      </c>
      <c r="D340" s="1" t="s">
        <v>812</v>
      </c>
      <c r="E340" s="1">
        <v>-1.5</v>
      </c>
      <c r="F340" s="1">
        <v>-0.5</v>
      </c>
      <c r="G340" s="1">
        <v>170.0</v>
      </c>
      <c r="H340" s="1" t="s">
        <v>809</v>
      </c>
      <c r="I340" s="1" t="s">
        <v>809</v>
      </c>
      <c r="J340" s="1" t="s">
        <v>809</v>
      </c>
      <c r="K340" s="1">
        <v>1.0</v>
      </c>
      <c r="L340" s="1">
        <v>28000.0</v>
      </c>
    </row>
    <row r="341">
      <c r="A341" s="1">
        <v>124.0</v>
      </c>
      <c r="B341" s="1" t="s">
        <v>806</v>
      </c>
      <c r="C341" s="1" t="s">
        <v>810</v>
      </c>
      <c r="D341" s="1" t="s">
        <v>812</v>
      </c>
      <c r="E341" s="1">
        <v>-1.75</v>
      </c>
      <c r="F341" s="1">
        <v>-0.5</v>
      </c>
      <c r="G341" s="1">
        <v>5.0</v>
      </c>
      <c r="H341" s="1" t="s">
        <v>809</v>
      </c>
      <c r="I341" s="1" t="s">
        <v>809</v>
      </c>
      <c r="J341" s="1" t="s">
        <v>809</v>
      </c>
      <c r="K341" s="1">
        <v>1.0</v>
      </c>
      <c r="L341" s="1">
        <v>28000.0</v>
      </c>
    </row>
    <row r="342">
      <c r="A342" s="1">
        <v>124.0</v>
      </c>
      <c r="B342" s="1" t="s">
        <v>806</v>
      </c>
      <c r="C342" s="1" t="s">
        <v>809</v>
      </c>
      <c r="D342" s="1" t="s">
        <v>899</v>
      </c>
      <c r="E342" s="1" t="s">
        <v>809</v>
      </c>
      <c r="F342" s="1" t="s">
        <v>809</v>
      </c>
      <c r="G342" s="1" t="s">
        <v>809</v>
      </c>
      <c r="H342" s="1" t="s">
        <v>809</v>
      </c>
      <c r="I342" s="1" t="s">
        <v>809</v>
      </c>
      <c r="J342" s="1" t="s">
        <v>809</v>
      </c>
      <c r="K342" s="1">
        <v>1.0</v>
      </c>
      <c r="L342" s="1">
        <v>104400.0</v>
      </c>
    </row>
    <row r="343">
      <c r="A343" s="1">
        <v>125.0</v>
      </c>
      <c r="B343" s="1" t="s">
        <v>806</v>
      </c>
      <c r="C343" s="1" t="s">
        <v>807</v>
      </c>
      <c r="D343" s="1" t="s">
        <v>823</v>
      </c>
      <c r="E343" s="1">
        <v>1.0</v>
      </c>
      <c r="F343" s="1">
        <v>-0.25</v>
      </c>
      <c r="G343" s="1">
        <v>90.0</v>
      </c>
      <c r="H343" s="1">
        <v>2.25</v>
      </c>
      <c r="I343" s="1">
        <v>30.0</v>
      </c>
      <c r="J343" s="1" t="s">
        <v>809</v>
      </c>
      <c r="K343" s="1">
        <v>1.0</v>
      </c>
      <c r="L343" s="1">
        <v>295000.0</v>
      </c>
    </row>
    <row r="344">
      <c r="A344" s="1">
        <v>125.0</v>
      </c>
      <c r="B344" s="1" t="s">
        <v>806</v>
      </c>
      <c r="C344" s="1" t="s">
        <v>810</v>
      </c>
      <c r="D344" s="1" t="s">
        <v>823</v>
      </c>
      <c r="E344" s="1">
        <v>1.25</v>
      </c>
      <c r="F344" s="1">
        <v>-0.5</v>
      </c>
      <c r="G344" s="1">
        <v>90.0</v>
      </c>
      <c r="H344" s="1">
        <v>2.25</v>
      </c>
      <c r="I344" s="1">
        <v>30.0</v>
      </c>
      <c r="J344" s="1" t="s">
        <v>809</v>
      </c>
      <c r="K344" s="1">
        <v>1.0</v>
      </c>
      <c r="L344" s="1">
        <v>295000.0</v>
      </c>
    </row>
    <row r="345">
      <c r="A345" s="1">
        <v>125.0</v>
      </c>
      <c r="B345" s="1" t="s">
        <v>806</v>
      </c>
      <c r="C345" s="1" t="s">
        <v>809</v>
      </c>
      <c r="D345" s="1" t="s">
        <v>900</v>
      </c>
      <c r="E345" s="1" t="s">
        <v>809</v>
      </c>
      <c r="F345" s="1" t="s">
        <v>809</v>
      </c>
      <c r="G345" s="1" t="s">
        <v>809</v>
      </c>
      <c r="H345" s="1" t="s">
        <v>809</v>
      </c>
      <c r="I345" s="1" t="s">
        <v>809</v>
      </c>
      <c r="J345" s="1" t="s">
        <v>809</v>
      </c>
      <c r="K345" s="1">
        <v>1.0</v>
      </c>
      <c r="L345" s="1">
        <v>136800.0</v>
      </c>
    </row>
    <row r="346">
      <c r="A346" s="1">
        <v>126.0</v>
      </c>
      <c r="B346" s="1" t="s">
        <v>806</v>
      </c>
      <c r="C346" s="1" t="s">
        <v>807</v>
      </c>
      <c r="D346" s="1" t="s">
        <v>896</v>
      </c>
      <c r="E346" s="1">
        <v>1.0</v>
      </c>
      <c r="F346" s="1">
        <v>-0.25</v>
      </c>
      <c r="G346" s="1">
        <v>90.0</v>
      </c>
      <c r="H346" s="1">
        <v>2.25</v>
      </c>
      <c r="I346" s="1" t="s">
        <v>809</v>
      </c>
      <c r="J346" s="1" t="s">
        <v>809</v>
      </c>
      <c r="K346" s="1">
        <v>1.0</v>
      </c>
      <c r="L346" s="1">
        <v>0.0</v>
      </c>
    </row>
    <row r="347">
      <c r="A347" s="1">
        <v>126.0</v>
      </c>
      <c r="B347" s="1" t="s">
        <v>806</v>
      </c>
      <c r="C347" s="1" t="s">
        <v>810</v>
      </c>
      <c r="D347" s="1" t="s">
        <v>896</v>
      </c>
      <c r="E347" s="1">
        <v>1.25</v>
      </c>
      <c r="F347" s="1">
        <v>-0.5</v>
      </c>
      <c r="G347" s="1">
        <v>90.0</v>
      </c>
      <c r="H347" s="1">
        <v>2.25</v>
      </c>
      <c r="I347" s="1" t="s">
        <v>809</v>
      </c>
      <c r="J347" s="1" t="s">
        <v>809</v>
      </c>
      <c r="K347" s="1">
        <v>1.0</v>
      </c>
      <c r="L347" s="1">
        <v>0.0</v>
      </c>
    </row>
    <row r="348">
      <c r="A348" s="1">
        <v>126.0</v>
      </c>
      <c r="B348" s="1" t="s">
        <v>806</v>
      </c>
      <c r="C348" s="1" t="s">
        <v>809</v>
      </c>
      <c r="D348" s="1" t="s">
        <v>901</v>
      </c>
      <c r="E348" s="1" t="s">
        <v>809</v>
      </c>
      <c r="F348" s="1" t="s">
        <v>809</v>
      </c>
      <c r="G348" s="1" t="s">
        <v>809</v>
      </c>
      <c r="H348" s="1" t="s">
        <v>809</v>
      </c>
      <c r="I348" s="1" t="s">
        <v>809</v>
      </c>
      <c r="J348" s="1" t="s">
        <v>809</v>
      </c>
      <c r="K348" s="1">
        <v>1.0</v>
      </c>
      <c r="L348" s="1">
        <v>66800.0</v>
      </c>
    </row>
    <row r="349">
      <c r="A349" s="1">
        <v>127.0</v>
      </c>
      <c r="B349" s="1" t="s">
        <v>806</v>
      </c>
      <c r="C349" s="1" t="s">
        <v>807</v>
      </c>
      <c r="D349" s="1" t="s">
        <v>819</v>
      </c>
      <c r="E349" s="1">
        <v>0.0</v>
      </c>
      <c r="F349" s="1">
        <v>0.0</v>
      </c>
      <c r="G349" s="1" t="s">
        <v>809</v>
      </c>
      <c r="H349" s="1" t="s">
        <v>809</v>
      </c>
      <c r="I349" s="1" t="s">
        <v>809</v>
      </c>
      <c r="J349" s="1" t="s">
        <v>809</v>
      </c>
      <c r="K349" s="1">
        <v>1.0</v>
      </c>
      <c r="L349" s="1">
        <v>58994.4</v>
      </c>
    </row>
    <row r="350">
      <c r="A350" s="1">
        <v>127.0</v>
      </c>
      <c r="B350" s="1" t="s">
        <v>806</v>
      </c>
      <c r="C350" s="1" t="s">
        <v>810</v>
      </c>
      <c r="D350" s="1" t="s">
        <v>819</v>
      </c>
      <c r="E350" s="1">
        <v>0.0</v>
      </c>
      <c r="F350" s="1">
        <v>0.0</v>
      </c>
      <c r="G350" s="1" t="s">
        <v>809</v>
      </c>
      <c r="H350" s="1" t="s">
        <v>809</v>
      </c>
      <c r="I350" s="1" t="s">
        <v>809</v>
      </c>
      <c r="J350" s="1" t="s">
        <v>809</v>
      </c>
      <c r="K350" s="1">
        <v>1.0</v>
      </c>
      <c r="L350" s="1">
        <v>58994.4</v>
      </c>
    </row>
    <row r="351">
      <c r="A351" s="1">
        <v>127.0</v>
      </c>
      <c r="B351" s="1" t="s">
        <v>806</v>
      </c>
      <c r="C351" s="1" t="s">
        <v>809</v>
      </c>
      <c r="D351" s="1" t="s">
        <v>902</v>
      </c>
      <c r="E351" s="1" t="s">
        <v>809</v>
      </c>
      <c r="F351" s="1" t="s">
        <v>809</v>
      </c>
      <c r="G351" s="1" t="s">
        <v>809</v>
      </c>
      <c r="H351" s="1" t="s">
        <v>809</v>
      </c>
      <c r="I351" s="1" t="s">
        <v>809</v>
      </c>
      <c r="J351" s="1" t="s">
        <v>809</v>
      </c>
      <c r="K351" s="1">
        <v>1.0</v>
      </c>
      <c r="L351" s="1">
        <v>141818.04</v>
      </c>
    </row>
    <row r="352">
      <c r="A352" s="1">
        <v>128.0</v>
      </c>
      <c r="B352" s="1" t="s">
        <v>806</v>
      </c>
      <c r="C352" s="1" t="s">
        <v>807</v>
      </c>
      <c r="D352" s="1" t="s">
        <v>823</v>
      </c>
      <c r="E352" s="1">
        <v>0.0</v>
      </c>
      <c r="F352" s="1">
        <v>0.0</v>
      </c>
      <c r="G352" s="1" t="s">
        <v>809</v>
      </c>
      <c r="H352" s="1" t="s">
        <v>809</v>
      </c>
      <c r="I352" s="1" t="s">
        <v>809</v>
      </c>
      <c r="J352" s="1" t="s">
        <v>809</v>
      </c>
      <c r="K352" s="1">
        <v>1.0</v>
      </c>
      <c r="L352" s="1">
        <v>258520.68</v>
      </c>
    </row>
    <row r="353">
      <c r="A353" s="1">
        <v>128.0</v>
      </c>
      <c r="B353" s="1" t="s">
        <v>806</v>
      </c>
      <c r="C353" s="1" t="s">
        <v>810</v>
      </c>
      <c r="D353" s="1" t="s">
        <v>823</v>
      </c>
      <c r="E353" s="1">
        <v>0.0</v>
      </c>
      <c r="F353" s="1">
        <v>0.0</v>
      </c>
      <c r="G353" s="1" t="s">
        <v>809</v>
      </c>
      <c r="H353" s="1" t="s">
        <v>809</v>
      </c>
      <c r="I353" s="1" t="s">
        <v>809</v>
      </c>
      <c r="J353" s="1" t="s">
        <v>809</v>
      </c>
      <c r="K353" s="1">
        <v>1.0</v>
      </c>
      <c r="L353" s="1">
        <v>258520.68</v>
      </c>
    </row>
    <row r="354">
      <c r="A354" s="1">
        <v>129.0</v>
      </c>
      <c r="B354" s="1" t="s">
        <v>809</v>
      </c>
      <c r="C354" s="1" t="s">
        <v>809</v>
      </c>
      <c r="D354" s="1" t="s">
        <v>903</v>
      </c>
      <c r="E354" s="1" t="s">
        <v>809</v>
      </c>
      <c r="F354" s="1" t="s">
        <v>809</v>
      </c>
      <c r="G354" s="1" t="s">
        <v>809</v>
      </c>
      <c r="H354" s="1" t="s">
        <v>809</v>
      </c>
      <c r="I354" s="1" t="s">
        <v>809</v>
      </c>
      <c r="J354" s="1" t="s">
        <v>809</v>
      </c>
      <c r="K354" s="1">
        <v>1.0</v>
      </c>
      <c r="L354" s="1">
        <v>126000.0</v>
      </c>
    </row>
    <row r="355">
      <c r="A355" s="1">
        <v>130.0</v>
      </c>
      <c r="B355" s="1" t="s">
        <v>825</v>
      </c>
      <c r="C355" s="1" t="s">
        <v>807</v>
      </c>
      <c r="D355" s="1" t="s">
        <v>808</v>
      </c>
      <c r="E355" s="1">
        <v>2.5</v>
      </c>
      <c r="F355" s="1">
        <v>0.0</v>
      </c>
      <c r="G355" s="1" t="s">
        <v>809</v>
      </c>
      <c r="H355" s="1" t="s">
        <v>809</v>
      </c>
      <c r="I355" s="1" t="s">
        <v>809</v>
      </c>
      <c r="J355" s="1" t="s">
        <v>809</v>
      </c>
      <c r="K355" s="1">
        <v>1.0</v>
      </c>
      <c r="L355" s="1">
        <v>9722.9</v>
      </c>
    </row>
    <row r="356">
      <c r="A356" s="1">
        <v>130.0</v>
      </c>
      <c r="B356" s="1" t="s">
        <v>825</v>
      </c>
      <c r="C356" s="1" t="s">
        <v>810</v>
      </c>
      <c r="D356" s="1" t="s">
        <v>808</v>
      </c>
      <c r="E356" s="1">
        <v>2.5</v>
      </c>
      <c r="F356" s="1">
        <v>0.0</v>
      </c>
      <c r="G356" s="1" t="s">
        <v>809</v>
      </c>
      <c r="H356" s="1" t="s">
        <v>809</v>
      </c>
      <c r="I356" s="1" t="s">
        <v>809</v>
      </c>
      <c r="J356" s="1" t="s">
        <v>809</v>
      </c>
      <c r="K356" s="1">
        <v>1.0</v>
      </c>
      <c r="L356" s="1">
        <v>9722.9</v>
      </c>
    </row>
    <row r="357">
      <c r="A357" s="1">
        <v>130.0</v>
      </c>
      <c r="B357" s="1" t="s">
        <v>825</v>
      </c>
      <c r="C357" s="1" t="s">
        <v>809</v>
      </c>
      <c r="D357" s="1" t="s">
        <v>904</v>
      </c>
      <c r="E357" s="1" t="s">
        <v>809</v>
      </c>
      <c r="F357" s="1" t="s">
        <v>809</v>
      </c>
      <c r="G357" s="1" t="s">
        <v>809</v>
      </c>
      <c r="H357" s="1" t="s">
        <v>809</v>
      </c>
      <c r="I357" s="1" t="s">
        <v>809</v>
      </c>
      <c r="J357" s="1" t="s">
        <v>809</v>
      </c>
      <c r="K357" s="1">
        <v>1.0</v>
      </c>
      <c r="L357" s="1">
        <v>126140.0</v>
      </c>
    </row>
    <row r="358">
      <c r="A358" s="1">
        <v>131.0</v>
      </c>
      <c r="B358" s="1" t="s">
        <v>806</v>
      </c>
      <c r="C358" s="1" t="s">
        <v>807</v>
      </c>
      <c r="D358" s="1" t="s">
        <v>808</v>
      </c>
      <c r="E358" s="1">
        <v>0.0</v>
      </c>
      <c r="F358" s="1">
        <v>0.0</v>
      </c>
      <c r="G358" s="1" t="s">
        <v>809</v>
      </c>
      <c r="H358" s="1" t="s">
        <v>809</v>
      </c>
      <c r="I358" s="1" t="s">
        <v>809</v>
      </c>
      <c r="J358" s="1" t="s">
        <v>809</v>
      </c>
      <c r="K358" s="1">
        <v>1.0</v>
      </c>
      <c r="L358" s="1">
        <v>24000.0</v>
      </c>
    </row>
    <row r="359">
      <c r="A359" s="1">
        <v>131.0</v>
      </c>
      <c r="B359" s="1" t="s">
        <v>806</v>
      </c>
      <c r="C359" s="1" t="s">
        <v>810</v>
      </c>
      <c r="D359" s="1" t="s">
        <v>808</v>
      </c>
      <c r="E359" s="1">
        <v>0.0</v>
      </c>
      <c r="F359" s="1">
        <v>0.0</v>
      </c>
      <c r="G359" s="1" t="s">
        <v>809</v>
      </c>
      <c r="H359" s="1" t="s">
        <v>809</v>
      </c>
      <c r="I359" s="1" t="s">
        <v>809</v>
      </c>
      <c r="J359" s="1" t="s">
        <v>809</v>
      </c>
      <c r="K359" s="1">
        <v>1.0</v>
      </c>
      <c r="L359" s="1">
        <v>24000.0</v>
      </c>
    </row>
    <row r="360">
      <c r="A360" s="1">
        <v>131.0</v>
      </c>
      <c r="B360" s="1" t="s">
        <v>806</v>
      </c>
      <c r="C360" s="1" t="s">
        <v>809</v>
      </c>
      <c r="D360" s="1" t="s">
        <v>905</v>
      </c>
      <c r="E360" s="1" t="s">
        <v>809</v>
      </c>
      <c r="F360" s="1" t="s">
        <v>809</v>
      </c>
      <c r="G360" s="1" t="s">
        <v>809</v>
      </c>
      <c r="H360" s="1" t="s">
        <v>809</v>
      </c>
      <c r="I360" s="1" t="s">
        <v>809</v>
      </c>
      <c r="J360" s="1" t="s">
        <v>809</v>
      </c>
      <c r="K360" s="1">
        <v>1.0</v>
      </c>
      <c r="L360" s="1">
        <v>170000.0</v>
      </c>
    </row>
    <row r="361">
      <c r="A361" s="1">
        <v>132.0</v>
      </c>
      <c r="B361" s="1" t="s">
        <v>806</v>
      </c>
      <c r="C361" s="1" t="s">
        <v>807</v>
      </c>
      <c r="D361" s="1" t="s">
        <v>836</v>
      </c>
      <c r="E361" s="1">
        <v>0.0</v>
      </c>
      <c r="F361" s="1">
        <v>0.0</v>
      </c>
      <c r="G361" s="1" t="s">
        <v>809</v>
      </c>
      <c r="H361" s="1" t="s">
        <v>809</v>
      </c>
      <c r="I361" s="1" t="s">
        <v>809</v>
      </c>
      <c r="J361" s="1" t="s">
        <v>809</v>
      </c>
      <c r="K361" s="1">
        <v>1.0</v>
      </c>
      <c r="L361" s="1">
        <v>46000.0</v>
      </c>
    </row>
    <row r="362">
      <c r="A362" s="1">
        <v>132.0</v>
      </c>
      <c r="B362" s="1" t="s">
        <v>806</v>
      </c>
      <c r="C362" s="1" t="s">
        <v>810</v>
      </c>
      <c r="D362" s="1" t="s">
        <v>836</v>
      </c>
      <c r="E362" s="1">
        <v>0.0</v>
      </c>
      <c r="F362" s="1">
        <v>0.0</v>
      </c>
      <c r="G362" s="1" t="s">
        <v>809</v>
      </c>
      <c r="H362" s="1" t="s">
        <v>809</v>
      </c>
      <c r="I362" s="1" t="s">
        <v>809</v>
      </c>
      <c r="J362" s="1" t="s">
        <v>809</v>
      </c>
      <c r="K362" s="1">
        <v>1.0</v>
      </c>
      <c r="L362" s="1">
        <v>46000.0</v>
      </c>
    </row>
    <row r="363">
      <c r="A363" s="1">
        <v>132.0</v>
      </c>
      <c r="B363" s="1" t="s">
        <v>806</v>
      </c>
      <c r="C363" s="1" t="s">
        <v>809</v>
      </c>
      <c r="D363" s="1" t="s">
        <v>906</v>
      </c>
      <c r="E363" s="1" t="s">
        <v>809</v>
      </c>
      <c r="F363" s="1" t="s">
        <v>809</v>
      </c>
      <c r="G363" s="1" t="s">
        <v>809</v>
      </c>
      <c r="H363" s="1" t="s">
        <v>809</v>
      </c>
      <c r="I363" s="1" t="s">
        <v>809</v>
      </c>
      <c r="J363" s="1" t="s">
        <v>809</v>
      </c>
      <c r="K363" s="1">
        <v>1.0</v>
      </c>
      <c r="L363" s="1">
        <v>120000.0</v>
      </c>
    </row>
    <row r="364">
      <c r="A364" s="1">
        <v>133.0</v>
      </c>
      <c r="B364" s="1" t="s">
        <v>806</v>
      </c>
      <c r="C364" s="1" t="s">
        <v>807</v>
      </c>
      <c r="D364" s="1" t="s">
        <v>823</v>
      </c>
      <c r="E364" s="1">
        <v>0.5</v>
      </c>
      <c r="F364" s="1">
        <v>-2.5</v>
      </c>
      <c r="G364" s="1">
        <v>175.0</v>
      </c>
      <c r="H364" s="1" t="s">
        <v>809</v>
      </c>
      <c r="I364" s="1">
        <v>33.0</v>
      </c>
      <c r="J364" s="1">
        <v>26.0</v>
      </c>
      <c r="K364" s="1">
        <v>1.0</v>
      </c>
      <c r="L364" s="1">
        <v>300000.0</v>
      </c>
    </row>
    <row r="365">
      <c r="A365" s="1">
        <v>133.0</v>
      </c>
      <c r="B365" s="1" t="s">
        <v>806</v>
      </c>
      <c r="C365" s="1" t="s">
        <v>810</v>
      </c>
      <c r="D365" s="1" t="s">
        <v>823</v>
      </c>
      <c r="E365" s="1">
        <v>0.0</v>
      </c>
      <c r="F365" s="1">
        <v>-1.0</v>
      </c>
      <c r="G365" s="1">
        <v>10.0</v>
      </c>
      <c r="H365" s="1" t="s">
        <v>809</v>
      </c>
      <c r="I365" s="1">
        <v>33.0</v>
      </c>
      <c r="J365" s="1">
        <v>26.0</v>
      </c>
      <c r="K365" s="1">
        <v>1.0</v>
      </c>
      <c r="L365" s="1">
        <v>300000.0</v>
      </c>
    </row>
    <row r="366">
      <c r="A366" s="1">
        <v>133.0</v>
      </c>
      <c r="B366" s="1" t="s">
        <v>806</v>
      </c>
      <c r="C366" s="1" t="s">
        <v>809</v>
      </c>
      <c r="D366" s="1" t="s">
        <v>907</v>
      </c>
      <c r="E366" s="1" t="s">
        <v>809</v>
      </c>
      <c r="F366" s="1" t="s">
        <v>809</v>
      </c>
      <c r="G366" s="1" t="s">
        <v>809</v>
      </c>
      <c r="H366" s="1" t="s">
        <v>809</v>
      </c>
      <c r="I366" s="1" t="s">
        <v>809</v>
      </c>
      <c r="J366" s="1" t="s">
        <v>809</v>
      </c>
      <c r="K366" s="1">
        <v>1.0</v>
      </c>
      <c r="L366" s="1">
        <v>147420.0</v>
      </c>
    </row>
    <row r="367">
      <c r="A367" s="1">
        <v>134.0</v>
      </c>
      <c r="B367" s="1" t="s">
        <v>806</v>
      </c>
      <c r="C367" s="1" t="s">
        <v>807</v>
      </c>
      <c r="D367" s="1" t="s">
        <v>823</v>
      </c>
      <c r="E367" s="1">
        <v>0.0</v>
      </c>
      <c r="F367" s="1">
        <v>0.0</v>
      </c>
      <c r="G367" s="1" t="s">
        <v>809</v>
      </c>
      <c r="H367" s="1" t="s">
        <v>809</v>
      </c>
      <c r="I367" s="1" t="s">
        <v>809</v>
      </c>
      <c r="J367" s="1" t="s">
        <v>809</v>
      </c>
      <c r="K367" s="1">
        <v>1.0</v>
      </c>
      <c r="L367" s="1">
        <v>250000.0</v>
      </c>
    </row>
    <row r="368">
      <c r="A368" s="1">
        <v>134.0</v>
      </c>
      <c r="B368" s="1" t="s">
        <v>806</v>
      </c>
      <c r="C368" s="1" t="s">
        <v>810</v>
      </c>
      <c r="D368" s="1" t="s">
        <v>823</v>
      </c>
      <c r="E368" s="1">
        <v>0.0</v>
      </c>
      <c r="F368" s="1">
        <v>0.0</v>
      </c>
      <c r="G368" s="1" t="s">
        <v>809</v>
      </c>
      <c r="H368" s="1" t="s">
        <v>809</v>
      </c>
      <c r="I368" s="1" t="s">
        <v>809</v>
      </c>
      <c r="J368" s="1" t="s">
        <v>809</v>
      </c>
      <c r="K368" s="1">
        <v>1.0</v>
      </c>
      <c r="L368" s="1">
        <v>250000.0</v>
      </c>
    </row>
    <row r="369">
      <c r="A369" s="1">
        <v>134.0</v>
      </c>
      <c r="B369" s="1" t="s">
        <v>806</v>
      </c>
      <c r="C369" s="1" t="s">
        <v>809</v>
      </c>
      <c r="D369" s="1" t="s">
        <v>875</v>
      </c>
      <c r="E369" s="1" t="s">
        <v>809</v>
      </c>
      <c r="F369" s="1" t="s">
        <v>809</v>
      </c>
      <c r="G369" s="1" t="s">
        <v>809</v>
      </c>
      <c r="H369" s="1" t="s">
        <v>809</v>
      </c>
      <c r="I369" s="1" t="s">
        <v>809</v>
      </c>
      <c r="J369" s="1" t="s">
        <v>809</v>
      </c>
      <c r="K369" s="1">
        <v>1.0</v>
      </c>
      <c r="L369" s="1">
        <v>121000.0</v>
      </c>
    </row>
    <row r="370">
      <c r="A370" s="1">
        <v>135.0</v>
      </c>
      <c r="B370" s="1" t="s">
        <v>809</v>
      </c>
      <c r="C370" s="1" t="s">
        <v>809</v>
      </c>
      <c r="D370" s="1" t="s">
        <v>829</v>
      </c>
      <c r="E370" s="1" t="s">
        <v>809</v>
      </c>
      <c r="F370" s="1" t="s">
        <v>809</v>
      </c>
      <c r="G370" s="1" t="s">
        <v>809</v>
      </c>
      <c r="H370" s="1" t="s">
        <v>809</v>
      </c>
      <c r="I370" s="1" t="s">
        <v>809</v>
      </c>
      <c r="J370" s="1" t="s">
        <v>809</v>
      </c>
      <c r="K370" s="1">
        <v>1.0</v>
      </c>
      <c r="L370" s="1">
        <v>96000.0</v>
      </c>
    </row>
    <row r="371">
      <c r="A371" s="1">
        <v>136.0</v>
      </c>
      <c r="B371" s="1" t="s">
        <v>806</v>
      </c>
      <c r="C371" s="1" t="s">
        <v>807</v>
      </c>
      <c r="D371" s="1" t="s">
        <v>812</v>
      </c>
      <c r="E371" s="1">
        <v>0.75</v>
      </c>
      <c r="F371" s="1">
        <v>0.0</v>
      </c>
      <c r="G371" s="1" t="s">
        <v>809</v>
      </c>
      <c r="H371" s="1" t="s">
        <v>809</v>
      </c>
      <c r="I371" s="1">
        <v>32.0</v>
      </c>
      <c r="J371" s="1">
        <v>26.0</v>
      </c>
      <c r="K371" s="1">
        <v>1.0</v>
      </c>
      <c r="L371" s="1">
        <v>25000.0</v>
      </c>
    </row>
    <row r="372">
      <c r="A372" s="1">
        <v>136.0</v>
      </c>
      <c r="B372" s="1" t="s">
        <v>806</v>
      </c>
      <c r="C372" s="1" t="s">
        <v>810</v>
      </c>
      <c r="D372" s="1" t="s">
        <v>812</v>
      </c>
      <c r="E372" s="1">
        <v>0.75</v>
      </c>
      <c r="F372" s="1">
        <v>0.0</v>
      </c>
      <c r="G372" s="1" t="s">
        <v>809</v>
      </c>
      <c r="H372" s="1" t="s">
        <v>809</v>
      </c>
      <c r="I372" s="1">
        <v>32.0</v>
      </c>
      <c r="J372" s="1">
        <v>26.0</v>
      </c>
      <c r="K372" s="1">
        <v>1.0</v>
      </c>
      <c r="L372" s="1">
        <v>25000.0</v>
      </c>
    </row>
    <row r="373">
      <c r="A373" s="1">
        <v>136.0</v>
      </c>
      <c r="B373" s="1" t="s">
        <v>806</v>
      </c>
      <c r="C373" s="1" t="s">
        <v>809</v>
      </c>
      <c r="D373" s="1" t="s">
        <v>908</v>
      </c>
      <c r="E373" s="1" t="s">
        <v>809</v>
      </c>
      <c r="F373" s="1" t="s">
        <v>809</v>
      </c>
      <c r="G373" s="1" t="s">
        <v>809</v>
      </c>
      <c r="H373" s="1" t="s">
        <v>809</v>
      </c>
      <c r="I373" s="1" t="s">
        <v>809</v>
      </c>
      <c r="J373" s="1" t="s">
        <v>809</v>
      </c>
      <c r="K373" s="1">
        <v>1.0</v>
      </c>
      <c r="L373" s="1">
        <v>140000.0</v>
      </c>
    </row>
    <row r="374">
      <c r="A374" s="1">
        <v>137.0</v>
      </c>
      <c r="B374" s="1" t="s">
        <v>806</v>
      </c>
      <c r="C374" s="1" t="s">
        <v>807</v>
      </c>
      <c r="D374" s="1" t="s">
        <v>826</v>
      </c>
      <c r="E374" s="1">
        <v>-0.25</v>
      </c>
      <c r="F374" s="1">
        <v>-0.25</v>
      </c>
      <c r="G374" s="1">
        <v>150.0</v>
      </c>
      <c r="H374" s="1" t="s">
        <v>809</v>
      </c>
      <c r="I374" s="1" t="s">
        <v>809</v>
      </c>
      <c r="J374" s="1" t="s">
        <v>809</v>
      </c>
      <c r="K374" s="1">
        <v>1.0</v>
      </c>
      <c r="L374" s="1">
        <v>15000.0</v>
      </c>
    </row>
    <row r="375">
      <c r="A375" s="1">
        <v>137.0</v>
      </c>
      <c r="B375" s="1" t="s">
        <v>806</v>
      </c>
      <c r="C375" s="1" t="s">
        <v>810</v>
      </c>
      <c r="D375" s="1" t="s">
        <v>826</v>
      </c>
      <c r="E375" s="1">
        <v>-0.25</v>
      </c>
      <c r="F375" s="1">
        <v>-0.25</v>
      </c>
      <c r="G375" s="1">
        <v>30.0</v>
      </c>
      <c r="H375" s="1" t="s">
        <v>809</v>
      </c>
      <c r="I375" s="1" t="s">
        <v>809</v>
      </c>
      <c r="J375" s="1" t="s">
        <v>809</v>
      </c>
      <c r="K375" s="1">
        <v>1.0</v>
      </c>
      <c r="L375" s="1">
        <v>15000.0</v>
      </c>
    </row>
    <row r="376">
      <c r="A376" s="1">
        <v>137.0</v>
      </c>
      <c r="B376" s="1" t="s">
        <v>806</v>
      </c>
      <c r="C376" s="1" t="s">
        <v>809</v>
      </c>
      <c r="D376" s="1" t="s">
        <v>909</v>
      </c>
      <c r="E376" s="1" t="s">
        <v>809</v>
      </c>
      <c r="F376" s="1" t="s">
        <v>809</v>
      </c>
      <c r="G376" s="1" t="s">
        <v>809</v>
      </c>
      <c r="H376" s="1" t="s">
        <v>809</v>
      </c>
      <c r="I376" s="1" t="s">
        <v>809</v>
      </c>
      <c r="J376" s="1" t="s">
        <v>809</v>
      </c>
      <c r="K376" s="1">
        <v>1.0</v>
      </c>
      <c r="L376" s="1">
        <v>108000.0</v>
      </c>
    </row>
    <row r="377">
      <c r="A377" s="1">
        <v>138.0</v>
      </c>
      <c r="B377" s="1" t="s">
        <v>806</v>
      </c>
      <c r="C377" s="1" t="s">
        <v>807</v>
      </c>
      <c r="D377" s="1" t="s">
        <v>836</v>
      </c>
      <c r="E377" s="1">
        <v>1.5</v>
      </c>
      <c r="F377" s="1">
        <v>0.0</v>
      </c>
      <c r="G377" s="1" t="s">
        <v>809</v>
      </c>
      <c r="H377" s="1" t="s">
        <v>809</v>
      </c>
      <c r="I377" s="1">
        <v>30.0</v>
      </c>
      <c r="J377" s="1">
        <v>27.0</v>
      </c>
      <c r="K377" s="1">
        <v>1.0</v>
      </c>
      <c r="L377" s="1">
        <v>41000.0</v>
      </c>
    </row>
    <row r="378">
      <c r="A378" s="1">
        <v>138.0</v>
      </c>
      <c r="B378" s="1" t="s">
        <v>806</v>
      </c>
      <c r="C378" s="1" t="s">
        <v>810</v>
      </c>
      <c r="D378" s="1" t="s">
        <v>836</v>
      </c>
      <c r="E378" s="1">
        <v>1.25</v>
      </c>
      <c r="F378" s="1">
        <v>0.0</v>
      </c>
      <c r="G378" s="1" t="s">
        <v>809</v>
      </c>
      <c r="H378" s="1" t="s">
        <v>809</v>
      </c>
      <c r="I378" s="1">
        <v>31.0</v>
      </c>
      <c r="J378" s="1">
        <v>27.0</v>
      </c>
      <c r="K378" s="1">
        <v>1.0</v>
      </c>
      <c r="L378" s="1">
        <v>41000.0</v>
      </c>
    </row>
    <row r="379">
      <c r="A379" s="1">
        <v>138.0</v>
      </c>
      <c r="B379" s="1" t="s">
        <v>806</v>
      </c>
      <c r="C379" s="1" t="s">
        <v>809</v>
      </c>
      <c r="D379" s="1" t="s">
        <v>875</v>
      </c>
      <c r="E379" s="1" t="s">
        <v>809</v>
      </c>
      <c r="F379" s="1" t="s">
        <v>809</v>
      </c>
      <c r="G379" s="1" t="s">
        <v>809</v>
      </c>
      <c r="H379" s="1" t="s">
        <v>809</v>
      </c>
      <c r="I379" s="1" t="s">
        <v>809</v>
      </c>
      <c r="J379" s="1" t="s">
        <v>809</v>
      </c>
      <c r="K379" s="1">
        <v>1.0</v>
      </c>
      <c r="L379" s="1">
        <v>126000.0</v>
      </c>
    </row>
    <row r="380">
      <c r="A380" s="1">
        <v>139.0</v>
      </c>
      <c r="B380" s="1" t="s">
        <v>806</v>
      </c>
      <c r="C380" s="1" t="s">
        <v>807</v>
      </c>
      <c r="D380" s="1" t="s">
        <v>836</v>
      </c>
      <c r="E380" s="1">
        <v>-0.75</v>
      </c>
      <c r="F380" s="1">
        <v>-1.5</v>
      </c>
      <c r="G380" s="1">
        <v>5.0</v>
      </c>
      <c r="H380" s="1" t="s">
        <v>809</v>
      </c>
      <c r="I380" s="1">
        <v>30.0</v>
      </c>
      <c r="J380" s="1">
        <v>23.0</v>
      </c>
      <c r="K380" s="1">
        <v>1.0</v>
      </c>
      <c r="L380" s="1">
        <v>45500.0</v>
      </c>
    </row>
    <row r="381">
      <c r="A381" s="1">
        <v>139.0</v>
      </c>
      <c r="B381" s="1" t="s">
        <v>806</v>
      </c>
      <c r="C381" s="1" t="s">
        <v>810</v>
      </c>
      <c r="D381" s="1" t="s">
        <v>836</v>
      </c>
      <c r="E381" s="1">
        <v>0.0</v>
      </c>
      <c r="F381" s="1">
        <v>-0.75</v>
      </c>
      <c r="G381" s="1">
        <v>60.0</v>
      </c>
      <c r="H381" s="1" t="s">
        <v>809</v>
      </c>
      <c r="I381" s="1">
        <v>30.0</v>
      </c>
      <c r="J381" s="1">
        <v>23.0</v>
      </c>
      <c r="K381" s="1">
        <v>1.0</v>
      </c>
      <c r="L381" s="1">
        <v>45500.0</v>
      </c>
    </row>
    <row r="382">
      <c r="A382" s="1">
        <v>140.0</v>
      </c>
      <c r="B382" s="1" t="s">
        <v>806</v>
      </c>
      <c r="C382" s="1" t="s">
        <v>807</v>
      </c>
      <c r="D382" s="1" t="s">
        <v>812</v>
      </c>
      <c r="E382" s="1">
        <v>0.0</v>
      </c>
      <c r="F382" s="1">
        <v>0.0</v>
      </c>
      <c r="G382" s="1" t="s">
        <v>809</v>
      </c>
      <c r="H382" s="1" t="s">
        <v>809</v>
      </c>
      <c r="I382" s="1" t="s">
        <v>809</v>
      </c>
      <c r="J382" s="1" t="s">
        <v>809</v>
      </c>
      <c r="K382" s="1">
        <v>1.0</v>
      </c>
      <c r="L382" s="1">
        <v>35000.0</v>
      </c>
    </row>
    <row r="383">
      <c r="A383" s="1">
        <v>140.0</v>
      </c>
      <c r="B383" s="1" t="s">
        <v>806</v>
      </c>
      <c r="C383" s="1" t="s">
        <v>810</v>
      </c>
      <c r="D383" s="1" t="s">
        <v>812</v>
      </c>
      <c r="E383" s="1">
        <v>0.0</v>
      </c>
      <c r="F383" s="1">
        <v>0.0</v>
      </c>
      <c r="G383" s="1" t="s">
        <v>809</v>
      </c>
      <c r="H383" s="1" t="s">
        <v>809</v>
      </c>
      <c r="I383" s="1" t="s">
        <v>809</v>
      </c>
      <c r="J383" s="1" t="s">
        <v>809</v>
      </c>
      <c r="K383" s="1">
        <v>1.0</v>
      </c>
      <c r="L383" s="1">
        <v>0.0</v>
      </c>
    </row>
    <row r="384">
      <c r="A384" s="1">
        <v>140.0</v>
      </c>
      <c r="B384" s="1" t="s">
        <v>806</v>
      </c>
      <c r="C384" s="1" t="s">
        <v>809</v>
      </c>
      <c r="D384" s="1" t="s">
        <v>910</v>
      </c>
      <c r="E384" s="1" t="s">
        <v>809</v>
      </c>
      <c r="F384" s="1" t="s">
        <v>809</v>
      </c>
      <c r="G384" s="1" t="s">
        <v>809</v>
      </c>
      <c r="H384" s="1" t="s">
        <v>809</v>
      </c>
      <c r="I384" s="1" t="s">
        <v>809</v>
      </c>
      <c r="J384" s="1" t="s">
        <v>809</v>
      </c>
      <c r="K384" s="1">
        <v>1.0</v>
      </c>
      <c r="L384" s="1">
        <v>60000.0</v>
      </c>
    </row>
    <row r="385">
      <c r="A385" s="1">
        <v>141.0</v>
      </c>
      <c r="B385" s="1" t="s">
        <v>806</v>
      </c>
      <c r="C385" s="1" t="s">
        <v>807</v>
      </c>
      <c r="D385" s="1" t="s">
        <v>812</v>
      </c>
      <c r="E385" s="1">
        <v>0.0</v>
      </c>
      <c r="F385" s="1">
        <v>0.0</v>
      </c>
      <c r="G385" s="1" t="s">
        <v>809</v>
      </c>
      <c r="H385" s="1" t="s">
        <v>809</v>
      </c>
      <c r="I385" s="1" t="s">
        <v>809</v>
      </c>
      <c r="J385" s="1" t="s">
        <v>809</v>
      </c>
      <c r="K385" s="1">
        <v>1.0</v>
      </c>
      <c r="L385" s="1">
        <v>35000.0</v>
      </c>
    </row>
    <row r="386">
      <c r="A386" s="1">
        <v>141.0</v>
      </c>
      <c r="B386" s="1" t="s">
        <v>806</v>
      </c>
      <c r="C386" s="1" t="s">
        <v>810</v>
      </c>
      <c r="D386" s="1" t="s">
        <v>812</v>
      </c>
      <c r="E386" s="1">
        <v>0.0</v>
      </c>
      <c r="F386" s="1">
        <v>0.0</v>
      </c>
      <c r="G386" s="1" t="s">
        <v>809</v>
      </c>
      <c r="H386" s="1" t="s">
        <v>809</v>
      </c>
      <c r="I386" s="1" t="s">
        <v>809</v>
      </c>
      <c r="J386" s="1" t="s">
        <v>809</v>
      </c>
      <c r="K386" s="1">
        <v>1.0</v>
      </c>
      <c r="L386" s="1">
        <v>0.0</v>
      </c>
    </row>
    <row r="387">
      <c r="A387" s="1">
        <v>141.0</v>
      </c>
      <c r="B387" s="1" t="s">
        <v>806</v>
      </c>
      <c r="C387" s="1" t="s">
        <v>809</v>
      </c>
      <c r="D387" s="1" t="s">
        <v>910</v>
      </c>
      <c r="E387" s="1" t="s">
        <v>809</v>
      </c>
      <c r="F387" s="1" t="s">
        <v>809</v>
      </c>
      <c r="G387" s="1" t="s">
        <v>809</v>
      </c>
      <c r="H387" s="1" t="s">
        <v>809</v>
      </c>
      <c r="I387" s="1" t="s">
        <v>809</v>
      </c>
      <c r="J387" s="1" t="s">
        <v>809</v>
      </c>
      <c r="K387" s="1">
        <v>1.0</v>
      </c>
      <c r="L387" s="1">
        <v>60000.0</v>
      </c>
    </row>
    <row r="388">
      <c r="A388" s="1">
        <v>142.0</v>
      </c>
      <c r="B388" s="1" t="s">
        <v>806</v>
      </c>
      <c r="C388" s="1" t="s">
        <v>807</v>
      </c>
      <c r="D388" s="1" t="s">
        <v>911</v>
      </c>
      <c r="E388" s="1">
        <v>0.0</v>
      </c>
      <c r="F388" s="1">
        <v>0.0</v>
      </c>
      <c r="G388" s="1" t="s">
        <v>809</v>
      </c>
      <c r="H388" s="1" t="s">
        <v>809</v>
      </c>
      <c r="I388" s="1" t="s">
        <v>809</v>
      </c>
      <c r="J388" s="1" t="s">
        <v>809</v>
      </c>
      <c r="K388" s="1">
        <v>1.0</v>
      </c>
      <c r="L388" s="1">
        <v>45000.0</v>
      </c>
    </row>
    <row r="389">
      <c r="A389" s="1">
        <v>142.0</v>
      </c>
      <c r="B389" s="1" t="s">
        <v>806</v>
      </c>
      <c r="C389" s="1" t="s">
        <v>810</v>
      </c>
      <c r="D389" s="1" t="s">
        <v>911</v>
      </c>
      <c r="E389" s="1">
        <v>0.0</v>
      </c>
      <c r="F389" s="1">
        <v>0.0</v>
      </c>
      <c r="G389" s="1" t="s">
        <v>809</v>
      </c>
      <c r="H389" s="1" t="s">
        <v>809</v>
      </c>
      <c r="I389" s="1" t="s">
        <v>809</v>
      </c>
      <c r="J389" s="1" t="s">
        <v>809</v>
      </c>
      <c r="K389" s="1">
        <v>1.0</v>
      </c>
      <c r="L389" s="1">
        <v>45000.0</v>
      </c>
    </row>
    <row r="390">
      <c r="A390" s="1">
        <v>142.0</v>
      </c>
      <c r="B390" s="1" t="s">
        <v>806</v>
      </c>
      <c r="C390" s="1" t="s">
        <v>809</v>
      </c>
      <c r="D390" s="1" t="s">
        <v>912</v>
      </c>
      <c r="E390" s="1" t="s">
        <v>809</v>
      </c>
      <c r="F390" s="1" t="s">
        <v>809</v>
      </c>
      <c r="G390" s="1" t="s">
        <v>809</v>
      </c>
      <c r="H390" s="1" t="s">
        <v>809</v>
      </c>
      <c r="I390" s="1" t="s">
        <v>809</v>
      </c>
      <c r="J390" s="1" t="s">
        <v>809</v>
      </c>
      <c r="K390" s="1">
        <v>1.0</v>
      </c>
      <c r="L390" s="1">
        <v>60000.0</v>
      </c>
    </row>
    <row r="391">
      <c r="A391" s="1">
        <v>143.0</v>
      </c>
      <c r="B391" s="1" t="s">
        <v>806</v>
      </c>
      <c r="C391" s="1" t="s">
        <v>807</v>
      </c>
      <c r="D391" s="1" t="s">
        <v>913</v>
      </c>
      <c r="E391" s="1">
        <v>-0.5</v>
      </c>
      <c r="F391" s="1">
        <v>-0.5</v>
      </c>
      <c r="G391" s="1">
        <v>110.0</v>
      </c>
      <c r="H391" s="1" t="s">
        <v>809</v>
      </c>
      <c r="I391" s="1" t="s">
        <v>809</v>
      </c>
      <c r="J391" s="1" t="s">
        <v>809</v>
      </c>
      <c r="K391" s="1">
        <v>1.0</v>
      </c>
      <c r="L391" s="1">
        <v>125800.0</v>
      </c>
    </row>
    <row r="392">
      <c r="A392" s="1">
        <v>143.0</v>
      </c>
      <c r="B392" s="1" t="s">
        <v>806</v>
      </c>
      <c r="C392" s="1" t="s">
        <v>810</v>
      </c>
      <c r="D392" s="1" t="s">
        <v>913</v>
      </c>
      <c r="E392" s="1">
        <v>-0.5</v>
      </c>
      <c r="F392" s="1">
        <v>-0.5</v>
      </c>
      <c r="G392" s="1">
        <v>80.0</v>
      </c>
      <c r="H392" s="1" t="s">
        <v>809</v>
      </c>
      <c r="I392" s="1" t="s">
        <v>809</v>
      </c>
      <c r="J392" s="1" t="s">
        <v>809</v>
      </c>
      <c r="K392" s="1">
        <v>1.0</v>
      </c>
      <c r="L392" s="1">
        <v>125800.0</v>
      </c>
    </row>
    <row r="393">
      <c r="A393" s="1">
        <v>143.0</v>
      </c>
      <c r="B393" s="1" t="s">
        <v>806</v>
      </c>
      <c r="C393" s="1" t="s">
        <v>809</v>
      </c>
      <c r="D393" s="1" t="s">
        <v>914</v>
      </c>
      <c r="E393" s="1" t="s">
        <v>809</v>
      </c>
      <c r="F393" s="1" t="s">
        <v>809</v>
      </c>
      <c r="G393" s="1" t="s">
        <v>809</v>
      </c>
      <c r="H393" s="1" t="s">
        <v>809</v>
      </c>
      <c r="I393" s="1" t="s">
        <v>809</v>
      </c>
      <c r="J393" s="1" t="s">
        <v>809</v>
      </c>
      <c r="K393" s="1">
        <v>1.0</v>
      </c>
      <c r="L393" s="1">
        <v>158400.0</v>
      </c>
    </row>
    <row r="394">
      <c r="A394" s="1">
        <v>144.0</v>
      </c>
      <c r="B394" s="1" t="s">
        <v>806</v>
      </c>
      <c r="C394" s="1" t="s">
        <v>807</v>
      </c>
      <c r="D394" s="1" t="s">
        <v>836</v>
      </c>
      <c r="E394" s="1">
        <v>-2.25</v>
      </c>
      <c r="F394" s="1">
        <v>-0.75</v>
      </c>
      <c r="G394" s="1">
        <v>0.0</v>
      </c>
      <c r="H394" s="1" t="s">
        <v>809</v>
      </c>
      <c r="I394" s="1" t="s">
        <v>809</v>
      </c>
      <c r="J394" s="1" t="s">
        <v>809</v>
      </c>
      <c r="K394" s="1">
        <v>1.0</v>
      </c>
      <c r="L394" s="1">
        <v>60000.0</v>
      </c>
    </row>
    <row r="395">
      <c r="A395" s="1">
        <v>144.0</v>
      </c>
      <c r="B395" s="1" t="s">
        <v>806</v>
      </c>
      <c r="C395" s="1" t="s">
        <v>810</v>
      </c>
      <c r="D395" s="1" t="s">
        <v>836</v>
      </c>
      <c r="E395" s="1">
        <v>-1.75</v>
      </c>
      <c r="F395" s="1">
        <v>-1.75</v>
      </c>
      <c r="G395" s="1">
        <v>0.0</v>
      </c>
      <c r="H395" s="1" t="s">
        <v>809</v>
      </c>
      <c r="I395" s="1" t="s">
        <v>809</v>
      </c>
      <c r="J395" s="1" t="s">
        <v>809</v>
      </c>
      <c r="K395" s="1">
        <v>1.0</v>
      </c>
      <c r="L395" s="1">
        <v>60000.0</v>
      </c>
    </row>
    <row r="396">
      <c r="A396" s="1">
        <v>144.0</v>
      </c>
      <c r="B396" s="1" t="s">
        <v>806</v>
      </c>
      <c r="C396" s="1" t="s">
        <v>809</v>
      </c>
      <c r="D396" s="1" t="s">
        <v>915</v>
      </c>
      <c r="E396" s="1" t="s">
        <v>809</v>
      </c>
      <c r="F396" s="1" t="s">
        <v>809</v>
      </c>
      <c r="G396" s="1" t="s">
        <v>809</v>
      </c>
      <c r="H396" s="1" t="s">
        <v>809</v>
      </c>
      <c r="I396" s="1" t="s">
        <v>809</v>
      </c>
      <c r="J396" s="1" t="s">
        <v>809</v>
      </c>
      <c r="K396" s="1">
        <v>1.0</v>
      </c>
      <c r="L396" s="1">
        <v>100000.0</v>
      </c>
    </row>
    <row r="397">
      <c r="A397" s="1">
        <v>145.0</v>
      </c>
      <c r="B397" s="1" t="s">
        <v>806</v>
      </c>
      <c r="C397" s="1" t="s">
        <v>807</v>
      </c>
      <c r="D397" s="1" t="s">
        <v>836</v>
      </c>
      <c r="E397" s="1">
        <v>0.25</v>
      </c>
      <c r="F397" s="1">
        <v>-1.5</v>
      </c>
      <c r="G397" s="1">
        <v>0.0</v>
      </c>
      <c r="H397" s="1" t="s">
        <v>809</v>
      </c>
      <c r="I397" s="1" t="s">
        <v>809</v>
      </c>
      <c r="J397" s="1" t="s">
        <v>809</v>
      </c>
      <c r="K397" s="1">
        <v>1.0</v>
      </c>
      <c r="L397" s="1">
        <v>60000.0</v>
      </c>
    </row>
    <row r="398">
      <c r="A398" s="1">
        <v>145.0</v>
      </c>
      <c r="B398" s="1" t="s">
        <v>806</v>
      </c>
      <c r="C398" s="1" t="s">
        <v>810</v>
      </c>
      <c r="D398" s="1" t="s">
        <v>836</v>
      </c>
      <c r="E398" s="1">
        <v>3.5</v>
      </c>
      <c r="F398" s="1">
        <v>-5.0</v>
      </c>
      <c r="G398" s="1">
        <v>10.0</v>
      </c>
      <c r="H398" s="1" t="s">
        <v>809</v>
      </c>
      <c r="I398" s="1" t="s">
        <v>809</v>
      </c>
      <c r="J398" s="1" t="s">
        <v>809</v>
      </c>
      <c r="K398" s="1">
        <v>1.0</v>
      </c>
      <c r="L398" s="1">
        <v>60000.0</v>
      </c>
    </row>
    <row r="399">
      <c r="A399" s="1">
        <v>145.0</v>
      </c>
      <c r="B399" s="1" t="s">
        <v>806</v>
      </c>
      <c r="C399" s="1" t="s">
        <v>809</v>
      </c>
      <c r="D399" s="1" t="s">
        <v>915</v>
      </c>
      <c r="E399" s="1" t="s">
        <v>809</v>
      </c>
      <c r="F399" s="1" t="s">
        <v>809</v>
      </c>
      <c r="G399" s="1" t="s">
        <v>809</v>
      </c>
      <c r="H399" s="1" t="s">
        <v>809</v>
      </c>
      <c r="I399" s="1" t="s">
        <v>809</v>
      </c>
      <c r="J399" s="1" t="s">
        <v>809</v>
      </c>
      <c r="K399" s="1">
        <v>1.0</v>
      </c>
      <c r="L399" s="1">
        <v>100000.0</v>
      </c>
    </row>
    <row r="400">
      <c r="A400" s="1">
        <v>146.0</v>
      </c>
      <c r="B400" s="1" t="s">
        <v>806</v>
      </c>
      <c r="C400" s="1" t="s">
        <v>807</v>
      </c>
      <c r="D400" s="1" t="s">
        <v>836</v>
      </c>
      <c r="E400" s="1">
        <v>-4.0</v>
      </c>
      <c r="F400" s="1">
        <v>-1.0</v>
      </c>
      <c r="G400" s="1">
        <v>60.0</v>
      </c>
      <c r="H400" s="1" t="s">
        <v>809</v>
      </c>
      <c r="I400" s="1" t="s">
        <v>809</v>
      </c>
      <c r="J400" s="1" t="s">
        <v>809</v>
      </c>
      <c r="K400" s="1">
        <v>1.0</v>
      </c>
      <c r="L400" s="1">
        <v>60000.0</v>
      </c>
    </row>
    <row r="401">
      <c r="A401" s="1">
        <v>146.0</v>
      </c>
      <c r="B401" s="1" t="s">
        <v>806</v>
      </c>
      <c r="C401" s="1" t="s">
        <v>810</v>
      </c>
      <c r="D401" s="1" t="s">
        <v>836</v>
      </c>
      <c r="E401" s="1">
        <v>-1.5</v>
      </c>
      <c r="F401" s="1">
        <v>-0.5</v>
      </c>
      <c r="G401" s="1">
        <v>20.0</v>
      </c>
      <c r="H401" s="1" t="s">
        <v>809</v>
      </c>
      <c r="I401" s="1" t="s">
        <v>809</v>
      </c>
      <c r="J401" s="1" t="s">
        <v>809</v>
      </c>
      <c r="K401" s="1">
        <v>1.0</v>
      </c>
      <c r="L401" s="1">
        <v>60000.0</v>
      </c>
    </row>
    <row r="402">
      <c r="A402" s="1">
        <v>146.0</v>
      </c>
      <c r="B402" s="1" t="s">
        <v>806</v>
      </c>
      <c r="C402" s="1" t="s">
        <v>809</v>
      </c>
      <c r="D402" s="1" t="s">
        <v>915</v>
      </c>
      <c r="E402" s="1" t="s">
        <v>809</v>
      </c>
      <c r="F402" s="1" t="s">
        <v>809</v>
      </c>
      <c r="G402" s="1" t="s">
        <v>809</v>
      </c>
      <c r="H402" s="1" t="s">
        <v>809</v>
      </c>
      <c r="I402" s="1" t="s">
        <v>809</v>
      </c>
      <c r="J402" s="1" t="s">
        <v>809</v>
      </c>
      <c r="K402" s="1">
        <v>1.0</v>
      </c>
      <c r="L402" s="1">
        <v>100000.0</v>
      </c>
    </row>
    <row r="403">
      <c r="A403" s="1">
        <v>147.0</v>
      </c>
      <c r="B403" s="1" t="s">
        <v>806</v>
      </c>
      <c r="C403" s="1" t="s">
        <v>807</v>
      </c>
      <c r="D403" s="1" t="s">
        <v>836</v>
      </c>
      <c r="E403" s="1">
        <v>-4.25</v>
      </c>
      <c r="F403" s="1">
        <v>0.0</v>
      </c>
      <c r="G403" s="1" t="s">
        <v>809</v>
      </c>
      <c r="H403" s="1" t="s">
        <v>809</v>
      </c>
      <c r="I403" s="1" t="s">
        <v>809</v>
      </c>
      <c r="J403" s="1" t="s">
        <v>809</v>
      </c>
      <c r="K403" s="1">
        <v>1.0</v>
      </c>
      <c r="L403" s="1">
        <v>60000.0</v>
      </c>
    </row>
    <row r="404">
      <c r="A404" s="1">
        <v>147.0</v>
      </c>
      <c r="B404" s="1" t="s">
        <v>806</v>
      </c>
      <c r="C404" s="1" t="s">
        <v>810</v>
      </c>
      <c r="D404" s="1" t="s">
        <v>836</v>
      </c>
      <c r="E404" s="1">
        <v>-3.75</v>
      </c>
      <c r="F404" s="1">
        <v>0.0</v>
      </c>
      <c r="G404" s="1" t="s">
        <v>809</v>
      </c>
      <c r="H404" s="1" t="s">
        <v>809</v>
      </c>
      <c r="I404" s="1" t="s">
        <v>809</v>
      </c>
      <c r="J404" s="1" t="s">
        <v>809</v>
      </c>
      <c r="K404" s="1">
        <v>1.0</v>
      </c>
      <c r="L404" s="1">
        <v>60000.0</v>
      </c>
    </row>
    <row r="405">
      <c r="A405" s="1">
        <v>147.0</v>
      </c>
      <c r="B405" s="1" t="s">
        <v>806</v>
      </c>
      <c r="C405" s="1" t="s">
        <v>809</v>
      </c>
      <c r="D405" s="1" t="s">
        <v>915</v>
      </c>
      <c r="E405" s="1" t="s">
        <v>809</v>
      </c>
      <c r="F405" s="1" t="s">
        <v>809</v>
      </c>
      <c r="G405" s="1" t="s">
        <v>809</v>
      </c>
      <c r="H405" s="1" t="s">
        <v>809</v>
      </c>
      <c r="I405" s="1" t="s">
        <v>809</v>
      </c>
      <c r="J405" s="1" t="s">
        <v>809</v>
      </c>
      <c r="K405" s="1">
        <v>1.0</v>
      </c>
      <c r="L405" s="1">
        <v>100000.0</v>
      </c>
    </row>
    <row r="406">
      <c r="A406" s="1">
        <v>148.0</v>
      </c>
      <c r="B406" s="1" t="s">
        <v>806</v>
      </c>
      <c r="C406" s="1" t="s">
        <v>807</v>
      </c>
      <c r="D406" s="1" t="s">
        <v>841</v>
      </c>
      <c r="E406" s="1">
        <v>0.5</v>
      </c>
      <c r="F406" s="1">
        <v>-2.5</v>
      </c>
      <c r="G406" s="1">
        <v>175.0</v>
      </c>
      <c r="H406" s="1" t="s">
        <v>809</v>
      </c>
      <c r="I406" s="1" t="s">
        <v>809</v>
      </c>
      <c r="J406" s="1" t="s">
        <v>809</v>
      </c>
      <c r="K406" s="1">
        <v>1.0</v>
      </c>
      <c r="L406" s="1">
        <v>0.0</v>
      </c>
    </row>
    <row r="407">
      <c r="A407" s="1">
        <v>148.0</v>
      </c>
      <c r="B407" s="1" t="s">
        <v>806</v>
      </c>
      <c r="C407" s="1" t="s">
        <v>810</v>
      </c>
      <c r="D407" s="1" t="s">
        <v>841</v>
      </c>
      <c r="E407" s="1">
        <v>0.0</v>
      </c>
      <c r="F407" s="1">
        <v>-1.0</v>
      </c>
      <c r="G407" s="1">
        <v>10.0</v>
      </c>
      <c r="H407" s="1" t="s">
        <v>809</v>
      </c>
      <c r="I407" s="1" t="s">
        <v>809</v>
      </c>
      <c r="J407" s="1" t="s">
        <v>809</v>
      </c>
      <c r="K407" s="1">
        <v>1.0</v>
      </c>
      <c r="L407" s="1">
        <v>0.0</v>
      </c>
    </row>
    <row r="408">
      <c r="A408" s="1">
        <v>148.0</v>
      </c>
      <c r="B408" s="1" t="s">
        <v>806</v>
      </c>
      <c r="C408" s="1" t="s">
        <v>809</v>
      </c>
      <c r="D408" s="1" t="s">
        <v>912</v>
      </c>
      <c r="E408" s="1" t="s">
        <v>809</v>
      </c>
      <c r="F408" s="1" t="s">
        <v>809</v>
      </c>
      <c r="G408" s="1" t="s">
        <v>809</v>
      </c>
      <c r="H408" s="1" t="s">
        <v>809</v>
      </c>
      <c r="I408" s="1" t="s">
        <v>809</v>
      </c>
      <c r="J408" s="1" t="s">
        <v>809</v>
      </c>
      <c r="K408" s="1">
        <v>1.0</v>
      </c>
      <c r="L408" s="1">
        <v>0.0</v>
      </c>
    </row>
    <row r="409">
      <c r="A409" s="1">
        <v>149.0</v>
      </c>
      <c r="B409" s="1" t="s">
        <v>806</v>
      </c>
      <c r="C409" s="1" t="s">
        <v>807</v>
      </c>
      <c r="D409" s="1" t="s">
        <v>815</v>
      </c>
      <c r="E409" s="1">
        <v>0.75</v>
      </c>
      <c r="F409" s="1">
        <v>-2.25</v>
      </c>
      <c r="G409" s="1">
        <v>170.0</v>
      </c>
      <c r="H409" s="1">
        <v>2.25</v>
      </c>
      <c r="I409" s="1" t="s">
        <v>809</v>
      </c>
      <c r="J409" s="1" t="s">
        <v>809</v>
      </c>
      <c r="K409" s="1">
        <v>1.0</v>
      </c>
      <c r="L409" s="1">
        <v>450000.0</v>
      </c>
    </row>
    <row r="410">
      <c r="A410" s="1">
        <v>149.0</v>
      </c>
      <c r="B410" s="1" t="s">
        <v>806</v>
      </c>
      <c r="C410" s="1" t="s">
        <v>810</v>
      </c>
      <c r="D410" s="1" t="s">
        <v>815</v>
      </c>
      <c r="E410" s="1">
        <v>0.75</v>
      </c>
      <c r="F410" s="1">
        <v>-2.25</v>
      </c>
      <c r="G410" s="1">
        <v>0.0</v>
      </c>
      <c r="H410" s="1">
        <v>2.25</v>
      </c>
      <c r="I410" s="1" t="s">
        <v>809</v>
      </c>
      <c r="J410" s="1" t="s">
        <v>809</v>
      </c>
      <c r="K410" s="1">
        <v>1.0</v>
      </c>
      <c r="L410" s="1">
        <v>450000.0</v>
      </c>
    </row>
    <row r="411">
      <c r="A411" s="1">
        <v>149.0</v>
      </c>
      <c r="B411" s="1" t="s">
        <v>806</v>
      </c>
      <c r="C411" s="1" t="s">
        <v>809</v>
      </c>
      <c r="D411" s="1" t="s">
        <v>916</v>
      </c>
      <c r="E411" s="1" t="s">
        <v>809</v>
      </c>
      <c r="F411" s="1" t="s">
        <v>809</v>
      </c>
      <c r="G411" s="1" t="s">
        <v>809</v>
      </c>
      <c r="H411" s="1" t="s">
        <v>809</v>
      </c>
      <c r="I411" s="1" t="s">
        <v>809</v>
      </c>
      <c r="J411" s="1" t="s">
        <v>809</v>
      </c>
      <c r="K411" s="1">
        <v>1.0</v>
      </c>
      <c r="L411" s="1">
        <v>118000.0</v>
      </c>
    </row>
    <row r="412">
      <c r="A412" s="1">
        <v>150.0</v>
      </c>
      <c r="B412" s="1" t="s">
        <v>806</v>
      </c>
      <c r="C412" s="1" t="s">
        <v>807</v>
      </c>
      <c r="D412" s="1" t="s">
        <v>817</v>
      </c>
      <c r="E412" s="1">
        <v>0.75</v>
      </c>
      <c r="F412" s="1">
        <v>-2.25</v>
      </c>
      <c r="G412" s="1">
        <v>170.0</v>
      </c>
      <c r="H412" s="1">
        <v>2.25</v>
      </c>
      <c r="I412" s="1" t="s">
        <v>809</v>
      </c>
      <c r="J412" s="1" t="s">
        <v>809</v>
      </c>
      <c r="K412" s="1">
        <v>1.0</v>
      </c>
      <c r="L412" s="1">
        <v>0.0</v>
      </c>
    </row>
    <row r="413">
      <c r="A413" s="1">
        <v>150.0</v>
      </c>
      <c r="B413" s="1" t="s">
        <v>806</v>
      </c>
      <c r="C413" s="1" t="s">
        <v>810</v>
      </c>
      <c r="D413" s="1" t="s">
        <v>817</v>
      </c>
      <c r="E413" s="1">
        <v>0.75</v>
      </c>
      <c r="F413" s="1">
        <v>-2.25</v>
      </c>
      <c r="G413" s="1">
        <v>0.0</v>
      </c>
      <c r="H413" s="1">
        <v>2.25</v>
      </c>
      <c r="I413" s="1" t="s">
        <v>809</v>
      </c>
      <c r="J413" s="1" t="s">
        <v>809</v>
      </c>
      <c r="K413" s="1">
        <v>1.0</v>
      </c>
      <c r="L413" s="1">
        <v>0.0</v>
      </c>
    </row>
    <row r="414">
      <c r="A414" s="1">
        <v>151.0</v>
      </c>
      <c r="B414" s="1" t="s">
        <v>806</v>
      </c>
      <c r="C414" s="1" t="s">
        <v>807</v>
      </c>
      <c r="D414" s="1" t="s">
        <v>808</v>
      </c>
      <c r="E414" s="1">
        <v>0.75</v>
      </c>
      <c r="F414" s="1">
        <v>-2.25</v>
      </c>
      <c r="G414" s="1">
        <v>170.0</v>
      </c>
      <c r="H414" s="1">
        <v>2.25</v>
      </c>
      <c r="I414" s="1" t="s">
        <v>809</v>
      </c>
      <c r="J414" s="1" t="s">
        <v>809</v>
      </c>
      <c r="K414" s="1">
        <v>1.0</v>
      </c>
      <c r="L414" s="1">
        <v>0.0</v>
      </c>
    </row>
    <row r="415">
      <c r="A415" s="1">
        <v>151.0</v>
      </c>
      <c r="B415" s="1" t="s">
        <v>806</v>
      </c>
      <c r="C415" s="1" t="s">
        <v>810</v>
      </c>
      <c r="D415" s="1" t="s">
        <v>808</v>
      </c>
      <c r="E415" s="1">
        <v>0.75</v>
      </c>
      <c r="F415" s="1">
        <v>-2.25</v>
      </c>
      <c r="G415" s="1">
        <v>0.0</v>
      </c>
      <c r="H415" s="1">
        <v>2.25</v>
      </c>
      <c r="I415" s="1" t="s">
        <v>809</v>
      </c>
      <c r="J415" s="1" t="s">
        <v>809</v>
      </c>
      <c r="K415" s="1">
        <v>1.0</v>
      </c>
      <c r="L415" s="1">
        <v>0.0</v>
      </c>
    </row>
    <row r="416">
      <c r="A416" s="1">
        <v>152.0</v>
      </c>
      <c r="B416" s="1" t="s">
        <v>806</v>
      </c>
      <c r="C416" s="1" t="s">
        <v>807</v>
      </c>
      <c r="D416" s="1" t="s">
        <v>815</v>
      </c>
      <c r="E416" s="1">
        <v>2.75</v>
      </c>
      <c r="F416" s="1">
        <v>-0.25</v>
      </c>
      <c r="G416" s="1">
        <v>90.0</v>
      </c>
      <c r="H416" s="1" t="s">
        <v>809</v>
      </c>
      <c r="I416" s="1" t="s">
        <v>809</v>
      </c>
      <c r="J416" s="1" t="s">
        <v>809</v>
      </c>
      <c r="K416" s="1">
        <v>1.0</v>
      </c>
      <c r="L416" s="1">
        <v>450000.0</v>
      </c>
    </row>
    <row r="417">
      <c r="A417" s="1">
        <v>152.0</v>
      </c>
      <c r="B417" s="1" t="s">
        <v>806</v>
      </c>
      <c r="C417" s="1" t="s">
        <v>810</v>
      </c>
      <c r="D417" s="1" t="s">
        <v>815</v>
      </c>
      <c r="E417" s="1">
        <v>2.0</v>
      </c>
      <c r="F417" s="1">
        <v>-0.25</v>
      </c>
      <c r="G417" s="1">
        <v>90.0</v>
      </c>
      <c r="H417" s="1" t="s">
        <v>809</v>
      </c>
      <c r="I417" s="1" t="s">
        <v>809</v>
      </c>
      <c r="J417" s="1" t="s">
        <v>809</v>
      </c>
      <c r="K417" s="1">
        <v>1.0</v>
      </c>
      <c r="L417" s="1">
        <v>450000.0</v>
      </c>
    </row>
    <row r="418">
      <c r="A418" s="1">
        <v>152.0</v>
      </c>
      <c r="B418" s="1" t="s">
        <v>806</v>
      </c>
      <c r="C418" s="1" t="s">
        <v>809</v>
      </c>
      <c r="D418" s="1" t="s">
        <v>915</v>
      </c>
      <c r="E418" s="1" t="s">
        <v>809</v>
      </c>
      <c r="F418" s="1" t="s">
        <v>809</v>
      </c>
      <c r="G418" s="1" t="s">
        <v>809</v>
      </c>
      <c r="H418" s="1" t="s">
        <v>809</v>
      </c>
      <c r="I418" s="1" t="s">
        <v>809</v>
      </c>
      <c r="J418" s="1" t="s">
        <v>809</v>
      </c>
      <c r="K418" s="1">
        <v>1.0</v>
      </c>
      <c r="L418" s="1">
        <v>100000.0</v>
      </c>
    </row>
    <row r="419">
      <c r="A419" s="1">
        <v>153.0</v>
      </c>
      <c r="B419" s="1" t="s">
        <v>806</v>
      </c>
      <c r="C419" s="1" t="s">
        <v>807</v>
      </c>
      <c r="D419" s="1" t="s">
        <v>817</v>
      </c>
      <c r="E419" s="1">
        <v>0.75</v>
      </c>
      <c r="F419" s="1">
        <v>-2.25</v>
      </c>
      <c r="G419" s="1">
        <v>170.0</v>
      </c>
      <c r="H419" s="1">
        <v>2.25</v>
      </c>
      <c r="I419" s="1" t="s">
        <v>809</v>
      </c>
      <c r="J419" s="1" t="s">
        <v>809</v>
      </c>
      <c r="K419" s="1">
        <v>1.0</v>
      </c>
      <c r="L419" s="1">
        <v>0.0</v>
      </c>
    </row>
    <row r="420">
      <c r="A420" s="1">
        <v>153.0</v>
      </c>
      <c r="B420" s="1" t="s">
        <v>806</v>
      </c>
      <c r="C420" s="1" t="s">
        <v>810</v>
      </c>
      <c r="D420" s="1" t="s">
        <v>817</v>
      </c>
      <c r="E420" s="1">
        <v>0.75</v>
      </c>
      <c r="F420" s="1">
        <v>-2.25</v>
      </c>
      <c r="G420" s="1">
        <v>0.0</v>
      </c>
      <c r="H420" s="1">
        <v>2.25</v>
      </c>
      <c r="I420" s="1" t="s">
        <v>809</v>
      </c>
      <c r="J420" s="1" t="s">
        <v>809</v>
      </c>
      <c r="K420" s="1">
        <v>1.0</v>
      </c>
      <c r="L420" s="1">
        <v>0.0</v>
      </c>
    </row>
    <row r="421">
      <c r="A421" s="1">
        <v>153.0</v>
      </c>
      <c r="B421" s="1" t="s">
        <v>806</v>
      </c>
      <c r="C421" s="1" t="s">
        <v>809</v>
      </c>
      <c r="D421" s="1" t="s">
        <v>912</v>
      </c>
      <c r="E421" s="1" t="s">
        <v>809</v>
      </c>
      <c r="F421" s="1" t="s">
        <v>809</v>
      </c>
      <c r="G421" s="1" t="s">
        <v>809</v>
      </c>
      <c r="H421" s="1" t="s">
        <v>809</v>
      </c>
      <c r="I421" s="1" t="s">
        <v>809</v>
      </c>
      <c r="J421" s="1" t="s">
        <v>809</v>
      </c>
      <c r="K421" s="1">
        <v>1.0</v>
      </c>
      <c r="L421" s="1">
        <v>0.0</v>
      </c>
    </row>
    <row r="422">
      <c r="A422" s="1">
        <v>154.0</v>
      </c>
      <c r="B422" s="1" t="s">
        <v>806</v>
      </c>
      <c r="C422" s="1" t="s">
        <v>807</v>
      </c>
      <c r="D422" s="1" t="s">
        <v>836</v>
      </c>
      <c r="E422" s="1">
        <v>6.0</v>
      </c>
      <c r="F422" s="1">
        <v>0.0</v>
      </c>
      <c r="G422" s="1" t="s">
        <v>809</v>
      </c>
      <c r="H422" s="1" t="s">
        <v>809</v>
      </c>
      <c r="I422" s="1" t="s">
        <v>809</v>
      </c>
      <c r="J422" s="1" t="s">
        <v>809</v>
      </c>
      <c r="K422" s="1">
        <v>1.0</v>
      </c>
      <c r="L422" s="1">
        <v>140000.0</v>
      </c>
    </row>
    <row r="423">
      <c r="A423" s="1">
        <v>154.0</v>
      </c>
      <c r="B423" s="1" t="s">
        <v>806</v>
      </c>
      <c r="C423" s="1" t="s">
        <v>810</v>
      </c>
      <c r="D423" s="1" t="s">
        <v>836</v>
      </c>
      <c r="E423" s="1">
        <v>7.0</v>
      </c>
      <c r="F423" s="1">
        <v>0.0</v>
      </c>
      <c r="G423" s="1" t="s">
        <v>809</v>
      </c>
      <c r="H423" s="1" t="s">
        <v>809</v>
      </c>
      <c r="I423" s="1" t="s">
        <v>809</v>
      </c>
      <c r="J423" s="1" t="s">
        <v>809</v>
      </c>
      <c r="K423" s="1">
        <v>1.0</v>
      </c>
      <c r="L423" s="1">
        <v>0.0</v>
      </c>
    </row>
    <row r="424">
      <c r="A424" s="1">
        <v>154.0</v>
      </c>
      <c r="B424" s="1" t="s">
        <v>806</v>
      </c>
      <c r="C424" s="1" t="s">
        <v>809</v>
      </c>
      <c r="D424" s="1" t="s">
        <v>814</v>
      </c>
      <c r="E424" s="1" t="s">
        <v>809</v>
      </c>
      <c r="F424" s="1" t="s">
        <v>809</v>
      </c>
      <c r="G424" s="1" t="s">
        <v>809</v>
      </c>
      <c r="H424" s="1" t="s">
        <v>809</v>
      </c>
      <c r="I424" s="1" t="s">
        <v>809</v>
      </c>
      <c r="J424" s="1" t="s">
        <v>809</v>
      </c>
      <c r="K424" s="1">
        <v>1.0</v>
      </c>
      <c r="L424" s="1">
        <v>70000.0</v>
      </c>
    </row>
    <row r="425">
      <c r="A425" s="1">
        <v>155.0</v>
      </c>
      <c r="B425" s="1" t="s">
        <v>806</v>
      </c>
      <c r="C425" s="1" t="s">
        <v>807</v>
      </c>
      <c r="D425" s="1" t="s">
        <v>836</v>
      </c>
      <c r="E425" s="1">
        <v>6.0</v>
      </c>
      <c r="F425" s="1">
        <v>0.0</v>
      </c>
      <c r="G425" s="1" t="s">
        <v>809</v>
      </c>
      <c r="H425" s="1" t="s">
        <v>809</v>
      </c>
      <c r="I425" s="1" t="s">
        <v>809</v>
      </c>
      <c r="J425" s="1" t="s">
        <v>809</v>
      </c>
      <c r="K425" s="1">
        <v>1.0</v>
      </c>
      <c r="L425" s="1">
        <v>140000.0</v>
      </c>
    </row>
    <row r="426">
      <c r="A426" s="1">
        <v>155.0</v>
      </c>
      <c r="B426" s="1" t="s">
        <v>806</v>
      </c>
      <c r="C426" s="1" t="s">
        <v>810</v>
      </c>
      <c r="D426" s="1" t="s">
        <v>836</v>
      </c>
      <c r="E426" s="1">
        <v>7.0</v>
      </c>
      <c r="F426" s="1">
        <v>0.0</v>
      </c>
      <c r="G426" s="1" t="s">
        <v>809</v>
      </c>
      <c r="H426" s="1" t="s">
        <v>809</v>
      </c>
      <c r="I426" s="1" t="s">
        <v>809</v>
      </c>
      <c r="J426" s="1" t="s">
        <v>809</v>
      </c>
      <c r="K426" s="1">
        <v>1.0</v>
      </c>
      <c r="L426" s="1">
        <v>0.0</v>
      </c>
    </row>
    <row r="427">
      <c r="A427" s="1">
        <v>155.0</v>
      </c>
      <c r="B427" s="1" t="s">
        <v>806</v>
      </c>
      <c r="C427" s="1" t="s">
        <v>809</v>
      </c>
      <c r="D427" s="1" t="s">
        <v>814</v>
      </c>
      <c r="E427" s="1" t="s">
        <v>809</v>
      </c>
      <c r="F427" s="1" t="s">
        <v>809</v>
      </c>
      <c r="G427" s="1" t="s">
        <v>809</v>
      </c>
      <c r="H427" s="1" t="s">
        <v>809</v>
      </c>
      <c r="I427" s="1" t="s">
        <v>809</v>
      </c>
      <c r="J427" s="1" t="s">
        <v>809</v>
      </c>
      <c r="K427" s="1">
        <v>1.0</v>
      </c>
      <c r="L427" s="1">
        <v>70000.0</v>
      </c>
    </row>
    <row r="428">
      <c r="A428" s="1">
        <v>156.0</v>
      </c>
      <c r="B428" s="1" t="s">
        <v>806</v>
      </c>
      <c r="C428" s="1" t="s">
        <v>807</v>
      </c>
      <c r="D428" s="1" t="s">
        <v>836</v>
      </c>
      <c r="E428" s="1">
        <v>-1.0</v>
      </c>
      <c r="F428" s="1">
        <v>-0.5</v>
      </c>
      <c r="G428" s="1">
        <v>210.0</v>
      </c>
      <c r="H428" s="1" t="s">
        <v>809</v>
      </c>
      <c r="I428" s="1" t="s">
        <v>809</v>
      </c>
      <c r="J428" s="1" t="s">
        <v>809</v>
      </c>
      <c r="K428" s="1">
        <v>1.0</v>
      </c>
      <c r="L428" s="1">
        <v>45500.0</v>
      </c>
    </row>
    <row r="429">
      <c r="A429" s="1">
        <v>156.0</v>
      </c>
      <c r="B429" s="1" t="s">
        <v>806</v>
      </c>
      <c r="C429" s="1" t="s">
        <v>810</v>
      </c>
      <c r="D429" s="1" t="s">
        <v>836</v>
      </c>
      <c r="E429" s="1">
        <v>-0.25</v>
      </c>
      <c r="F429" s="1">
        <v>-0.25</v>
      </c>
      <c r="G429" s="1">
        <v>160.0</v>
      </c>
      <c r="H429" s="1" t="s">
        <v>809</v>
      </c>
      <c r="I429" s="1" t="s">
        <v>809</v>
      </c>
      <c r="J429" s="1" t="s">
        <v>809</v>
      </c>
      <c r="K429" s="1">
        <v>1.0</v>
      </c>
      <c r="L429" s="1">
        <v>45500.0</v>
      </c>
    </row>
    <row r="430">
      <c r="A430" s="1">
        <v>156.0</v>
      </c>
      <c r="B430" s="1" t="s">
        <v>806</v>
      </c>
      <c r="C430" s="1" t="s">
        <v>809</v>
      </c>
      <c r="D430" s="1" t="s">
        <v>900</v>
      </c>
      <c r="E430" s="1" t="s">
        <v>809</v>
      </c>
      <c r="F430" s="1" t="s">
        <v>809</v>
      </c>
      <c r="G430" s="1" t="s">
        <v>809</v>
      </c>
      <c r="H430" s="1" t="s">
        <v>809</v>
      </c>
      <c r="I430" s="1" t="s">
        <v>809</v>
      </c>
      <c r="J430" s="1" t="s">
        <v>809</v>
      </c>
      <c r="K430" s="1">
        <v>1.0</v>
      </c>
      <c r="L430" s="1">
        <v>136800.0</v>
      </c>
    </row>
    <row r="431">
      <c r="A431" s="1">
        <v>157.0</v>
      </c>
      <c r="B431" s="1" t="s">
        <v>806</v>
      </c>
      <c r="C431" s="1" t="s">
        <v>807</v>
      </c>
      <c r="D431" s="1" t="s">
        <v>917</v>
      </c>
      <c r="E431" s="1">
        <v>0.0</v>
      </c>
      <c r="F431" s="1">
        <v>0.0</v>
      </c>
      <c r="G431" s="1" t="s">
        <v>809</v>
      </c>
      <c r="H431" s="1" t="s">
        <v>809</v>
      </c>
      <c r="I431" s="1" t="s">
        <v>809</v>
      </c>
      <c r="J431" s="1" t="s">
        <v>809</v>
      </c>
      <c r="K431" s="1">
        <v>1.0</v>
      </c>
      <c r="L431" s="1">
        <v>152000.0</v>
      </c>
    </row>
    <row r="432">
      <c r="A432" s="1">
        <v>157.0</v>
      </c>
      <c r="B432" s="1" t="s">
        <v>806</v>
      </c>
      <c r="C432" s="1" t="s">
        <v>810</v>
      </c>
      <c r="D432" s="1" t="s">
        <v>917</v>
      </c>
      <c r="E432" s="1">
        <v>0.0</v>
      </c>
      <c r="F432" s="1">
        <v>0.0</v>
      </c>
      <c r="G432" s="1" t="s">
        <v>809</v>
      </c>
      <c r="H432" s="1" t="s">
        <v>809</v>
      </c>
      <c r="I432" s="1" t="s">
        <v>809</v>
      </c>
      <c r="J432" s="1" t="s">
        <v>809</v>
      </c>
      <c r="K432" s="1">
        <v>1.0</v>
      </c>
      <c r="L432" s="1">
        <v>0.0</v>
      </c>
    </row>
    <row r="433">
      <c r="A433" s="1">
        <v>157.0</v>
      </c>
      <c r="B433" s="1" t="s">
        <v>806</v>
      </c>
      <c r="C433" s="1" t="s">
        <v>809</v>
      </c>
      <c r="D433" s="1" t="s">
        <v>918</v>
      </c>
      <c r="E433" s="1" t="s">
        <v>809</v>
      </c>
      <c r="F433" s="1" t="s">
        <v>809</v>
      </c>
      <c r="G433" s="1" t="s">
        <v>809</v>
      </c>
      <c r="H433" s="1" t="s">
        <v>809</v>
      </c>
      <c r="I433" s="1" t="s">
        <v>809</v>
      </c>
      <c r="J433" s="1" t="s">
        <v>809</v>
      </c>
      <c r="K433" s="1">
        <v>1.0</v>
      </c>
      <c r="L433" s="1">
        <v>140000.0</v>
      </c>
    </row>
    <row r="434">
      <c r="A434" s="1">
        <v>158.0</v>
      </c>
      <c r="B434" s="1" t="s">
        <v>806</v>
      </c>
      <c r="C434" s="1" t="s">
        <v>807</v>
      </c>
      <c r="D434" s="1" t="s">
        <v>812</v>
      </c>
      <c r="E434" s="1">
        <v>0.0</v>
      </c>
      <c r="F434" s="1">
        <v>0.0</v>
      </c>
      <c r="G434" s="1" t="s">
        <v>809</v>
      </c>
      <c r="H434" s="1" t="s">
        <v>809</v>
      </c>
      <c r="I434" s="1" t="s">
        <v>809</v>
      </c>
      <c r="J434" s="1" t="s">
        <v>809</v>
      </c>
      <c r="K434" s="1">
        <v>1.0</v>
      </c>
      <c r="L434" s="1">
        <v>34000.0</v>
      </c>
    </row>
    <row r="435">
      <c r="A435" s="1">
        <v>158.0</v>
      </c>
      <c r="B435" s="1" t="s">
        <v>806</v>
      </c>
      <c r="C435" s="1" t="s">
        <v>810</v>
      </c>
      <c r="D435" s="1" t="s">
        <v>812</v>
      </c>
      <c r="E435" s="1">
        <v>0.0</v>
      </c>
      <c r="F435" s="1">
        <v>0.0</v>
      </c>
      <c r="G435" s="1" t="s">
        <v>809</v>
      </c>
      <c r="H435" s="1" t="s">
        <v>809</v>
      </c>
      <c r="I435" s="1" t="s">
        <v>809</v>
      </c>
      <c r="J435" s="1" t="s">
        <v>809</v>
      </c>
      <c r="K435" s="1">
        <v>1.0</v>
      </c>
      <c r="L435" s="1">
        <v>1.0</v>
      </c>
    </row>
    <row r="436">
      <c r="A436" s="1">
        <v>158.0</v>
      </c>
      <c r="B436" s="1" t="s">
        <v>806</v>
      </c>
      <c r="C436" s="1" t="s">
        <v>809</v>
      </c>
      <c r="D436" s="1" t="s">
        <v>910</v>
      </c>
      <c r="E436" s="1" t="s">
        <v>809</v>
      </c>
      <c r="F436" s="1" t="s">
        <v>809</v>
      </c>
      <c r="G436" s="1" t="s">
        <v>809</v>
      </c>
      <c r="H436" s="1" t="s">
        <v>809</v>
      </c>
      <c r="I436" s="1" t="s">
        <v>809</v>
      </c>
      <c r="J436" s="1" t="s">
        <v>809</v>
      </c>
      <c r="K436" s="1">
        <v>1.0</v>
      </c>
      <c r="L436" s="1">
        <v>60000.0</v>
      </c>
    </row>
    <row r="437">
      <c r="A437" s="1">
        <v>159.0</v>
      </c>
      <c r="B437" s="1" t="s">
        <v>806</v>
      </c>
      <c r="C437" s="1" t="s">
        <v>807</v>
      </c>
      <c r="D437" s="1" t="s">
        <v>812</v>
      </c>
      <c r="E437" s="1">
        <v>0.0</v>
      </c>
      <c r="F437" s="1">
        <v>0.0</v>
      </c>
      <c r="G437" s="1" t="s">
        <v>809</v>
      </c>
      <c r="H437" s="1" t="s">
        <v>809</v>
      </c>
      <c r="I437" s="1" t="s">
        <v>809</v>
      </c>
      <c r="J437" s="1" t="s">
        <v>809</v>
      </c>
      <c r="K437" s="1">
        <v>1.0</v>
      </c>
      <c r="L437" s="1">
        <v>34000.0</v>
      </c>
    </row>
    <row r="438">
      <c r="A438" s="1">
        <v>159.0</v>
      </c>
      <c r="B438" s="1" t="s">
        <v>806</v>
      </c>
      <c r="C438" s="1" t="s">
        <v>810</v>
      </c>
      <c r="D438" s="1" t="s">
        <v>812</v>
      </c>
      <c r="E438" s="1">
        <v>0.0</v>
      </c>
      <c r="F438" s="1">
        <v>0.0</v>
      </c>
      <c r="G438" s="1" t="s">
        <v>809</v>
      </c>
      <c r="H438" s="1" t="s">
        <v>809</v>
      </c>
      <c r="I438" s="1" t="s">
        <v>809</v>
      </c>
      <c r="J438" s="1" t="s">
        <v>809</v>
      </c>
      <c r="K438" s="1">
        <v>1.0</v>
      </c>
      <c r="L438" s="1">
        <v>1.0</v>
      </c>
    </row>
    <row r="439">
      <c r="A439" s="1">
        <v>159.0</v>
      </c>
      <c r="B439" s="1" t="s">
        <v>806</v>
      </c>
      <c r="C439" s="1" t="s">
        <v>809</v>
      </c>
      <c r="D439" s="1" t="s">
        <v>910</v>
      </c>
      <c r="E439" s="1" t="s">
        <v>809</v>
      </c>
      <c r="F439" s="1" t="s">
        <v>809</v>
      </c>
      <c r="G439" s="1" t="s">
        <v>809</v>
      </c>
      <c r="H439" s="1" t="s">
        <v>809</v>
      </c>
      <c r="I439" s="1" t="s">
        <v>809</v>
      </c>
      <c r="J439" s="1" t="s">
        <v>809</v>
      </c>
      <c r="K439" s="1">
        <v>1.0</v>
      </c>
      <c r="L439" s="1">
        <v>60000.0</v>
      </c>
    </row>
    <row r="440">
      <c r="A440" s="1">
        <v>160.0</v>
      </c>
      <c r="B440" s="1" t="s">
        <v>806</v>
      </c>
      <c r="C440" s="1" t="s">
        <v>807</v>
      </c>
      <c r="D440" s="1" t="s">
        <v>919</v>
      </c>
      <c r="E440" s="1">
        <v>0.0</v>
      </c>
      <c r="F440" s="1">
        <v>0.0</v>
      </c>
      <c r="G440" s="1" t="s">
        <v>809</v>
      </c>
      <c r="H440" s="1" t="s">
        <v>809</v>
      </c>
      <c r="I440" s="1" t="s">
        <v>809</v>
      </c>
      <c r="J440" s="1" t="s">
        <v>809</v>
      </c>
      <c r="K440" s="1">
        <v>1.0</v>
      </c>
      <c r="L440" s="1">
        <v>69000.0</v>
      </c>
    </row>
    <row r="441">
      <c r="A441" s="1">
        <v>160.0</v>
      </c>
      <c r="B441" s="1" t="s">
        <v>806</v>
      </c>
      <c r="C441" s="1" t="s">
        <v>810</v>
      </c>
      <c r="D441" s="1" t="s">
        <v>919</v>
      </c>
      <c r="E441" s="1">
        <v>0.0</v>
      </c>
      <c r="F441" s="1">
        <v>0.0</v>
      </c>
      <c r="G441" s="1" t="s">
        <v>809</v>
      </c>
      <c r="H441" s="1" t="s">
        <v>809</v>
      </c>
      <c r="I441" s="1" t="s">
        <v>809</v>
      </c>
      <c r="J441" s="1" t="s">
        <v>809</v>
      </c>
      <c r="K441" s="1">
        <v>1.0</v>
      </c>
      <c r="L441" s="1">
        <v>1.0</v>
      </c>
    </row>
    <row r="442">
      <c r="A442" s="1">
        <v>160.0</v>
      </c>
      <c r="B442" s="1" t="s">
        <v>806</v>
      </c>
      <c r="C442" s="1" t="s">
        <v>809</v>
      </c>
      <c r="D442" s="1" t="s">
        <v>915</v>
      </c>
      <c r="E442" s="1" t="s">
        <v>809</v>
      </c>
      <c r="F442" s="1" t="s">
        <v>809</v>
      </c>
      <c r="G442" s="1" t="s">
        <v>809</v>
      </c>
      <c r="H442" s="1" t="s">
        <v>809</v>
      </c>
      <c r="I442" s="1" t="s">
        <v>809</v>
      </c>
      <c r="J442" s="1" t="s">
        <v>809</v>
      </c>
      <c r="K442" s="1">
        <v>1.0</v>
      </c>
      <c r="L442" s="1">
        <v>100000.0</v>
      </c>
    </row>
    <row r="443">
      <c r="A443" s="1">
        <v>161.0</v>
      </c>
      <c r="B443" s="1" t="s">
        <v>806</v>
      </c>
      <c r="C443" s="1" t="s">
        <v>807</v>
      </c>
      <c r="D443" s="1" t="s">
        <v>865</v>
      </c>
      <c r="E443" s="1">
        <v>0.0</v>
      </c>
      <c r="F443" s="1">
        <v>0.0</v>
      </c>
      <c r="G443" s="1" t="s">
        <v>809</v>
      </c>
      <c r="H443" s="1" t="s">
        <v>809</v>
      </c>
      <c r="I443" s="1" t="s">
        <v>809</v>
      </c>
      <c r="J443" s="1" t="s">
        <v>809</v>
      </c>
      <c r="K443" s="1">
        <v>1.0</v>
      </c>
      <c r="L443" s="1">
        <v>40733.1</v>
      </c>
    </row>
    <row r="444">
      <c r="A444" s="1">
        <v>161.0</v>
      </c>
      <c r="B444" s="1" t="s">
        <v>806</v>
      </c>
      <c r="C444" s="1" t="s">
        <v>810</v>
      </c>
      <c r="D444" s="1" t="s">
        <v>865</v>
      </c>
      <c r="E444" s="1">
        <v>0.0</v>
      </c>
      <c r="F444" s="1">
        <v>0.0</v>
      </c>
      <c r="G444" s="1" t="s">
        <v>809</v>
      </c>
      <c r="H444" s="1" t="s">
        <v>809</v>
      </c>
      <c r="I444" s="1" t="s">
        <v>809</v>
      </c>
      <c r="J444" s="1" t="s">
        <v>809</v>
      </c>
      <c r="K444" s="1">
        <v>1.0</v>
      </c>
      <c r="L444" s="1">
        <v>40733.1</v>
      </c>
    </row>
    <row r="445">
      <c r="A445" s="1">
        <v>161.0</v>
      </c>
      <c r="B445" s="1" t="s">
        <v>806</v>
      </c>
      <c r="C445" s="1" t="s">
        <v>809</v>
      </c>
      <c r="D445" s="1" t="s">
        <v>814</v>
      </c>
      <c r="E445" s="1" t="s">
        <v>809</v>
      </c>
      <c r="F445" s="1" t="s">
        <v>809</v>
      </c>
      <c r="G445" s="1" t="s">
        <v>809</v>
      </c>
      <c r="H445" s="1" t="s">
        <v>809</v>
      </c>
      <c r="I445" s="1" t="s">
        <v>809</v>
      </c>
      <c r="J445" s="1" t="s">
        <v>809</v>
      </c>
      <c r="K445" s="1">
        <v>1.0</v>
      </c>
      <c r="L445" s="1">
        <v>79000.0</v>
      </c>
    </row>
    <row r="446">
      <c r="A446" s="1">
        <v>162.0</v>
      </c>
      <c r="B446" s="1" t="s">
        <v>806</v>
      </c>
      <c r="C446" s="1" t="s">
        <v>807</v>
      </c>
      <c r="D446" s="1" t="s">
        <v>812</v>
      </c>
      <c r="E446" s="1">
        <v>0.0</v>
      </c>
      <c r="F446" s="1">
        <v>0.0</v>
      </c>
      <c r="G446" s="1" t="s">
        <v>809</v>
      </c>
      <c r="H446" s="1" t="s">
        <v>809</v>
      </c>
      <c r="I446" s="1" t="s">
        <v>809</v>
      </c>
      <c r="J446" s="1" t="s">
        <v>809</v>
      </c>
      <c r="K446" s="1">
        <v>1.0</v>
      </c>
      <c r="L446" s="1">
        <v>10000.0</v>
      </c>
    </row>
    <row r="447">
      <c r="A447" s="1">
        <v>162.0</v>
      </c>
      <c r="B447" s="1" t="s">
        <v>806</v>
      </c>
      <c r="C447" s="1" t="s">
        <v>810</v>
      </c>
      <c r="D447" s="1" t="s">
        <v>812</v>
      </c>
      <c r="E447" s="1">
        <v>0.0</v>
      </c>
      <c r="F447" s="1">
        <v>0.0</v>
      </c>
      <c r="G447" s="1" t="s">
        <v>809</v>
      </c>
      <c r="H447" s="1" t="s">
        <v>809</v>
      </c>
      <c r="I447" s="1" t="s">
        <v>809</v>
      </c>
      <c r="J447" s="1" t="s">
        <v>809</v>
      </c>
      <c r="K447" s="1">
        <v>1.0</v>
      </c>
      <c r="L447" s="1">
        <v>10000.0</v>
      </c>
    </row>
    <row r="448">
      <c r="A448" s="1">
        <v>162.0</v>
      </c>
      <c r="B448" s="1" t="s">
        <v>806</v>
      </c>
      <c r="C448" s="1" t="s">
        <v>809</v>
      </c>
      <c r="D448" s="1" t="s">
        <v>910</v>
      </c>
      <c r="E448" s="1" t="s">
        <v>809</v>
      </c>
      <c r="F448" s="1" t="s">
        <v>809</v>
      </c>
      <c r="G448" s="1" t="s">
        <v>809</v>
      </c>
      <c r="H448" s="1" t="s">
        <v>809</v>
      </c>
      <c r="I448" s="1" t="s">
        <v>809</v>
      </c>
      <c r="J448" s="1" t="s">
        <v>809</v>
      </c>
      <c r="K448" s="1">
        <v>1.0</v>
      </c>
      <c r="L448" s="1">
        <v>40000.0</v>
      </c>
    </row>
    <row r="449">
      <c r="A449" s="1">
        <v>163.0</v>
      </c>
      <c r="B449" s="1" t="s">
        <v>806</v>
      </c>
      <c r="C449" s="1" t="s">
        <v>807</v>
      </c>
      <c r="D449" s="1" t="s">
        <v>835</v>
      </c>
      <c r="E449" s="1">
        <v>0.25</v>
      </c>
      <c r="F449" s="1">
        <v>0.0</v>
      </c>
      <c r="G449" s="1">
        <v>0.0</v>
      </c>
      <c r="H449" s="1">
        <v>2.0</v>
      </c>
      <c r="I449" s="1" t="s">
        <v>809</v>
      </c>
      <c r="J449" s="1" t="s">
        <v>809</v>
      </c>
      <c r="K449" s="1">
        <v>1.0</v>
      </c>
      <c r="L449" s="1">
        <v>127768.74</v>
      </c>
    </row>
    <row r="450">
      <c r="A450" s="1">
        <v>163.0</v>
      </c>
      <c r="B450" s="1" t="s">
        <v>806</v>
      </c>
      <c r="C450" s="1" t="s">
        <v>810</v>
      </c>
      <c r="D450" s="1" t="s">
        <v>835</v>
      </c>
      <c r="E450" s="1">
        <v>1.0</v>
      </c>
      <c r="F450" s="1">
        <v>0.0</v>
      </c>
      <c r="G450" s="1">
        <v>0.0</v>
      </c>
      <c r="H450" s="1">
        <v>2.0</v>
      </c>
      <c r="I450" s="1" t="s">
        <v>809</v>
      </c>
      <c r="J450" s="1" t="s">
        <v>809</v>
      </c>
      <c r="K450" s="1">
        <v>1.0</v>
      </c>
      <c r="L450" s="1">
        <v>127768.74</v>
      </c>
    </row>
    <row r="451">
      <c r="A451" s="1">
        <v>163.0</v>
      </c>
      <c r="B451" s="1" t="s">
        <v>806</v>
      </c>
      <c r="C451" s="1" t="s">
        <v>809</v>
      </c>
      <c r="D451" s="1" t="s">
        <v>912</v>
      </c>
      <c r="E451" s="1" t="s">
        <v>809</v>
      </c>
      <c r="F451" s="1" t="s">
        <v>809</v>
      </c>
      <c r="G451" s="1" t="s">
        <v>809</v>
      </c>
      <c r="H451" s="1" t="s">
        <v>809</v>
      </c>
      <c r="I451" s="1" t="s">
        <v>809</v>
      </c>
      <c r="J451" s="1" t="s">
        <v>809</v>
      </c>
      <c r="K451" s="1">
        <v>1.0</v>
      </c>
      <c r="L451" s="1">
        <v>100000.0</v>
      </c>
    </row>
    <row r="452">
      <c r="A452" s="1">
        <v>164.0</v>
      </c>
      <c r="B452" s="1" t="s">
        <v>809</v>
      </c>
      <c r="C452" s="1">
        <v>2.0</v>
      </c>
      <c r="D452" s="1" t="s">
        <v>920</v>
      </c>
      <c r="E452" s="1">
        <v>0.0</v>
      </c>
      <c r="F452" s="1">
        <v>-1.25</v>
      </c>
      <c r="G452" s="1">
        <v>5.0</v>
      </c>
      <c r="H452" s="1" t="s">
        <v>809</v>
      </c>
      <c r="I452" s="1" t="s">
        <v>809</v>
      </c>
      <c r="J452" s="1" t="s">
        <v>809</v>
      </c>
      <c r="K452" s="1">
        <v>1.0</v>
      </c>
      <c r="L452" s="1">
        <v>130000.0</v>
      </c>
    </row>
    <row r="453">
      <c r="A453" s="1">
        <v>165.0</v>
      </c>
      <c r="B453" s="1" t="s">
        <v>806</v>
      </c>
      <c r="C453" s="1" t="s">
        <v>807</v>
      </c>
      <c r="D453" s="1" t="s">
        <v>836</v>
      </c>
      <c r="E453" s="1">
        <v>-3.75</v>
      </c>
      <c r="F453" s="1">
        <v>-4.5</v>
      </c>
      <c r="G453" s="1">
        <v>180.0</v>
      </c>
      <c r="H453" s="1" t="s">
        <v>809</v>
      </c>
      <c r="I453" s="1" t="s">
        <v>809</v>
      </c>
      <c r="J453" s="1" t="s">
        <v>809</v>
      </c>
      <c r="K453" s="1">
        <v>1.0</v>
      </c>
      <c r="L453" s="1">
        <v>55853.0</v>
      </c>
    </row>
    <row r="454">
      <c r="A454" s="1">
        <v>165.0</v>
      </c>
      <c r="B454" s="1" t="s">
        <v>806</v>
      </c>
      <c r="C454" s="1" t="s">
        <v>810</v>
      </c>
      <c r="D454" s="1" t="s">
        <v>836</v>
      </c>
      <c r="E454" s="1">
        <v>-3.75</v>
      </c>
      <c r="F454" s="1">
        <v>-3.5</v>
      </c>
      <c r="G454" s="1">
        <v>180.0</v>
      </c>
      <c r="H454" s="1" t="s">
        <v>809</v>
      </c>
      <c r="I454" s="1" t="s">
        <v>809</v>
      </c>
      <c r="J454" s="1" t="s">
        <v>809</v>
      </c>
      <c r="K454" s="1">
        <v>1.0</v>
      </c>
      <c r="L454" s="1">
        <v>55853.0</v>
      </c>
    </row>
    <row r="455">
      <c r="A455" s="1">
        <v>165.0</v>
      </c>
      <c r="B455" s="1" t="s">
        <v>806</v>
      </c>
      <c r="C455" s="1" t="s">
        <v>809</v>
      </c>
      <c r="D455" s="1" t="s">
        <v>921</v>
      </c>
      <c r="E455" s="1" t="s">
        <v>809</v>
      </c>
      <c r="F455" s="1" t="s">
        <v>809</v>
      </c>
      <c r="G455" s="1" t="s">
        <v>809</v>
      </c>
      <c r="H455" s="1" t="s">
        <v>809</v>
      </c>
      <c r="I455" s="1" t="s">
        <v>809</v>
      </c>
      <c r="J455" s="1" t="s">
        <v>809</v>
      </c>
      <c r="K455" s="1">
        <v>1.0</v>
      </c>
      <c r="L455" s="1">
        <v>144000.0</v>
      </c>
    </row>
    <row r="456">
      <c r="A456" s="1">
        <v>166.0</v>
      </c>
      <c r="B456" s="1" t="s">
        <v>806</v>
      </c>
      <c r="C456" s="1" t="s">
        <v>807</v>
      </c>
      <c r="D456" s="1" t="s">
        <v>812</v>
      </c>
      <c r="E456" s="1">
        <v>0.25</v>
      </c>
      <c r="F456" s="1">
        <v>0.0</v>
      </c>
      <c r="G456" s="1" t="s">
        <v>809</v>
      </c>
      <c r="H456" s="1" t="s">
        <v>809</v>
      </c>
      <c r="I456" s="1">
        <v>31.0</v>
      </c>
      <c r="J456" s="1">
        <v>27.0</v>
      </c>
      <c r="K456" s="1">
        <v>1.0</v>
      </c>
      <c r="L456" s="1">
        <v>6000.0</v>
      </c>
    </row>
    <row r="457">
      <c r="A457" s="1">
        <v>166.0</v>
      </c>
      <c r="B457" s="1" t="s">
        <v>806</v>
      </c>
      <c r="C457" s="1" t="s">
        <v>810</v>
      </c>
      <c r="D457" s="1" t="s">
        <v>812</v>
      </c>
      <c r="E457" s="1">
        <v>0.25</v>
      </c>
      <c r="F457" s="1">
        <v>0.0</v>
      </c>
      <c r="G457" s="1" t="s">
        <v>809</v>
      </c>
      <c r="H457" s="1" t="s">
        <v>809</v>
      </c>
      <c r="I457" s="1">
        <v>29.0</v>
      </c>
      <c r="J457" s="1">
        <v>25.0</v>
      </c>
      <c r="K457" s="1">
        <v>1.0</v>
      </c>
      <c r="L457" s="1">
        <v>6000.0</v>
      </c>
    </row>
    <row r="458">
      <c r="A458" s="1">
        <v>166.0</v>
      </c>
      <c r="B458" s="1" t="s">
        <v>806</v>
      </c>
      <c r="C458" s="1" t="s">
        <v>809</v>
      </c>
      <c r="D458" s="1" t="s">
        <v>814</v>
      </c>
      <c r="E458" s="1" t="s">
        <v>809</v>
      </c>
      <c r="F458" s="1" t="s">
        <v>809</v>
      </c>
      <c r="G458" s="1" t="s">
        <v>809</v>
      </c>
      <c r="H458" s="1" t="s">
        <v>809</v>
      </c>
      <c r="I458" s="1" t="s">
        <v>809</v>
      </c>
      <c r="J458" s="1" t="s">
        <v>809</v>
      </c>
      <c r="K458" s="1">
        <v>1.0</v>
      </c>
      <c r="L458" s="1">
        <v>50000.0</v>
      </c>
    </row>
    <row r="459">
      <c r="A459" s="1">
        <v>167.0</v>
      </c>
      <c r="B459" s="1" t="s">
        <v>806</v>
      </c>
      <c r="C459" s="1" t="s">
        <v>807</v>
      </c>
      <c r="D459" s="1" t="s">
        <v>885</v>
      </c>
      <c r="E459" s="1">
        <v>-1.25</v>
      </c>
      <c r="F459" s="1">
        <v>0.0</v>
      </c>
      <c r="G459" s="1" t="s">
        <v>809</v>
      </c>
      <c r="H459" s="1" t="s">
        <v>809</v>
      </c>
      <c r="I459" s="1" t="s">
        <v>809</v>
      </c>
      <c r="J459" s="1" t="s">
        <v>809</v>
      </c>
      <c r="K459" s="1">
        <v>1.0</v>
      </c>
      <c r="L459" s="1">
        <v>0.0</v>
      </c>
    </row>
    <row r="460">
      <c r="A460" s="1">
        <v>167.0</v>
      </c>
      <c r="B460" s="1" t="s">
        <v>806</v>
      </c>
      <c r="C460" s="1" t="s">
        <v>810</v>
      </c>
      <c r="D460" s="1" t="s">
        <v>885</v>
      </c>
      <c r="E460" s="1">
        <v>-1.25</v>
      </c>
      <c r="F460" s="1">
        <v>0.0</v>
      </c>
      <c r="G460" s="1" t="s">
        <v>809</v>
      </c>
      <c r="H460" s="1" t="s">
        <v>809</v>
      </c>
      <c r="I460" s="1" t="s">
        <v>809</v>
      </c>
      <c r="J460" s="1" t="s">
        <v>809</v>
      </c>
      <c r="K460" s="1">
        <v>1.0</v>
      </c>
      <c r="L460" s="1">
        <v>0.0</v>
      </c>
    </row>
    <row r="461">
      <c r="A461" s="1">
        <v>167.0</v>
      </c>
      <c r="B461" s="1" t="s">
        <v>806</v>
      </c>
      <c r="C461" s="1" t="s">
        <v>809</v>
      </c>
      <c r="D461" s="1" t="s">
        <v>922</v>
      </c>
      <c r="E461" s="1" t="s">
        <v>809</v>
      </c>
      <c r="F461" s="1" t="s">
        <v>809</v>
      </c>
      <c r="G461" s="1" t="s">
        <v>809</v>
      </c>
      <c r="H461" s="1" t="s">
        <v>809</v>
      </c>
      <c r="I461" s="1" t="s">
        <v>809</v>
      </c>
      <c r="J461" s="1" t="s">
        <v>809</v>
      </c>
      <c r="K461" s="1">
        <v>1.0</v>
      </c>
      <c r="L461" s="1">
        <v>0.0</v>
      </c>
    </row>
    <row r="462">
      <c r="A462" s="1">
        <v>167.0</v>
      </c>
      <c r="B462" s="1" t="s">
        <v>806</v>
      </c>
      <c r="C462" s="1" t="s">
        <v>809</v>
      </c>
      <c r="D462" s="1" t="s">
        <v>910</v>
      </c>
      <c r="E462" s="1" t="s">
        <v>809</v>
      </c>
      <c r="F462" s="1" t="s">
        <v>809</v>
      </c>
      <c r="G462" s="1" t="s">
        <v>809</v>
      </c>
      <c r="H462" s="1" t="s">
        <v>809</v>
      </c>
      <c r="I462" s="1" t="s">
        <v>809</v>
      </c>
      <c r="J462" s="1" t="s">
        <v>809</v>
      </c>
      <c r="K462" s="1">
        <v>1.0</v>
      </c>
      <c r="L462" s="1">
        <v>0.0</v>
      </c>
    </row>
    <row r="463">
      <c r="A463" s="1">
        <v>168.0</v>
      </c>
      <c r="B463" s="1" t="s">
        <v>806</v>
      </c>
      <c r="C463" s="1" t="s">
        <v>807</v>
      </c>
      <c r="D463" s="1" t="s">
        <v>917</v>
      </c>
      <c r="E463" s="1">
        <v>-6.5</v>
      </c>
      <c r="F463" s="1">
        <v>-1.0</v>
      </c>
      <c r="G463" s="1">
        <v>161.0</v>
      </c>
      <c r="H463" s="1" t="s">
        <v>809</v>
      </c>
      <c r="I463" s="1" t="s">
        <v>809</v>
      </c>
      <c r="J463" s="1" t="s">
        <v>809</v>
      </c>
      <c r="K463" s="1">
        <v>1.0</v>
      </c>
      <c r="L463" s="1">
        <v>103000.0</v>
      </c>
    </row>
    <row r="464">
      <c r="A464" s="1">
        <v>168.0</v>
      </c>
      <c r="B464" s="1" t="s">
        <v>806</v>
      </c>
      <c r="C464" s="1" t="s">
        <v>810</v>
      </c>
      <c r="D464" s="1" t="s">
        <v>917</v>
      </c>
      <c r="E464" s="1">
        <v>-3.5</v>
      </c>
      <c r="F464" s="1">
        <v>-1.25</v>
      </c>
      <c r="G464" s="1">
        <v>2.0</v>
      </c>
      <c r="H464" s="1" t="s">
        <v>809</v>
      </c>
      <c r="I464" s="1" t="s">
        <v>809</v>
      </c>
      <c r="J464" s="1" t="s">
        <v>809</v>
      </c>
      <c r="K464" s="1">
        <v>1.0</v>
      </c>
      <c r="L464" s="1">
        <v>103000.0</v>
      </c>
    </row>
    <row r="465">
      <c r="A465" s="1">
        <v>168.0</v>
      </c>
      <c r="B465" s="1" t="s">
        <v>806</v>
      </c>
      <c r="C465" s="1" t="s">
        <v>809</v>
      </c>
      <c r="D465" s="1" t="s">
        <v>915</v>
      </c>
      <c r="E465" s="1" t="s">
        <v>809</v>
      </c>
      <c r="F465" s="1" t="s">
        <v>809</v>
      </c>
      <c r="G465" s="1" t="s">
        <v>809</v>
      </c>
      <c r="H465" s="1" t="s">
        <v>809</v>
      </c>
      <c r="I465" s="1" t="s">
        <v>809</v>
      </c>
      <c r="J465" s="1" t="s">
        <v>809</v>
      </c>
      <c r="K465" s="1">
        <v>1.0</v>
      </c>
      <c r="L465" s="1">
        <v>96000.0</v>
      </c>
    </row>
    <row r="466">
      <c r="A466" s="1">
        <v>169.0</v>
      </c>
      <c r="B466" s="1" t="s">
        <v>809</v>
      </c>
      <c r="C466" s="1" t="s">
        <v>809</v>
      </c>
      <c r="D466" s="1" t="s">
        <v>923</v>
      </c>
      <c r="E466" s="1" t="s">
        <v>809</v>
      </c>
      <c r="F466" s="1" t="s">
        <v>809</v>
      </c>
      <c r="G466" s="1" t="s">
        <v>809</v>
      </c>
      <c r="H466" s="1" t="s">
        <v>809</v>
      </c>
      <c r="I466" s="1" t="s">
        <v>809</v>
      </c>
      <c r="J466" s="1" t="s">
        <v>809</v>
      </c>
      <c r="K466" s="1">
        <v>1.0</v>
      </c>
      <c r="L466" s="1">
        <v>160000.0</v>
      </c>
    </row>
    <row r="467">
      <c r="A467" s="1">
        <v>170.0</v>
      </c>
      <c r="B467" s="1" t="s">
        <v>806</v>
      </c>
      <c r="C467" s="1" t="s">
        <v>807</v>
      </c>
      <c r="D467" s="1" t="s">
        <v>812</v>
      </c>
      <c r="E467" s="1">
        <v>-0.75</v>
      </c>
      <c r="F467" s="1">
        <v>-0.75</v>
      </c>
      <c r="G467" s="1">
        <v>120.0</v>
      </c>
      <c r="H467" s="1" t="s">
        <v>809</v>
      </c>
      <c r="I467" s="1" t="s">
        <v>809</v>
      </c>
      <c r="J467" s="1" t="s">
        <v>809</v>
      </c>
      <c r="K467" s="1">
        <v>1.0</v>
      </c>
      <c r="L467" s="1">
        <v>30000.0</v>
      </c>
    </row>
    <row r="468">
      <c r="A468" s="1">
        <v>171.0</v>
      </c>
      <c r="B468" s="1" t="s">
        <v>806</v>
      </c>
      <c r="C468" s="1" t="s">
        <v>807</v>
      </c>
      <c r="D468" s="1" t="s">
        <v>812</v>
      </c>
      <c r="E468" s="1">
        <v>0.0</v>
      </c>
      <c r="F468" s="1">
        <v>0.0</v>
      </c>
      <c r="G468" s="1" t="s">
        <v>809</v>
      </c>
      <c r="H468" s="1" t="s">
        <v>809</v>
      </c>
      <c r="I468" s="1" t="s">
        <v>809</v>
      </c>
      <c r="J468" s="1" t="s">
        <v>809</v>
      </c>
      <c r="K468" s="1">
        <v>1.0</v>
      </c>
      <c r="L468" s="1">
        <v>29000.0</v>
      </c>
    </row>
    <row r="469">
      <c r="A469" s="1">
        <v>171.0</v>
      </c>
      <c r="B469" s="1" t="s">
        <v>806</v>
      </c>
      <c r="C469" s="1" t="s">
        <v>810</v>
      </c>
      <c r="D469" s="1" t="s">
        <v>812</v>
      </c>
      <c r="E469" s="1">
        <v>0.0</v>
      </c>
      <c r="F469" s="1">
        <v>0.0</v>
      </c>
      <c r="G469" s="1" t="s">
        <v>809</v>
      </c>
      <c r="H469" s="1" t="s">
        <v>809</v>
      </c>
      <c r="I469" s="1" t="s">
        <v>809</v>
      </c>
      <c r="J469" s="1" t="s">
        <v>809</v>
      </c>
      <c r="K469" s="1">
        <v>1.0</v>
      </c>
      <c r="L469" s="1">
        <v>29000.0</v>
      </c>
    </row>
    <row r="470">
      <c r="A470" s="1">
        <v>171.0</v>
      </c>
      <c r="B470" s="1" t="s">
        <v>806</v>
      </c>
      <c r="C470" s="1" t="s">
        <v>809</v>
      </c>
      <c r="D470" s="1" t="s">
        <v>924</v>
      </c>
      <c r="E470" s="1" t="s">
        <v>809</v>
      </c>
      <c r="F470" s="1" t="s">
        <v>809</v>
      </c>
      <c r="G470" s="1" t="s">
        <v>809</v>
      </c>
      <c r="H470" s="1" t="s">
        <v>809</v>
      </c>
      <c r="I470" s="1" t="s">
        <v>809</v>
      </c>
      <c r="J470" s="1" t="s">
        <v>809</v>
      </c>
      <c r="K470" s="1">
        <v>1.0</v>
      </c>
      <c r="L470" s="1">
        <v>152000.0</v>
      </c>
    </row>
    <row r="471">
      <c r="A471" s="1">
        <v>172.0</v>
      </c>
      <c r="B471" s="1" t="s">
        <v>806</v>
      </c>
      <c r="C471" s="1" t="s">
        <v>807</v>
      </c>
      <c r="D471" s="1" t="s">
        <v>836</v>
      </c>
      <c r="E471" s="1">
        <v>-0.75</v>
      </c>
      <c r="F471" s="1">
        <v>-0.5</v>
      </c>
      <c r="G471" s="1">
        <v>100.0</v>
      </c>
      <c r="H471" s="1" t="s">
        <v>809</v>
      </c>
      <c r="I471" s="1" t="s">
        <v>809</v>
      </c>
      <c r="J471" s="1" t="s">
        <v>809</v>
      </c>
      <c r="K471" s="1">
        <v>1.0</v>
      </c>
      <c r="L471" s="1">
        <v>44300.0</v>
      </c>
    </row>
    <row r="472">
      <c r="A472" s="1">
        <v>172.0</v>
      </c>
      <c r="B472" s="1" t="s">
        <v>806</v>
      </c>
      <c r="C472" s="1" t="s">
        <v>810</v>
      </c>
      <c r="D472" s="1" t="s">
        <v>836</v>
      </c>
      <c r="E472" s="1">
        <v>-1.0</v>
      </c>
      <c r="F472" s="1">
        <v>0.0</v>
      </c>
      <c r="G472" s="1" t="s">
        <v>809</v>
      </c>
      <c r="H472" s="1" t="s">
        <v>809</v>
      </c>
      <c r="I472" s="1" t="s">
        <v>809</v>
      </c>
      <c r="J472" s="1" t="s">
        <v>809</v>
      </c>
      <c r="K472" s="1">
        <v>1.0</v>
      </c>
      <c r="L472" s="1">
        <v>44300.0</v>
      </c>
    </row>
    <row r="473">
      <c r="A473" s="1">
        <v>173.0</v>
      </c>
      <c r="B473" s="1" t="s">
        <v>806</v>
      </c>
      <c r="C473" s="1" t="s">
        <v>807</v>
      </c>
      <c r="D473" s="1" t="s">
        <v>812</v>
      </c>
      <c r="E473" s="1">
        <v>-0.75</v>
      </c>
      <c r="F473" s="1">
        <v>-0.5</v>
      </c>
      <c r="G473" s="1">
        <v>100.0</v>
      </c>
      <c r="H473" s="1" t="s">
        <v>809</v>
      </c>
      <c r="I473" s="1" t="s">
        <v>809</v>
      </c>
      <c r="J473" s="1" t="s">
        <v>809</v>
      </c>
      <c r="K473" s="1">
        <v>1.0</v>
      </c>
      <c r="L473" s="1">
        <v>30615.9</v>
      </c>
    </row>
    <row r="474">
      <c r="A474" s="1">
        <v>173.0</v>
      </c>
      <c r="B474" s="1" t="s">
        <v>806</v>
      </c>
      <c r="C474" s="1" t="s">
        <v>810</v>
      </c>
      <c r="D474" s="1" t="s">
        <v>812</v>
      </c>
      <c r="E474" s="1">
        <v>-1.0</v>
      </c>
      <c r="F474" s="1">
        <v>0.0</v>
      </c>
      <c r="G474" s="1" t="s">
        <v>809</v>
      </c>
      <c r="H474" s="1" t="s">
        <v>809</v>
      </c>
      <c r="I474" s="1" t="s">
        <v>809</v>
      </c>
      <c r="J474" s="1" t="s">
        <v>809</v>
      </c>
      <c r="K474" s="1">
        <v>1.0</v>
      </c>
      <c r="L474" s="1">
        <v>30615.9</v>
      </c>
    </row>
    <row r="475">
      <c r="A475" s="1">
        <v>173.0</v>
      </c>
      <c r="B475" s="1" t="s">
        <v>806</v>
      </c>
      <c r="C475" s="1" t="s">
        <v>809</v>
      </c>
      <c r="D475" s="1" t="s">
        <v>915</v>
      </c>
      <c r="E475" s="1" t="s">
        <v>809</v>
      </c>
      <c r="F475" s="1" t="s">
        <v>809</v>
      </c>
      <c r="G475" s="1" t="s">
        <v>809</v>
      </c>
      <c r="H475" s="1" t="s">
        <v>809</v>
      </c>
      <c r="I475" s="1" t="s">
        <v>809</v>
      </c>
      <c r="J475" s="1" t="s">
        <v>809</v>
      </c>
      <c r="K475" s="1">
        <v>1.0</v>
      </c>
      <c r="L475" s="1">
        <v>97715.56</v>
      </c>
    </row>
    <row r="476">
      <c r="A476" s="1">
        <v>174.0</v>
      </c>
      <c r="B476" s="1" t="s">
        <v>809</v>
      </c>
      <c r="C476" s="1" t="s">
        <v>809</v>
      </c>
      <c r="D476" s="1" t="s">
        <v>925</v>
      </c>
      <c r="E476" s="1" t="s">
        <v>809</v>
      </c>
      <c r="F476" s="1" t="s">
        <v>809</v>
      </c>
      <c r="G476" s="1" t="s">
        <v>809</v>
      </c>
      <c r="H476" s="1" t="s">
        <v>809</v>
      </c>
      <c r="I476" s="1" t="s">
        <v>809</v>
      </c>
      <c r="J476" s="1" t="s">
        <v>809</v>
      </c>
      <c r="K476" s="1">
        <v>1.0</v>
      </c>
      <c r="L476" s="1">
        <v>144000.0</v>
      </c>
    </row>
    <row r="477">
      <c r="A477" s="1">
        <v>175.0</v>
      </c>
      <c r="B477" s="1" t="s">
        <v>806</v>
      </c>
      <c r="C477" s="1" t="s">
        <v>807</v>
      </c>
      <c r="D477" s="1" t="s">
        <v>812</v>
      </c>
      <c r="E477" s="1">
        <v>2.5</v>
      </c>
      <c r="F477" s="1">
        <v>0.0</v>
      </c>
      <c r="G477" s="1" t="s">
        <v>809</v>
      </c>
      <c r="H477" s="1" t="s">
        <v>809</v>
      </c>
      <c r="I477" s="1" t="s">
        <v>809</v>
      </c>
      <c r="J477" s="1" t="s">
        <v>809</v>
      </c>
      <c r="K477" s="1">
        <v>1.0</v>
      </c>
      <c r="L477" s="1">
        <v>26000.0</v>
      </c>
    </row>
    <row r="478">
      <c r="A478" s="1">
        <v>175.0</v>
      </c>
      <c r="B478" s="1" t="s">
        <v>806</v>
      </c>
      <c r="C478" s="1" t="s">
        <v>810</v>
      </c>
      <c r="D478" s="1" t="s">
        <v>812</v>
      </c>
      <c r="E478" s="1">
        <v>2.5</v>
      </c>
      <c r="F478" s="1">
        <v>0.0</v>
      </c>
      <c r="G478" s="1" t="s">
        <v>809</v>
      </c>
      <c r="H478" s="1" t="s">
        <v>809</v>
      </c>
      <c r="I478" s="1" t="s">
        <v>809</v>
      </c>
      <c r="J478" s="1" t="s">
        <v>809</v>
      </c>
      <c r="K478" s="1">
        <v>1.0</v>
      </c>
      <c r="L478" s="1">
        <v>26000.0</v>
      </c>
    </row>
    <row r="479">
      <c r="A479" s="1">
        <v>176.0</v>
      </c>
      <c r="B479" s="1" t="s">
        <v>806</v>
      </c>
      <c r="C479" s="1" t="s">
        <v>807</v>
      </c>
      <c r="D479" s="1" t="s">
        <v>865</v>
      </c>
      <c r="E479" s="1">
        <v>0.0</v>
      </c>
      <c r="F479" s="1">
        <v>0.0</v>
      </c>
      <c r="G479" s="1" t="s">
        <v>809</v>
      </c>
      <c r="H479" s="1" t="s">
        <v>809</v>
      </c>
      <c r="I479" s="1" t="s">
        <v>809</v>
      </c>
      <c r="J479" s="1" t="s">
        <v>809</v>
      </c>
      <c r="K479" s="1">
        <v>1.0</v>
      </c>
      <c r="L479" s="1">
        <v>40733.1</v>
      </c>
    </row>
    <row r="480">
      <c r="A480" s="1">
        <v>176.0</v>
      </c>
      <c r="B480" s="1" t="s">
        <v>806</v>
      </c>
      <c r="C480" s="1" t="s">
        <v>810</v>
      </c>
      <c r="D480" s="1" t="s">
        <v>865</v>
      </c>
      <c r="E480" s="1">
        <v>0.0</v>
      </c>
      <c r="F480" s="1">
        <v>0.0</v>
      </c>
      <c r="G480" s="1" t="s">
        <v>809</v>
      </c>
      <c r="H480" s="1" t="s">
        <v>809</v>
      </c>
      <c r="I480" s="1" t="s">
        <v>809</v>
      </c>
      <c r="J480" s="1" t="s">
        <v>809</v>
      </c>
      <c r="K480" s="1">
        <v>1.0</v>
      </c>
      <c r="L480" s="1">
        <v>40733.1</v>
      </c>
    </row>
    <row r="481">
      <c r="A481" s="1">
        <v>176.0</v>
      </c>
      <c r="B481" s="1" t="s">
        <v>806</v>
      </c>
      <c r="C481" s="1" t="s">
        <v>809</v>
      </c>
      <c r="D481" s="1" t="s">
        <v>814</v>
      </c>
      <c r="E481" s="1" t="s">
        <v>809</v>
      </c>
      <c r="F481" s="1" t="s">
        <v>809</v>
      </c>
      <c r="G481" s="1" t="s">
        <v>809</v>
      </c>
      <c r="H481" s="1" t="s">
        <v>809</v>
      </c>
      <c r="I481" s="1" t="s">
        <v>809</v>
      </c>
      <c r="J481" s="1" t="s">
        <v>809</v>
      </c>
      <c r="K481" s="1">
        <v>1.0</v>
      </c>
      <c r="L481" s="1">
        <v>72000.0</v>
      </c>
    </row>
    <row r="482">
      <c r="A482" s="1">
        <v>177.0</v>
      </c>
      <c r="B482" s="1" t="s">
        <v>806</v>
      </c>
      <c r="C482" s="1" t="s">
        <v>807</v>
      </c>
      <c r="D482" s="1" t="s">
        <v>836</v>
      </c>
      <c r="E482" s="1">
        <v>-2.75</v>
      </c>
      <c r="F482" s="1">
        <v>-1.5</v>
      </c>
      <c r="G482" s="1">
        <v>20.0</v>
      </c>
      <c r="H482" s="1" t="s">
        <v>809</v>
      </c>
      <c r="I482" s="1" t="s">
        <v>809</v>
      </c>
      <c r="J482" s="1" t="s">
        <v>809</v>
      </c>
      <c r="K482" s="1">
        <v>1.0</v>
      </c>
      <c r="L482" s="1">
        <v>55853.0</v>
      </c>
    </row>
    <row r="483">
      <c r="A483" s="1">
        <v>177.0</v>
      </c>
      <c r="B483" s="1" t="s">
        <v>806</v>
      </c>
      <c r="C483" s="1" t="s">
        <v>810</v>
      </c>
      <c r="D483" s="1" t="s">
        <v>836</v>
      </c>
      <c r="E483" s="1">
        <v>-3.0</v>
      </c>
      <c r="F483" s="1">
        <v>-1.25</v>
      </c>
      <c r="G483" s="1">
        <v>175.0</v>
      </c>
      <c r="H483" s="1" t="s">
        <v>809</v>
      </c>
      <c r="I483" s="1" t="s">
        <v>809</v>
      </c>
      <c r="J483" s="1" t="s">
        <v>809</v>
      </c>
      <c r="K483" s="1">
        <v>1.0</v>
      </c>
      <c r="L483" s="1">
        <v>55853.0</v>
      </c>
    </row>
    <row r="484">
      <c r="A484" s="1">
        <v>177.0</v>
      </c>
      <c r="B484" s="1" t="s">
        <v>806</v>
      </c>
      <c r="C484" s="1" t="s">
        <v>809</v>
      </c>
      <c r="D484" s="1" t="s">
        <v>915</v>
      </c>
      <c r="E484" s="1" t="s">
        <v>809</v>
      </c>
      <c r="F484" s="1" t="s">
        <v>809</v>
      </c>
      <c r="G484" s="1" t="s">
        <v>809</v>
      </c>
      <c r="H484" s="1" t="s">
        <v>809</v>
      </c>
      <c r="I484" s="1" t="s">
        <v>809</v>
      </c>
      <c r="J484" s="1" t="s">
        <v>809</v>
      </c>
      <c r="K484" s="1">
        <v>1.0</v>
      </c>
      <c r="L484" s="1">
        <v>96000.0</v>
      </c>
    </row>
    <row r="485">
      <c r="A485" s="1">
        <v>178.0</v>
      </c>
      <c r="B485" s="1" t="s">
        <v>806</v>
      </c>
      <c r="C485" s="1" t="s">
        <v>807</v>
      </c>
      <c r="D485" s="1" t="s">
        <v>815</v>
      </c>
      <c r="E485" s="1">
        <v>0.0</v>
      </c>
      <c r="F485" s="1">
        <v>0.0</v>
      </c>
      <c r="G485" s="1" t="s">
        <v>809</v>
      </c>
      <c r="H485" s="1" t="s">
        <v>809</v>
      </c>
      <c r="I485" s="1" t="s">
        <v>809</v>
      </c>
      <c r="J485" s="1" t="s">
        <v>809</v>
      </c>
      <c r="K485" s="1">
        <v>1.0</v>
      </c>
      <c r="L485" s="1">
        <v>450000.0</v>
      </c>
    </row>
    <row r="486">
      <c r="A486" s="1">
        <v>178.0</v>
      </c>
      <c r="B486" s="1" t="s">
        <v>806</v>
      </c>
      <c r="C486" s="1" t="s">
        <v>810</v>
      </c>
      <c r="D486" s="1" t="s">
        <v>815</v>
      </c>
      <c r="E486" s="1">
        <v>0.0</v>
      </c>
      <c r="F486" s="1">
        <v>0.0</v>
      </c>
      <c r="G486" s="1" t="s">
        <v>809</v>
      </c>
      <c r="H486" s="1" t="s">
        <v>809</v>
      </c>
      <c r="I486" s="1" t="s">
        <v>809</v>
      </c>
      <c r="J486" s="1" t="s">
        <v>809</v>
      </c>
      <c r="K486" s="1">
        <v>1.0</v>
      </c>
      <c r="L486" s="1">
        <v>450000.0</v>
      </c>
    </row>
    <row r="487">
      <c r="A487" s="1">
        <v>178.0</v>
      </c>
      <c r="B487" s="1" t="s">
        <v>806</v>
      </c>
      <c r="C487" s="1" t="s">
        <v>809</v>
      </c>
      <c r="D487" s="1" t="s">
        <v>915</v>
      </c>
      <c r="E487" s="1" t="s">
        <v>809</v>
      </c>
      <c r="F487" s="1" t="s">
        <v>809</v>
      </c>
      <c r="G487" s="1" t="s">
        <v>809</v>
      </c>
      <c r="H487" s="1" t="s">
        <v>809</v>
      </c>
      <c r="I487" s="1" t="s">
        <v>809</v>
      </c>
      <c r="J487" s="1" t="s">
        <v>809</v>
      </c>
      <c r="K487" s="1">
        <v>1.0</v>
      </c>
      <c r="L487" s="1">
        <v>0.0</v>
      </c>
    </row>
    <row r="488">
      <c r="A488" s="1">
        <v>179.0</v>
      </c>
      <c r="B488" s="1" t="s">
        <v>806</v>
      </c>
      <c r="C488" s="1" t="s">
        <v>807</v>
      </c>
      <c r="D488" s="1" t="s">
        <v>815</v>
      </c>
      <c r="E488" s="1">
        <v>0.0</v>
      </c>
      <c r="F488" s="1">
        <v>0.0</v>
      </c>
      <c r="G488" s="1" t="s">
        <v>809</v>
      </c>
      <c r="H488" s="1" t="s">
        <v>809</v>
      </c>
      <c r="I488" s="1" t="s">
        <v>809</v>
      </c>
      <c r="J488" s="1" t="s">
        <v>809</v>
      </c>
      <c r="K488" s="1">
        <v>1.0</v>
      </c>
      <c r="L488" s="1">
        <v>450000.0</v>
      </c>
    </row>
    <row r="489">
      <c r="A489" s="1">
        <v>179.0</v>
      </c>
      <c r="B489" s="1" t="s">
        <v>806</v>
      </c>
      <c r="C489" s="1" t="s">
        <v>810</v>
      </c>
      <c r="D489" s="1" t="s">
        <v>815</v>
      </c>
      <c r="E489" s="1">
        <v>0.0</v>
      </c>
      <c r="F489" s="1">
        <v>0.0</v>
      </c>
      <c r="G489" s="1" t="s">
        <v>809</v>
      </c>
      <c r="H489" s="1" t="s">
        <v>809</v>
      </c>
      <c r="I489" s="1" t="s">
        <v>809</v>
      </c>
      <c r="J489" s="1" t="s">
        <v>809</v>
      </c>
      <c r="K489" s="1">
        <v>1.0</v>
      </c>
      <c r="L489" s="1">
        <v>450000.0</v>
      </c>
    </row>
    <row r="490">
      <c r="A490" s="1">
        <v>179.0</v>
      </c>
      <c r="B490" s="1" t="s">
        <v>806</v>
      </c>
      <c r="C490" s="1" t="s">
        <v>809</v>
      </c>
      <c r="D490" s="1" t="s">
        <v>915</v>
      </c>
      <c r="E490" s="1" t="s">
        <v>809</v>
      </c>
      <c r="F490" s="1" t="s">
        <v>809</v>
      </c>
      <c r="G490" s="1" t="s">
        <v>809</v>
      </c>
      <c r="H490" s="1" t="s">
        <v>809</v>
      </c>
      <c r="I490" s="1" t="s">
        <v>809</v>
      </c>
      <c r="J490" s="1" t="s">
        <v>809</v>
      </c>
      <c r="K490" s="1">
        <v>1.0</v>
      </c>
      <c r="L490" s="1">
        <v>0.0</v>
      </c>
    </row>
    <row r="491">
      <c r="A491" s="1">
        <v>180.0</v>
      </c>
      <c r="B491" s="1" t="s">
        <v>806</v>
      </c>
      <c r="C491" s="1" t="s">
        <v>807</v>
      </c>
      <c r="D491" s="1" t="s">
        <v>836</v>
      </c>
      <c r="E491" s="1">
        <v>0.0</v>
      </c>
      <c r="F491" s="1">
        <v>0.0</v>
      </c>
      <c r="G491" s="1" t="s">
        <v>809</v>
      </c>
      <c r="H491" s="1" t="s">
        <v>809</v>
      </c>
      <c r="I491" s="1" t="s">
        <v>809</v>
      </c>
      <c r="J491" s="1" t="s">
        <v>809</v>
      </c>
      <c r="K491" s="1">
        <v>1.0</v>
      </c>
      <c r="L491" s="1">
        <v>51000.0</v>
      </c>
    </row>
    <row r="492">
      <c r="A492" s="1">
        <v>180.0</v>
      </c>
      <c r="B492" s="1" t="s">
        <v>806</v>
      </c>
      <c r="C492" s="1" t="s">
        <v>810</v>
      </c>
      <c r="D492" s="1" t="s">
        <v>836</v>
      </c>
      <c r="E492" s="1">
        <v>0.0</v>
      </c>
      <c r="F492" s="1">
        <v>0.0</v>
      </c>
      <c r="G492" s="1" t="s">
        <v>809</v>
      </c>
      <c r="H492" s="1" t="s">
        <v>809</v>
      </c>
      <c r="I492" s="1" t="s">
        <v>809</v>
      </c>
      <c r="J492" s="1" t="s">
        <v>809</v>
      </c>
      <c r="K492" s="1">
        <v>1.0</v>
      </c>
      <c r="L492" s="1">
        <v>51000.0</v>
      </c>
    </row>
    <row r="493">
      <c r="A493" s="1">
        <v>180.0</v>
      </c>
      <c r="B493" s="1" t="s">
        <v>806</v>
      </c>
      <c r="C493" s="1" t="s">
        <v>809</v>
      </c>
      <c r="D493" s="1" t="s">
        <v>926</v>
      </c>
      <c r="E493" s="1" t="s">
        <v>809</v>
      </c>
      <c r="F493" s="1" t="s">
        <v>809</v>
      </c>
      <c r="G493" s="1" t="s">
        <v>809</v>
      </c>
      <c r="H493" s="1" t="s">
        <v>809</v>
      </c>
      <c r="I493" s="1" t="s">
        <v>809</v>
      </c>
      <c r="J493" s="1" t="s">
        <v>809</v>
      </c>
      <c r="K493" s="1">
        <v>1.0</v>
      </c>
      <c r="L493" s="1">
        <v>175192.0</v>
      </c>
    </row>
    <row r="494">
      <c r="A494" s="1">
        <v>181.0</v>
      </c>
      <c r="B494" s="1" t="s">
        <v>806</v>
      </c>
      <c r="C494" s="1" t="s">
        <v>807</v>
      </c>
      <c r="D494" s="1" t="s">
        <v>812</v>
      </c>
      <c r="E494" s="1">
        <v>0.0</v>
      </c>
      <c r="F494" s="1">
        <v>0.0</v>
      </c>
      <c r="G494" s="1" t="s">
        <v>809</v>
      </c>
      <c r="H494" s="1" t="s">
        <v>809</v>
      </c>
      <c r="I494" s="1" t="s">
        <v>809</v>
      </c>
      <c r="J494" s="1" t="s">
        <v>809</v>
      </c>
      <c r="K494" s="1">
        <v>1.0</v>
      </c>
      <c r="L494" s="1">
        <v>26000.0</v>
      </c>
    </row>
    <row r="495">
      <c r="A495" s="1">
        <v>181.0</v>
      </c>
      <c r="B495" s="1" t="s">
        <v>806</v>
      </c>
      <c r="C495" s="1" t="s">
        <v>810</v>
      </c>
      <c r="D495" s="1" t="s">
        <v>812</v>
      </c>
      <c r="E495" s="1">
        <v>0.0</v>
      </c>
      <c r="F495" s="1">
        <v>0.0</v>
      </c>
      <c r="G495" s="1" t="s">
        <v>809</v>
      </c>
      <c r="H495" s="1" t="s">
        <v>809</v>
      </c>
      <c r="I495" s="1" t="s">
        <v>809</v>
      </c>
      <c r="J495" s="1" t="s">
        <v>809</v>
      </c>
      <c r="K495" s="1">
        <v>1.0</v>
      </c>
      <c r="L495" s="1">
        <v>26000.0</v>
      </c>
    </row>
    <row r="496">
      <c r="A496" s="1">
        <v>181.0</v>
      </c>
      <c r="B496" s="1" t="s">
        <v>806</v>
      </c>
      <c r="C496" s="1" t="s">
        <v>809</v>
      </c>
      <c r="D496" s="1" t="s">
        <v>814</v>
      </c>
      <c r="E496" s="1" t="s">
        <v>809</v>
      </c>
      <c r="F496" s="1" t="s">
        <v>809</v>
      </c>
      <c r="G496" s="1" t="s">
        <v>809</v>
      </c>
      <c r="H496" s="1" t="s">
        <v>809</v>
      </c>
      <c r="I496" s="1" t="s">
        <v>809</v>
      </c>
      <c r="J496" s="1" t="s">
        <v>809</v>
      </c>
      <c r="K496" s="1">
        <v>1.0</v>
      </c>
      <c r="L496" s="1">
        <v>72000.0</v>
      </c>
    </row>
    <row r="497">
      <c r="A497" s="1">
        <v>182.0</v>
      </c>
      <c r="B497" s="1" t="s">
        <v>809</v>
      </c>
      <c r="C497" s="1">
        <v>2.0</v>
      </c>
      <c r="D497" s="1" t="s">
        <v>927</v>
      </c>
      <c r="E497" s="1">
        <v>3.25</v>
      </c>
      <c r="F497" s="1">
        <v>0.0</v>
      </c>
      <c r="G497" s="1" t="s">
        <v>809</v>
      </c>
      <c r="H497" s="1" t="s">
        <v>809</v>
      </c>
      <c r="I497" s="1" t="s">
        <v>809</v>
      </c>
      <c r="J497" s="1" t="s">
        <v>809</v>
      </c>
      <c r="K497" s="1">
        <v>1.0</v>
      </c>
      <c r="L497" s="1">
        <v>123000.0</v>
      </c>
    </row>
    <row r="498">
      <c r="A498" s="1">
        <v>183.0</v>
      </c>
      <c r="B498" s="1" t="s">
        <v>806</v>
      </c>
      <c r="C498" s="1" t="s">
        <v>807</v>
      </c>
      <c r="D498" s="1" t="s">
        <v>812</v>
      </c>
      <c r="E498" s="1">
        <v>-1.25</v>
      </c>
      <c r="F498" s="1">
        <v>-0.25</v>
      </c>
      <c r="G498" s="1">
        <v>91.0</v>
      </c>
      <c r="H498" s="1" t="s">
        <v>809</v>
      </c>
      <c r="I498" s="1" t="s">
        <v>809</v>
      </c>
      <c r="J498" s="1" t="s">
        <v>809</v>
      </c>
      <c r="K498" s="1">
        <v>1.0</v>
      </c>
      <c r="L498" s="1">
        <v>30615.9</v>
      </c>
    </row>
    <row r="499">
      <c r="A499" s="1">
        <v>183.0</v>
      </c>
      <c r="B499" s="1" t="s">
        <v>806</v>
      </c>
      <c r="C499" s="1" t="s">
        <v>810</v>
      </c>
      <c r="D499" s="1" t="s">
        <v>812</v>
      </c>
      <c r="E499" s="1">
        <v>-1.25</v>
      </c>
      <c r="F499" s="1">
        <v>-0.5</v>
      </c>
      <c r="G499" s="1">
        <v>5.0</v>
      </c>
      <c r="H499" s="1" t="s">
        <v>809</v>
      </c>
      <c r="I499" s="1" t="s">
        <v>809</v>
      </c>
      <c r="J499" s="1" t="s">
        <v>809</v>
      </c>
      <c r="K499" s="1">
        <v>1.0</v>
      </c>
      <c r="L499" s="1">
        <v>30615.9</v>
      </c>
    </row>
    <row r="500">
      <c r="A500" s="1">
        <v>184.0</v>
      </c>
      <c r="B500" s="1" t="s">
        <v>806</v>
      </c>
      <c r="C500" s="1" t="s">
        <v>807</v>
      </c>
      <c r="D500" s="1" t="s">
        <v>836</v>
      </c>
      <c r="E500" s="1">
        <v>-1.0</v>
      </c>
      <c r="F500" s="1">
        <v>-0.25</v>
      </c>
      <c r="G500" s="1">
        <v>180.0</v>
      </c>
      <c r="H500" s="1" t="s">
        <v>809</v>
      </c>
      <c r="I500" s="1">
        <v>29.0</v>
      </c>
      <c r="J500" s="1" t="s">
        <v>809</v>
      </c>
      <c r="K500" s="1">
        <v>1.0</v>
      </c>
      <c r="L500" s="1">
        <v>40000.0</v>
      </c>
    </row>
    <row r="501">
      <c r="A501" s="1">
        <v>184.0</v>
      </c>
      <c r="B501" s="1" t="s">
        <v>806</v>
      </c>
      <c r="C501" s="1" t="s">
        <v>810</v>
      </c>
      <c r="D501" s="1" t="s">
        <v>836</v>
      </c>
      <c r="E501" s="1">
        <v>-1.0</v>
      </c>
      <c r="F501" s="1">
        <v>-0.25</v>
      </c>
      <c r="G501" s="1">
        <v>10.0</v>
      </c>
      <c r="H501" s="1" t="s">
        <v>809</v>
      </c>
      <c r="I501" s="1">
        <v>30.0</v>
      </c>
      <c r="J501" s="1" t="s">
        <v>809</v>
      </c>
      <c r="K501" s="1">
        <v>1.0</v>
      </c>
      <c r="L501" s="1">
        <v>40000.0</v>
      </c>
    </row>
    <row r="502">
      <c r="A502" s="1">
        <v>184.0</v>
      </c>
      <c r="B502" s="1" t="s">
        <v>806</v>
      </c>
      <c r="C502" s="1" t="s">
        <v>809</v>
      </c>
      <c r="D502" s="1" t="s">
        <v>928</v>
      </c>
      <c r="E502" s="1" t="s">
        <v>809</v>
      </c>
      <c r="F502" s="1" t="s">
        <v>809</v>
      </c>
      <c r="G502" s="1" t="s">
        <v>809</v>
      </c>
      <c r="H502" s="1" t="s">
        <v>809</v>
      </c>
      <c r="I502" s="1" t="s">
        <v>809</v>
      </c>
      <c r="J502" s="1" t="s">
        <v>809</v>
      </c>
      <c r="K502" s="1">
        <v>1.0</v>
      </c>
      <c r="L502" s="1">
        <v>137000.0</v>
      </c>
    </row>
    <row r="503">
      <c r="A503" s="1">
        <v>185.0</v>
      </c>
      <c r="B503" s="1" t="s">
        <v>806</v>
      </c>
      <c r="C503" s="1" t="s">
        <v>807</v>
      </c>
      <c r="D503" s="1" t="s">
        <v>812</v>
      </c>
      <c r="E503" s="1">
        <v>-1.0</v>
      </c>
      <c r="F503" s="1">
        <v>-0.25</v>
      </c>
      <c r="G503" s="1">
        <v>180.0</v>
      </c>
      <c r="H503" s="1" t="s">
        <v>809</v>
      </c>
      <c r="I503" s="1" t="s">
        <v>809</v>
      </c>
      <c r="J503" s="1" t="s">
        <v>809</v>
      </c>
      <c r="K503" s="1">
        <v>1.0</v>
      </c>
      <c r="L503" s="1">
        <v>20000.0</v>
      </c>
    </row>
    <row r="504">
      <c r="A504" s="1">
        <v>185.0</v>
      </c>
      <c r="B504" s="1" t="s">
        <v>806</v>
      </c>
      <c r="C504" s="1" t="s">
        <v>810</v>
      </c>
      <c r="D504" s="1" t="s">
        <v>812</v>
      </c>
      <c r="E504" s="1">
        <v>-1.0</v>
      </c>
      <c r="F504" s="1">
        <v>-0.25</v>
      </c>
      <c r="G504" s="1">
        <v>10.0</v>
      </c>
      <c r="H504" s="1" t="s">
        <v>809</v>
      </c>
      <c r="I504" s="1" t="s">
        <v>809</v>
      </c>
      <c r="J504" s="1" t="s">
        <v>809</v>
      </c>
      <c r="K504" s="1">
        <v>1.0</v>
      </c>
      <c r="L504" s="1">
        <v>20000.0</v>
      </c>
    </row>
    <row r="505">
      <c r="A505" s="1">
        <v>185.0</v>
      </c>
      <c r="B505" s="1" t="s">
        <v>806</v>
      </c>
      <c r="C505" s="1" t="s">
        <v>809</v>
      </c>
      <c r="D505" s="1" t="s">
        <v>910</v>
      </c>
      <c r="E505" s="1" t="s">
        <v>809</v>
      </c>
      <c r="F505" s="1" t="s">
        <v>809</v>
      </c>
      <c r="G505" s="1" t="s">
        <v>809</v>
      </c>
      <c r="H505" s="1" t="s">
        <v>809</v>
      </c>
      <c r="I505" s="1" t="s">
        <v>809</v>
      </c>
      <c r="J505" s="1" t="s">
        <v>809</v>
      </c>
      <c r="K505" s="1">
        <v>1.0</v>
      </c>
      <c r="L505" s="1">
        <v>65000.0</v>
      </c>
    </row>
    <row r="506">
      <c r="A506" s="1">
        <v>186.0</v>
      </c>
      <c r="B506" s="1" t="s">
        <v>806</v>
      </c>
      <c r="C506" s="1" t="s">
        <v>807</v>
      </c>
      <c r="D506" s="1" t="s">
        <v>836</v>
      </c>
      <c r="E506" s="1">
        <v>-2.0</v>
      </c>
      <c r="F506" s="1">
        <v>-2.5</v>
      </c>
      <c r="G506" s="1">
        <v>30.0</v>
      </c>
      <c r="H506" s="1" t="s">
        <v>809</v>
      </c>
      <c r="I506" s="1" t="s">
        <v>809</v>
      </c>
      <c r="J506" s="1" t="s">
        <v>809</v>
      </c>
      <c r="K506" s="1">
        <v>1.0</v>
      </c>
      <c r="L506" s="1">
        <v>46000.0</v>
      </c>
    </row>
    <row r="507">
      <c r="A507" s="1">
        <v>186.0</v>
      </c>
      <c r="B507" s="1" t="s">
        <v>806</v>
      </c>
      <c r="C507" s="1" t="s">
        <v>810</v>
      </c>
      <c r="D507" s="1" t="s">
        <v>836</v>
      </c>
      <c r="E507" s="1">
        <v>0.0</v>
      </c>
      <c r="F507" s="1">
        <v>-1.0</v>
      </c>
      <c r="G507" s="1">
        <v>110.0</v>
      </c>
      <c r="H507" s="1" t="s">
        <v>809</v>
      </c>
      <c r="I507" s="1" t="s">
        <v>809</v>
      </c>
      <c r="J507" s="1" t="s">
        <v>809</v>
      </c>
      <c r="K507" s="1">
        <v>1.0</v>
      </c>
      <c r="L507" s="1">
        <v>46000.0</v>
      </c>
    </row>
    <row r="508">
      <c r="A508" s="1">
        <v>187.0</v>
      </c>
      <c r="B508" s="1" t="s">
        <v>806</v>
      </c>
      <c r="C508" s="1" t="s">
        <v>807</v>
      </c>
      <c r="D508" s="1" t="s">
        <v>812</v>
      </c>
      <c r="E508" s="1">
        <v>0.0</v>
      </c>
      <c r="F508" s="1">
        <v>0.0</v>
      </c>
      <c r="G508" s="1" t="s">
        <v>809</v>
      </c>
      <c r="H508" s="1" t="s">
        <v>809</v>
      </c>
      <c r="I508" s="1" t="s">
        <v>809</v>
      </c>
      <c r="J508" s="1" t="s">
        <v>809</v>
      </c>
      <c r="K508" s="1">
        <v>1.0</v>
      </c>
      <c r="L508" s="1">
        <v>92000.0</v>
      </c>
    </row>
    <row r="509">
      <c r="A509" s="1">
        <v>187.0</v>
      </c>
      <c r="B509" s="1" t="s">
        <v>806</v>
      </c>
      <c r="C509" s="1" t="s">
        <v>810</v>
      </c>
      <c r="D509" s="1" t="s">
        <v>812</v>
      </c>
      <c r="E509" s="1">
        <v>0.0</v>
      </c>
      <c r="F509" s="1">
        <v>0.0</v>
      </c>
      <c r="G509" s="1" t="s">
        <v>809</v>
      </c>
      <c r="H509" s="1" t="s">
        <v>809</v>
      </c>
      <c r="I509" s="1" t="s">
        <v>809</v>
      </c>
      <c r="J509" s="1" t="s">
        <v>809</v>
      </c>
      <c r="K509" s="1">
        <v>1.0</v>
      </c>
      <c r="L509" s="1">
        <v>0.0</v>
      </c>
    </row>
    <row r="510">
      <c r="A510" s="1">
        <v>188.0</v>
      </c>
      <c r="B510" s="1" t="s">
        <v>825</v>
      </c>
      <c r="C510" s="1" t="s">
        <v>807</v>
      </c>
      <c r="D510" s="1" t="s">
        <v>812</v>
      </c>
      <c r="E510" s="1">
        <v>1.0</v>
      </c>
      <c r="F510" s="1">
        <v>0.0</v>
      </c>
      <c r="G510" s="1" t="s">
        <v>809</v>
      </c>
      <c r="H510" s="1" t="s">
        <v>809</v>
      </c>
      <c r="I510" s="1">
        <v>30.0</v>
      </c>
      <c r="J510" s="1" t="s">
        <v>809</v>
      </c>
      <c r="K510" s="1">
        <v>1.0</v>
      </c>
      <c r="L510" s="1">
        <v>30615.9</v>
      </c>
    </row>
    <row r="511">
      <c r="A511" s="1">
        <v>188.0</v>
      </c>
      <c r="B511" s="1" t="s">
        <v>825</v>
      </c>
      <c r="C511" s="1" t="s">
        <v>810</v>
      </c>
      <c r="D511" s="1" t="s">
        <v>812</v>
      </c>
      <c r="E511" s="1">
        <v>1.0</v>
      </c>
      <c r="F511" s="1">
        <v>0.0</v>
      </c>
      <c r="G511" s="1" t="s">
        <v>809</v>
      </c>
      <c r="H511" s="1" t="s">
        <v>809</v>
      </c>
      <c r="I511" s="1">
        <v>30.0</v>
      </c>
      <c r="J511" s="1" t="s">
        <v>809</v>
      </c>
      <c r="K511" s="1">
        <v>1.0</v>
      </c>
      <c r="L511" s="1">
        <v>30615.9</v>
      </c>
    </row>
    <row r="512">
      <c r="A512" s="1">
        <v>188.0</v>
      </c>
      <c r="B512" s="1" t="s">
        <v>825</v>
      </c>
      <c r="C512" s="1" t="s">
        <v>809</v>
      </c>
      <c r="D512" s="1" t="s">
        <v>828</v>
      </c>
      <c r="E512" s="1" t="s">
        <v>809</v>
      </c>
      <c r="F512" s="1" t="s">
        <v>809</v>
      </c>
      <c r="G512" s="1" t="s">
        <v>809</v>
      </c>
      <c r="H512" s="1" t="s">
        <v>809</v>
      </c>
      <c r="I512" s="1" t="s">
        <v>809</v>
      </c>
      <c r="J512" s="1" t="s">
        <v>809</v>
      </c>
      <c r="K512" s="1">
        <v>1.0</v>
      </c>
      <c r="L512" s="1">
        <v>65000.0</v>
      </c>
    </row>
    <row r="513">
      <c r="A513" s="1">
        <v>189.0</v>
      </c>
      <c r="B513" s="1" t="s">
        <v>806</v>
      </c>
      <c r="C513" s="1" t="s">
        <v>807</v>
      </c>
      <c r="D513" s="1" t="s">
        <v>812</v>
      </c>
      <c r="E513" s="1">
        <v>0.5</v>
      </c>
      <c r="F513" s="1">
        <v>0.0</v>
      </c>
      <c r="G513" s="1" t="s">
        <v>809</v>
      </c>
      <c r="H513" s="1" t="s">
        <v>809</v>
      </c>
      <c r="I513" s="1" t="s">
        <v>809</v>
      </c>
      <c r="J513" s="1" t="s">
        <v>809</v>
      </c>
      <c r="K513" s="1">
        <v>1.0</v>
      </c>
      <c r="L513" s="1">
        <v>25500.0</v>
      </c>
    </row>
    <row r="514">
      <c r="A514" s="1">
        <v>189.0</v>
      </c>
      <c r="B514" s="1" t="s">
        <v>806</v>
      </c>
      <c r="C514" s="1" t="s">
        <v>810</v>
      </c>
      <c r="D514" s="1" t="s">
        <v>812</v>
      </c>
      <c r="E514" s="1">
        <v>0.5</v>
      </c>
      <c r="F514" s="1">
        <v>0.0</v>
      </c>
      <c r="G514" s="1" t="s">
        <v>809</v>
      </c>
      <c r="H514" s="1" t="s">
        <v>809</v>
      </c>
      <c r="I514" s="1" t="s">
        <v>809</v>
      </c>
      <c r="J514" s="1" t="s">
        <v>809</v>
      </c>
      <c r="K514" s="1">
        <v>1.0</v>
      </c>
      <c r="L514" s="1">
        <v>25550.0</v>
      </c>
    </row>
    <row r="515">
      <c r="A515" s="1">
        <v>189.0</v>
      </c>
      <c r="B515" s="1" t="s">
        <v>806</v>
      </c>
      <c r="C515" s="1" t="s">
        <v>809</v>
      </c>
      <c r="D515" s="1" t="s">
        <v>884</v>
      </c>
      <c r="E515" s="1" t="s">
        <v>809</v>
      </c>
      <c r="F515" s="1" t="s">
        <v>809</v>
      </c>
      <c r="G515" s="1" t="s">
        <v>809</v>
      </c>
      <c r="H515" s="1" t="s">
        <v>809</v>
      </c>
      <c r="I515" s="1" t="s">
        <v>809</v>
      </c>
      <c r="J515" s="1" t="s">
        <v>809</v>
      </c>
      <c r="K515" s="1">
        <v>1.0</v>
      </c>
      <c r="L515" s="1">
        <v>143640.0</v>
      </c>
    </row>
    <row r="516">
      <c r="A516" s="1">
        <v>190.0</v>
      </c>
      <c r="B516" s="1" t="s">
        <v>806</v>
      </c>
      <c r="C516" s="1" t="s">
        <v>807</v>
      </c>
      <c r="D516" s="1" t="s">
        <v>836</v>
      </c>
      <c r="E516" s="1">
        <v>-1.0</v>
      </c>
      <c r="F516" s="1">
        <v>0.0</v>
      </c>
      <c r="G516" s="1" t="s">
        <v>809</v>
      </c>
      <c r="H516" s="1" t="s">
        <v>809</v>
      </c>
      <c r="I516" s="1" t="s">
        <v>809</v>
      </c>
      <c r="J516" s="1" t="s">
        <v>809</v>
      </c>
      <c r="K516" s="1">
        <v>1.0</v>
      </c>
      <c r="L516" s="1">
        <v>45500.0</v>
      </c>
    </row>
    <row r="517">
      <c r="A517" s="1">
        <v>190.0</v>
      </c>
      <c r="B517" s="1" t="s">
        <v>806</v>
      </c>
      <c r="C517" s="1" t="s">
        <v>810</v>
      </c>
      <c r="D517" s="1" t="s">
        <v>836</v>
      </c>
      <c r="E517" s="1">
        <v>-1.25</v>
      </c>
      <c r="F517" s="1">
        <v>-0.5</v>
      </c>
      <c r="G517" s="1">
        <v>155.0</v>
      </c>
      <c r="H517" s="1" t="s">
        <v>809</v>
      </c>
      <c r="I517" s="1" t="s">
        <v>809</v>
      </c>
      <c r="J517" s="1" t="s">
        <v>809</v>
      </c>
      <c r="K517" s="1">
        <v>1.0</v>
      </c>
      <c r="L517" s="1">
        <v>45500.0</v>
      </c>
    </row>
    <row r="518">
      <c r="A518" s="1">
        <v>190.0</v>
      </c>
      <c r="B518" s="1" t="s">
        <v>806</v>
      </c>
      <c r="C518" s="1" t="s">
        <v>809</v>
      </c>
      <c r="D518" s="1" t="s">
        <v>915</v>
      </c>
      <c r="E518" s="1" t="s">
        <v>809</v>
      </c>
      <c r="F518" s="1" t="s">
        <v>809</v>
      </c>
      <c r="G518" s="1" t="s">
        <v>809</v>
      </c>
      <c r="H518" s="1" t="s">
        <v>809</v>
      </c>
      <c r="I518" s="1" t="s">
        <v>809</v>
      </c>
      <c r="J518" s="1" t="s">
        <v>809</v>
      </c>
      <c r="K518" s="1">
        <v>1.0</v>
      </c>
      <c r="L518" s="1">
        <v>96000.0</v>
      </c>
    </row>
    <row r="519">
      <c r="A519" s="1">
        <v>191.0</v>
      </c>
      <c r="B519" s="1" t="s">
        <v>806</v>
      </c>
      <c r="C519" s="1" t="s">
        <v>807</v>
      </c>
      <c r="D519" s="1" t="s">
        <v>812</v>
      </c>
      <c r="E519" s="1">
        <v>0.0</v>
      </c>
      <c r="F519" s="1">
        <v>0.0</v>
      </c>
      <c r="G519" s="1" t="s">
        <v>809</v>
      </c>
      <c r="H519" s="1" t="s">
        <v>809</v>
      </c>
      <c r="I519" s="1" t="s">
        <v>809</v>
      </c>
      <c r="J519" s="1" t="s">
        <v>809</v>
      </c>
      <c r="K519" s="1">
        <v>1.0</v>
      </c>
      <c r="L519" s="1">
        <v>30615.9</v>
      </c>
    </row>
    <row r="520">
      <c r="A520" s="1">
        <v>191.0</v>
      </c>
      <c r="B520" s="1" t="s">
        <v>806</v>
      </c>
      <c r="C520" s="1" t="s">
        <v>810</v>
      </c>
      <c r="D520" s="1" t="s">
        <v>812</v>
      </c>
      <c r="E520" s="1">
        <v>0.0</v>
      </c>
      <c r="F520" s="1">
        <v>0.0</v>
      </c>
      <c r="G520" s="1" t="s">
        <v>809</v>
      </c>
      <c r="H520" s="1" t="s">
        <v>809</v>
      </c>
      <c r="I520" s="1" t="s">
        <v>809</v>
      </c>
      <c r="J520" s="1" t="s">
        <v>809</v>
      </c>
      <c r="K520" s="1">
        <v>1.0</v>
      </c>
      <c r="L520" s="1">
        <v>30615.9</v>
      </c>
    </row>
    <row r="521">
      <c r="A521" s="1">
        <v>191.0</v>
      </c>
      <c r="B521" s="1" t="s">
        <v>806</v>
      </c>
      <c r="C521" s="1" t="s">
        <v>809</v>
      </c>
      <c r="D521" s="1" t="s">
        <v>915</v>
      </c>
      <c r="E521" s="1" t="s">
        <v>809</v>
      </c>
      <c r="F521" s="1" t="s">
        <v>809</v>
      </c>
      <c r="G521" s="1" t="s">
        <v>809</v>
      </c>
      <c r="H521" s="1" t="s">
        <v>809</v>
      </c>
      <c r="I521" s="1" t="s">
        <v>809</v>
      </c>
      <c r="J521" s="1" t="s">
        <v>809</v>
      </c>
      <c r="K521" s="1">
        <v>1.0</v>
      </c>
      <c r="L521" s="1">
        <v>96000.0</v>
      </c>
    </row>
    <row r="522">
      <c r="A522" s="1">
        <v>192.0</v>
      </c>
      <c r="B522" s="1" t="s">
        <v>806</v>
      </c>
      <c r="C522" s="1" t="s">
        <v>807</v>
      </c>
      <c r="D522" s="1" t="s">
        <v>823</v>
      </c>
      <c r="E522" s="1">
        <v>0.0</v>
      </c>
      <c r="F522" s="1">
        <v>0.0</v>
      </c>
      <c r="G522" s="1" t="s">
        <v>809</v>
      </c>
      <c r="H522" s="1" t="s">
        <v>809</v>
      </c>
      <c r="I522" s="1" t="s">
        <v>809</v>
      </c>
      <c r="J522" s="1" t="s">
        <v>809</v>
      </c>
      <c r="K522" s="1">
        <v>1.0</v>
      </c>
      <c r="L522" s="1">
        <v>300000.0</v>
      </c>
    </row>
    <row r="523">
      <c r="A523" s="1">
        <v>192.0</v>
      </c>
      <c r="B523" s="1" t="s">
        <v>806</v>
      </c>
      <c r="C523" s="1" t="s">
        <v>810</v>
      </c>
      <c r="D523" s="1" t="s">
        <v>823</v>
      </c>
      <c r="E523" s="1">
        <v>0.0</v>
      </c>
      <c r="F523" s="1">
        <v>0.0</v>
      </c>
      <c r="G523" s="1" t="s">
        <v>809</v>
      </c>
      <c r="H523" s="1" t="s">
        <v>809</v>
      </c>
      <c r="I523" s="1" t="s">
        <v>809</v>
      </c>
      <c r="J523" s="1" t="s">
        <v>809</v>
      </c>
      <c r="K523" s="1">
        <v>1.0</v>
      </c>
      <c r="L523" s="1">
        <v>300000.0</v>
      </c>
    </row>
    <row r="524">
      <c r="A524" s="1">
        <v>192.0</v>
      </c>
      <c r="B524" s="1" t="s">
        <v>806</v>
      </c>
      <c r="C524" s="1" t="s">
        <v>809</v>
      </c>
      <c r="D524" s="1" t="s">
        <v>915</v>
      </c>
      <c r="E524" s="1" t="s">
        <v>809</v>
      </c>
      <c r="F524" s="1" t="s">
        <v>809</v>
      </c>
      <c r="G524" s="1" t="s">
        <v>809</v>
      </c>
      <c r="H524" s="1" t="s">
        <v>809</v>
      </c>
      <c r="I524" s="1" t="s">
        <v>809</v>
      </c>
      <c r="J524" s="1" t="s">
        <v>809</v>
      </c>
      <c r="K524" s="1">
        <v>1.0</v>
      </c>
      <c r="L524" s="1">
        <v>120000.0</v>
      </c>
    </row>
    <row r="525">
      <c r="A525" s="1">
        <v>193.0</v>
      </c>
      <c r="B525" s="1" t="s">
        <v>806</v>
      </c>
      <c r="C525" s="1" t="s">
        <v>807</v>
      </c>
      <c r="D525" s="1" t="s">
        <v>841</v>
      </c>
      <c r="E525" s="1">
        <v>0.0</v>
      </c>
      <c r="F525" s="1">
        <v>0.0</v>
      </c>
      <c r="G525" s="1" t="s">
        <v>809</v>
      </c>
      <c r="H525" s="1" t="s">
        <v>809</v>
      </c>
      <c r="I525" s="1" t="s">
        <v>809</v>
      </c>
      <c r="J525" s="1" t="s">
        <v>809</v>
      </c>
      <c r="K525" s="1">
        <v>1.0</v>
      </c>
      <c r="L525" s="1">
        <v>0.0</v>
      </c>
    </row>
    <row r="526">
      <c r="A526" s="1">
        <v>193.0</v>
      </c>
      <c r="B526" s="1" t="s">
        <v>806</v>
      </c>
      <c r="C526" s="1" t="s">
        <v>810</v>
      </c>
      <c r="D526" s="1" t="s">
        <v>841</v>
      </c>
      <c r="E526" s="1">
        <v>0.0</v>
      </c>
      <c r="F526" s="1">
        <v>0.0</v>
      </c>
      <c r="G526" s="1" t="s">
        <v>809</v>
      </c>
      <c r="H526" s="1" t="s">
        <v>809</v>
      </c>
      <c r="I526" s="1" t="s">
        <v>809</v>
      </c>
      <c r="J526" s="1" t="s">
        <v>809</v>
      </c>
      <c r="K526" s="1">
        <v>1.0</v>
      </c>
      <c r="L526" s="1">
        <v>0.0</v>
      </c>
    </row>
    <row r="527">
      <c r="A527" s="1">
        <v>193.0</v>
      </c>
      <c r="B527" s="1" t="s">
        <v>806</v>
      </c>
      <c r="C527" s="1" t="s">
        <v>809</v>
      </c>
      <c r="D527" s="1" t="s">
        <v>912</v>
      </c>
      <c r="E527" s="1" t="s">
        <v>809</v>
      </c>
      <c r="F527" s="1" t="s">
        <v>809</v>
      </c>
      <c r="G527" s="1" t="s">
        <v>809</v>
      </c>
      <c r="H527" s="1" t="s">
        <v>809</v>
      </c>
      <c r="I527" s="1" t="s">
        <v>809</v>
      </c>
      <c r="J527" s="1" t="s">
        <v>809</v>
      </c>
      <c r="K527" s="1">
        <v>1.0</v>
      </c>
      <c r="L527" s="1">
        <v>0.0</v>
      </c>
    </row>
    <row r="528">
      <c r="A528" s="1">
        <v>194.0</v>
      </c>
      <c r="B528" s="1" t="s">
        <v>806</v>
      </c>
      <c r="C528" s="1" t="s">
        <v>807</v>
      </c>
      <c r="D528" s="1" t="s">
        <v>815</v>
      </c>
      <c r="E528" s="1">
        <v>0.0</v>
      </c>
      <c r="F528" s="1">
        <v>0.0</v>
      </c>
      <c r="G528" s="1" t="s">
        <v>809</v>
      </c>
      <c r="H528" s="1" t="s">
        <v>809</v>
      </c>
      <c r="I528" s="1" t="s">
        <v>809</v>
      </c>
      <c r="J528" s="1" t="s">
        <v>809</v>
      </c>
      <c r="K528" s="1">
        <v>1.0</v>
      </c>
      <c r="L528" s="1">
        <v>400000.0</v>
      </c>
    </row>
    <row r="529">
      <c r="A529" s="1">
        <v>194.0</v>
      </c>
      <c r="B529" s="1" t="s">
        <v>806</v>
      </c>
      <c r="C529" s="1" t="s">
        <v>810</v>
      </c>
      <c r="D529" s="1" t="s">
        <v>815</v>
      </c>
      <c r="E529" s="1">
        <v>0.0</v>
      </c>
      <c r="F529" s="1">
        <v>0.0</v>
      </c>
      <c r="G529" s="1" t="s">
        <v>809</v>
      </c>
      <c r="H529" s="1" t="s">
        <v>809</v>
      </c>
      <c r="I529" s="1" t="s">
        <v>809</v>
      </c>
      <c r="J529" s="1" t="s">
        <v>809</v>
      </c>
      <c r="K529" s="1">
        <v>1.0</v>
      </c>
      <c r="L529" s="1">
        <v>400000.0</v>
      </c>
    </row>
    <row r="530">
      <c r="A530" s="1">
        <v>194.0</v>
      </c>
      <c r="B530" s="1" t="s">
        <v>806</v>
      </c>
      <c r="C530" s="1" t="s">
        <v>809</v>
      </c>
      <c r="D530" s="1" t="s">
        <v>912</v>
      </c>
      <c r="E530" s="1" t="s">
        <v>809</v>
      </c>
      <c r="F530" s="1" t="s">
        <v>809</v>
      </c>
      <c r="G530" s="1" t="s">
        <v>809</v>
      </c>
      <c r="H530" s="1" t="s">
        <v>809</v>
      </c>
      <c r="I530" s="1" t="s">
        <v>809</v>
      </c>
      <c r="J530" s="1" t="s">
        <v>809</v>
      </c>
      <c r="K530" s="1">
        <v>1.0</v>
      </c>
      <c r="L530" s="1">
        <v>160000.0</v>
      </c>
    </row>
    <row r="531">
      <c r="A531" s="1">
        <v>195.0</v>
      </c>
      <c r="B531" s="1" t="s">
        <v>806</v>
      </c>
      <c r="C531" s="1" t="s">
        <v>807</v>
      </c>
      <c r="D531" s="1" t="s">
        <v>817</v>
      </c>
      <c r="E531" s="1">
        <v>0.0</v>
      </c>
      <c r="F531" s="1">
        <v>0.0</v>
      </c>
      <c r="G531" s="1" t="s">
        <v>809</v>
      </c>
      <c r="H531" s="1" t="s">
        <v>809</v>
      </c>
      <c r="I531" s="1" t="s">
        <v>809</v>
      </c>
      <c r="J531" s="1" t="s">
        <v>809</v>
      </c>
      <c r="K531" s="1">
        <v>1.0</v>
      </c>
      <c r="L531" s="1">
        <v>0.0</v>
      </c>
    </row>
    <row r="532">
      <c r="A532" s="1">
        <v>195.0</v>
      </c>
      <c r="B532" s="1" t="s">
        <v>806</v>
      </c>
      <c r="C532" s="1" t="s">
        <v>810</v>
      </c>
      <c r="D532" s="1" t="s">
        <v>817</v>
      </c>
      <c r="E532" s="1">
        <v>0.0</v>
      </c>
      <c r="F532" s="1">
        <v>0.0</v>
      </c>
      <c r="G532" s="1" t="s">
        <v>809</v>
      </c>
      <c r="H532" s="1" t="s">
        <v>809</v>
      </c>
      <c r="I532" s="1" t="s">
        <v>809</v>
      </c>
      <c r="J532" s="1" t="s">
        <v>809</v>
      </c>
      <c r="K532" s="1">
        <v>1.0</v>
      </c>
      <c r="L532" s="1">
        <v>0.0</v>
      </c>
    </row>
    <row r="533">
      <c r="A533" s="1">
        <v>195.0</v>
      </c>
      <c r="B533" s="1" t="s">
        <v>806</v>
      </c>
      <c r="C533" s="1" t="s">
        <v>809</v>
      </c>
      <c r="D533" s="1" t="s">
        <v>915</v>
      </c>
      <c r="E533" s="1" t="s">
        <v>809</v>
      </c>
      <c r="F533" s="1" t="s">
        <v>809</v>
      </c>
      <c r="G533" s="1" t="s">
        <v>809</v>
      </c>
      <c r="H533" s="1" t="s">
        <v>809</v>
      </c>
      <c r="I533" s="1" t="s">
        <v>809</v>
      </c>
      <c r="J533" s="1" t="s">
        <v>809</v>
      </c>
      <c r="K533" s="1">
        <v>1.0</v>
      </c>
      <c r="L533" s="1">
        <v>0.0</v>
      </c>
    </row>
    <row r="534">
      <c r="A534" s="1">
        <v>196.0</v>
      </c>
      <c r="B534" s="1" t="s">
        <v>809</v>
      </c>
      <c r="C534" s="1" t="s">
        <v>807</v>
      </c>
      <c r="D534" s="1" t="s">
        <v>920</v>
      </c>
      <c r="E534" s="1">
        <v>0.0</v>
      </c>
      <c r="F534" s="1">
        <v>0.0</v>
      </c>
      <c r="G534" s="1" t="s">
        <v>809</v>
      </c>
      <c r="H534" s="1" t="s">
        <v>809</v>
      </c>
      <c r="I534" s="1" t="s">
        <v>809</v>
      </c>
      <c r="J534" s="1" t="s">
        <v>809</v>
      </c>
      <c r="K534" s="1">
        <v>1.0</v>
      </c>
      <c r="L534" s="1">
        <v>170610.0</v>
      </c>
    </row>
    <row r="535">
      <c r="A535" s="1">
        <v>197.0</v>
      </c>
      <c r="B535" s="1" t="s">
        <v>809</v>
      </c>
      <c r="C535" s="1">
        <v>2.0</v>
      </c>
      <c r="D535" s="1" t="s">
        <v>920</v>
      </c>
      <c r="E535" s="1">
        <v>0.0</v>
      </c>
      <c r="F535" s="1">
        <v>0.0</v>
      </c>
      <c r="G535" s="1" t="s">
        <v>809</v>
      </c>
      <c r="H535" s="1" t="s">
        <v>809</v>
      </c>
      <c r="I535" s="1" t="s">
        <v>809</v>
      </c>
      <c r="J535" s="1" t="s">
        <v>809</v>
      </c>
      <c r="K535" s="1">
        <v>1.0</v>
      </c>
      <c r="L535" s="1">
        <v>25000.0</v>
      </c>
    </row>
    <row r="536">
      <c r="A536" s="1">
        <v>198.0</v>
      </c>
      <c r="B536" s="1" t="s">
        <v>806</v>
      </c>
      <c r="C536" s="1" t="s">
        <v>807</v>
      </c>
      <c r="D536" s="1" t="s">
        <v>841</v>
      </c>
      <c r="E536" s="1">
        <v>0.0</v>
      </c>
      <c r="F536" s="1">
        <v>0.0</v>
      </c>
      <c r="G536" s="1" t="s">
        <v>809</v>
      </c>
      <c r="H536" s="1" t="s">
        <v>809</v>
      </c>
      <c r="I536" s="1" t="s">
        <v>809</v>
      </c>
      <c r="J536" s="1" t="s">
        <v>809</v>
      </c>
      <c r="K536" s="1">
        <v>1.0</v>
      </c>
      <c r="L536" s="1">
        <v>300000.0</v>
      </c>
    </row>
    <row r="537">
      <c r="A537" s="1">
        <v>198.0</v>
      </c>
      <c r="B537" s="1" t="s">
        <v>806</v>
      </c>
      <c r="C537" s="1" t="s">
        <v>810</v>
      </c>
      <c r="D537" s="1" t="s">
        <v>841</v>
      </c>
      <c r="E537" s="1">
        <v>0.0</v>
      </c>
      <c r="F537" s="1">
        <v>0.0</v>
      </c>
      <c r="G537" s="1" t="s">
        <v>809</v>
      </c>
      <c r="H537" s="1" t="s">
        <v>809</v>
      </c>
      <c r="I537" s="1" t="s">
        <v>809</v>
      </c>
      <c r="J537" s="1" t="s">
        <v>809</v>
      </c>
      <c r="K537" s="1">
        <v>1.0</v>
      </c>
      <c r="L537" s="1">
        <v>300000.0</v>
      </c>
    </row>
    <row r="538">
      <c r="A538" s="1">
        <v>198.0</v>
      </c>
      <c r="B538" s="1" t="s">
        <v>806</v>
      </c>
      <c r="C538" s="1" t="s">
        <v>809</v>
      </c>
      <c r="D538" s="1" t="s">
        <v>929</v>
      </c>
      <c r="E538" s="1" t="s">
        <v>809</v>
      </c>
      <c r="F538" s="1" t="s">
        <v>809</v>
      </c>
      <c r="G538" s="1" t="s">
        <v>809</v>
      </c>
      <c r="H538" s="1" t="s">
        <v>809</v>
      </c>
      <c r="I538" s="1" t="s">
        <v>809</v>
      </c>
      <c r="J538" s="1" t="s">
        <v>809</v>
      </c>
      <c r="K538" s="1">
        <v>1.0</v>
      </c>
      <c r="L538" s="1">
        <v>20000.0</v>
      </c>
    </row>
    <row r="539">
      <c r="A539" s="1">
        <v>199.0</v>
      </c>
      <c r="B539" s="1" t="s">
        <v>806</v>
      </c>
      <c r="C539" s="1" t="s">
        <v>807</v>
      </c>
      <c r="D539" s="1" t="s">
        <v>826</v>
      </c>
      <c r="E539" s="1">
        <v>0.0</v>
      </c>
      <c r="F539" s="1">
        <v>0.0</v>
      </c>
      <c r="G539" s="1" t="s">
        <v>809</v>
      </c>
      <c r="H539" s="1" t="s">
        <v>809</v>
      </c>
      <c r="I539" s="1" t="s">
        <v>809</v>
      </c>
      <c r="J539" s="1" t="s">
        <v>809</v>
      </c>
      <c r="K539" s="1">
        <v>1.0</v>
      </c>
      <c r="L539" s="1">
        <v>41000.0</v>
      </c>
    </row>
    <row r="540">
      <c r="A540" s="1">
        <v>199.0</v>
      </c>
      <c r="B540" s="1" t="s">
        <v>806</v>
      </c>
      <c r="C540" s="1" t="s">
        <v>810</v>
      </c>
      <c r="D540" s="1" t="s">
        <v>826</v>
      </c>
      <c r="E540" s="1">
        <v>0.0</v>
      </c>
      <c r="F540" s="1">
        <v>0.0</v>
      </c>
      <c r="G540" s="1" t="s">
        <v>809</v>
      </c>
      <c r="H540" s="1" t="s">
        <v>809</v>
      </c>
      <c r="I540" s="1" t="s">
        <v>809</v>
      </c>
      <c r="J540" s="1" t="s">
        <v>809</v>
      </c>
      <c r="K540" s="1">
        <v>1.0</v>
      </c>
      <c r="L540" s="1">
        <v>41000.0</v>
      </c>
    </row>
    <row r="541">
      <c r="A541" s="1">
        <v>200.0</v>
      </c>
      <c r="B541" s="1" t="s">
        <v>806</v>
      </c>
      <c r="C541" s="1" t="s">
        <v>807</v>
      </c>
      <c r="D541" s="1" t="s">
        <v>836</v>
      </c>
      <c r="E541" s="1">
        <v>0.0</v>
      </c>
      <c r="F541" s="1">
        <v>0.0</v>
      </c>
      <c r="G541" s="1" t="s">
        <v>809</v>
      </c>
      <c r="H541" s="1" t="s">
        <v>809</v>
      </c>
      <c r="I541" s="1" t="s">
        <v>809</v>
      </c>
      <c r="J541" s="1" t="s">
        <v>809</v>
      </c>
      <c r="K541" s="1">
        <v>1.0</v>
      </c>
      <c r="L541" s="1">
        <v>45250.0</v>
      </c>
    </row>
    <row r="542">
      <c r="A542" s="1">
        <v>200.0</v>
      </c>
      <c r="B542" s="1" t="s">
        <v>806</v>
      </c>
      <c r="C542" s="1" t="s">
        <v>810</v>
      </c>
      <c r="D542" s="1" t="s">
        <v>836</v>
      </c>
      <c r="E542" s="1">
        <v>0.0</v>
      </c>
      <c r="F542" s="1">
        <v>0.0</v>
      </c>
      <c r="G542" s="1" t="s">
        <v>809</v>
      </c>
      <c r="H542" s="1" t="s">
        <v>809</v>
      </c>
      <c r="I542" s="1" t="s">
        <v>809</v>
      </c>
      <c r="J542" s="1" t="s">
        <v>809</v>
      </c>
      <c r="K542" s="1">
        <v>1.0</v>
      </c>
      <c r="L542" s="1">
        <v>45250.0</v>
      </c>
    </row>
    <row r="543">
      <c r="A543" s="1">
        <v>200.0</v>
      </c>
      <c r="B543" s="1" t="s">
        <v>806</v>
      </c>
      <c r="C543" s="1" t="s">
        <v>809</v>
      </c>
      <c r="D543" s="1" t="s">
        <v>921</v>
      </c>
      <c r="E543" s="1" t="s">
        <v>809</v>
      </c>
      <c r="F543" s="1" t="s">
        <v>809</v>
      </c>
      <c r="G543" s="1" t="s">
        <v>809</v>
      </c>
      <c r="H543" s="1" t="s">
        <v>809</v>
      </c>
      <c r="I543" s="1" t="s">
        <v>809</v>
      </c>
      <c r="J543" s="1" t="s">
        <v>809</v>
      </c>
      <c r="K543" s="1">
        <v>1.0</v>
      </c>
      <c r="L543" s="1">
        <v>144000.0</v>
      </c>
    </row>
    <row r="544">
      <c r="A544" s="1">
        <v>200.0</v>
      </c>
      <c r="B544" s="1" t="s">
        <v>825</v>
      </c>
      <c r="C544" s="1" t="s">
        <v>807</v>
      </c>
      <c r="D544" s="1" t="s">
        <v>836</v>
      </c>
      <c r="E544" s="1">
        <v>0.0</v>
      </c>
      <c r="F544" s="1">
        <v>0.0</v>
      </c>
      <c r="G544" s="1" t="s">
        <v>809</v>
      </c>
      <c r="H544" s="1" t="s">
        <v>809</v>
      </c>
      <c r="I544" s="1" t="s">
        <v>809</v>
      </c>
      <c r="J544" s="1" t="s">
        <v>809</v>
      </c>
      <c r="K544" s="1">
        <v>1.0</v>
      </c>
      <c r="L544" s="1">
        <v>45250.0</v>
      </c>
    </row>
    <row r="545">
      <c r="A545" s="1">
        <v>200.0</v>
      </c>
      <c r="B545" s="1" t="s">
        <v>825</v>
      </c>
      <c r="C545" s="1" t="s">
        <v>810</v>
      </c>
      <c r="D545" s="1" t="s">
        <v>836</v>
      </c>
      <c r="E545" s="1">
        <v>0.0</v>
      </c>
      <c r="F545" s="1">
        <v>0.0</v>
      </c>
      <c r="G545" s="1" t="s">
        <v>809</v>
      </c>
      <c r="H545" s="1" t="s">
        <v>809</v>
      </c>
      <c r="I545" s="1" t="s">
        <v>809</v>
      </c>
      <c r="J545" s="1" t="s">
        <v>809</v>
      </c>
      <c r="K545" s="1">
        <v>1.0</v>
      </c>
      <c r="L545" s="1">
        <v>45250.0</v>
      </c>
    </row>
    <row r="546">
      <c r="A546" s="1">
        <v>200.0</v>
      </c>
      <c r="B546" s="1" t="s">
        <v>825</v>
      </c>
      <c r="C546" s="1" t="s">
        <v>809</v>
      </c>
      <c r="D546" s="1" t="s">
        <v>930</v>
      </c>
      <c r="E546" s="1" t="s">
        <v>809</v>
      </c>
      <c r="F546" s="1" t="s">
        <v>809</v>
      </c>
      <c r="G546" s="1" t="s">
        <v>809</v>
      </c>
      <c r="H546" s="1" t="s">
        <v>809</v>
      </c>
      <c r="I546" s="1" t="s">
        <v>809</v>
      </c>
      <c r="J546" s="1" t="s">
        <v>809</v>
      </c>
      <c r="K546" s="1">
        <v>1.0</v>
      </c>
      <c r="L546" s="1">
        <v>126000.0</v>
      </c>
    </row>
    <row r="547">
      <c r="A547" s="1">
        <v>201.0</v>
      </c>
      <c r="B547" s="1" t="s">
        <v>806</v>
      </c>
      <c r="C547" s="1" t="s">
        <v>807</v>
      </c>
      <c r="D547" s="1" t="s">
        <v>812</v>
      </c>
      <c r="E547" s="1">
        <v>0.0</v>
      </c>
      <c r="F547" s="1">
        <v>0.0</v>
      </c>
      <c r="G547" s="1" t="s">
        <v>809</v>
      </c>
      <c r="H547" s="1" t="s">
        <v>809</v>
      </c>
      <c r="I547" s="1" t="s">
        <v>809</v>
      </c>
      <c r="J547" s="1" t="s">
        <v>809</v>
      </c>
      <c r="K547" s="1">
        <v>1.0</v>
      </c>
      <c r="L547" s="1">
        <v>40000.0</v>
      </c>
    </row>
    <row r="548">
      <c r="A548" s="1">
        <v>201.0</v>
      </c>
      <c r="B548" s="1" t="s">
        <v>806</v>
      </c>
      <c r="C548" s="1" t="s">
        <v>810</v>
      </c>
      <c r="D548" s="1" t="s">
        <v>812</v>
      </c>
      <c r="E548" s="1">
        <v>0.0</v>
      </c>
      <c r="F548" s="1">
        <v>0.0</v>
      </c>
      <c r="G548" s="1" t="s">
        <v>809</v>
      </c>
      <c r="H548" s="1" t="s">
        <v>809</v>
      </c>
      <c r="I548" s="1" t="s">
        <v>809</v>
      </c>
      <c r="J548" s="1" t="s">
        <v>809</v>
      </c>
      <c r="K548" s="1">
        <v>1.0</v>
      </c>
      <c r="L548" s="1">
        <v>4000.0</v>
      </c>
    </row>
    <row r="549">
      <c r="A549" s="1">
        <v>201.0</v>
      </c>
      <c r="B549" s="1" t="s">
        <v>806</v>
      </c>
      <c r="C549" s="1" t="s">
        <v>809</v>
      </c>
      <c r="D549" s="1" t="s">
        <v>931</v>
      </c>
      <c r="E549" s="1" t="s">
        <v>809</v>
      </c>
      <c r="F549" s="1" t="s">
        <v>809</v>
      </c>
      <c r="G549" s="1" t="s">
        <v>809</v>
      </c>
      <c r="H549" s="1" t="s">
        <v>809</v>
      </c>
      <c r="I549" s="1" t="s">
        <v>809</v>
      </c>
      <c r="J549" s="1" t="s">
        <v>809</v>
      </c>
      <c r="K549" s="1">
        <v>1.0</v>
      </c>
      <c r="L549" s="1">
        <v>132000.0</v>
      </c>
    </row>
    <row r="550">
      <c r="A550" s="1">
        <v>202.0</v>
      </c>
      <c r="B550" s="1" t="s">
        <v>806</v>
      </c>
      <c r="C550" s="1" t="s">
        <v>807</v>
      </c>
      <c r="D550" s="1" t="s">
        <v>826</v>
      </c>
      <c r="E550" s="1">
        <v>0.0</v>
      </c>
      <c r="F550" s="1">
        <v>0.0</v>
      </c>
      <c r="G550" s="1" t="s">
        <v>809</v>
      </c>
      <c r="H550" s="1" t="s">
        <v>809</v>
      </c>
      <c r="I550" s="1" t="s">
        <v>809</v>
      </c>
      <c r="J550" s="1" t="s">
        <v>809</v>
      </c>
      <c r="K550" s="1">
        <v>1.0</v>
      </c>
      <c r="L550" s="1">
        <v>22464.98</v>
      </c>
    </row>
    <row r="551">
      <c r="A551" s="1">
        <v>202.0</v>
      </c>
      <c r="B551" s="1" t="s">
        <v>806</v>
      </c>
      <c r="C551" s="1" t="s">
        <v>810</v>
      </c>
      <c r="D551" s="1" t="s">
        <v>826</v>
      </c>
      <c r="E551" s="1">
        <v>0.0</v>
      </c>
      <c r="F551" s="1">
        <v>0.0</v>
      </c>
      <c r="G551" s="1" t="s">
        <v>809</v>
      </c>
      <c r="H551" s="1" t="s">
        <v>809</v>
      </c>
      <c r="I551" s="1" t="s">
        <v>809</v>
      </c>
      <c r="J551" s="1" t="s">
        <v>809</v>
      </c>
      <c r="K551" s="1">
        <v>1.0</v>
      </c>
      <c r="L551" s="1">
        <v>22464.98</v>
      </c>
    </row>
    <row r="552">
      <c r="A552" s="1">
        <v>202.0</v>
      </c>
      <c r="B552" s="1" t="s">
        <v>806</v>
      </c>
      <c r="C552" s="1" t="s">
        <v>809</v>
      </c>
      <c r="D552" s="1" t="s">
        <v>915</v>
      </c>
      <c r="E552" s="1" t="s">
        <v>809</v>
      </c>
      <c r="F552" s="1" t="s">
        <v>809</v>
      </c>
      <c r="G552" s="1" t="s">
        <v>809</v>
      </c>
      <c r="H552" s="1" t="s">
        <v>809</v>
      </c>
      <c r="I552" s="1" t="s">
        <v>809</v>
      </c>
      <c r="J552" s="1" t="s">
        <v>809</v>
      </c>
      <c r="K552" s="1">
        <v>1.0</v>
      </c>
      <c r="L552" s="1">
        <v>96000.0</v>
      </c>
    </row>
    <row r="553">
      <c r="A553" s="1">
        <v>203.0</v>
      </c>
      <c r="B553" s="1" t="s">
        <v>806</v>
      </c>
      <c r="C553" s="1" t="s">
        <v>807</v>
      </c>
      <c r="D553" s="1" t="s">
        <v>836</v>
      </c>
      <c r="E553" s="1">
        <v>-6.0</v>
      </c>
      <c r="F553" s="1">
        <v>-0.5</v>
      </c>
      <c r="G553" s="1">
        <v>30.0</v>
      </c>
      <c r="H553" s="1" t="s">
        <v>809</v>
      </c>
      <c r="I553" s="1" t="s">
        <v>809</v>
      </c>
      <c r="J553" s="1" t="s">
        <v>809</v>
      </c>
      <c r="K553" s="1">
        <v>1.0</v>
      </c>
      <c r="L553" s="1">
        <v>55853.0</v>
      </c>
    </row>
    <row r="554">
      <c r="A554" s="1">
        <v>203.0</v>
      </c>
      <c r="B554" s="1" t="s">
        <v>806</v>
      </c>
      <c r="C554" s="1" t="s">
        <v>810</v>
      </c>
      <c r="D554" s="1" t="s">
        <v>836</v>
      </c>
      <c r="E554" s="1">
        <v>-3.75</v>
      </c>
      <c r="F554" s="1">
        <v>-0.75</v>
      </c>
      <c r="G554" s="1">
        <v>100.0</v>
      </c>
      <c r="H554" s="1" t="s">
        <v>809</v>
      </c>
      <c r="I554" s="1" t="s">
        <v>809</v>
      </c>
      <c r="J554" s="1" t="s">
        <v>809</v>
      </c>
      <c r="K554" s="1">
        <v>1.0</v>
      </c>
      <c r="L554" s="1">
        <v>55853.0</v>
      </c>
    </row>
    <row r="555">
      <c r="A555" s="1">
        <v>203.0</v>
      </c>
      <c r="B555" s="1" t="s">
        <v>806</v>
      </c>
      <c r="C555" s="1" t="s">
        <v>809</v>
      </c>
      <c r="D555" s="1" t="s">
        <v>932</v>
      </c>
      <c r="E555" s="1" t="s">
        <v>809</v>
      </c>
      <c r="F555" s="1" t="s">
        <v>809</v>
      </c>
      <c r="G555" s="1" t="s">
        <v>809</v>
      </c>
      <c r="H555" s="1" t="s">
        <v>809</v>
      </c>
      <c r="I555" s="1" t="s">
        <v>809</v>
      </c>
      <c r="J555" s="1" t="s">
        <v>809</v>
      </c>
      <c r="K555" s="1">
        <v>1.0</v>
      </c>
      <c r="L555" s="1">
        <v>130800.0</v>
      </c>
    </row>
    <row r="556">
      <c r="A556" s="1">
        <v>204.0</v>
      </c>
      <c r="B556" s="1" t="s">
        <v>806</v>
      </c>
      <c r="C556" s="1" t="s">
        <v>807</v>
      </c>
      <c r="D556" s="1" t="s">
        <v>815</v>
      </c>
      <c r="E556" s="1">
        <v>0.0</v>
      </c>
      <c r="F556" s="1">
        <v>0.0</v>
      </c>
      <c r="G556" s="1" t="s">
        <v>809</v>
      </c>
      <c r="H556" s="1" t="s">
        <v>809</v>
      </c>
      <c r="I556" s="1" t="s">
        <v>809</v>
      </c>
      <c r="J556" s="1" t="s">
        <v>809</v>
      </c>
      <c r="K556" s="1">
        <v>1.0</v>
      </c>
      <c r="L556" s="1">
        <v>451500.0</v>
      </c>
    </row>
    <row r="557">
      <c r="A557" s="1">
        <v>204.0</v>
      </c>
      <c r="B557" s="1" t="s">
        <v>806</v>
      </c>
      <c r="C557" s="1" t="s">
        <v>810</v>
      </c>
      <c r="D557" s="1" t="s">
        <v>815</v>
      </c>
      <c r="E557" s="1">
        <v>0.0</v>
      </c>
      <c r="F557" s="1">
        <v>0.0</v>
      </c>
      <c r="G557" s="1" t="s">
        <v>809</v>
      </c>
      <c r="H557" s="1" t="s">
        <v>809</v>
      </c>
      <c r="I557" s="1" t="s">
        <v>809</v>
      </c>
      <c r="J557" s="1" t="s">
        <v>809</v>
      </c>
      <c r="K557" s="1">
        <v>1.0</v>
      </c>
      <c r="L557" s="1">
        <v>451500.0</v>
      </c>
    </row>
    <row r="558">
      <c r="A558" s="1">
        <v>204.0</v>
      </c>
      <c r="B558" s="1" t="s">
        <v>806</v>
      </c>
      <c r="C558" s="1" t="s">
        <v>809</v>
      </c>
      <c r="D558" s="1" t="s">
        <v>915</v>
      </c>
      <c r="E558" s="1" t="s">
        <v>809</v>
      </c>
      <c r="F558" s="1" t="s">
        <v>809</v>
      </c>
      <c r="G558" s="1" t="s">
        <v>809</v>
      </c>
      <c r="H558" s="1" t="s">
        <v>809</v>
      </c>
      <c r="I558" s="1" t="s">
        <v>809</v>
      </c>
      <c r="J558" s="1" t="s">
        <v>809</v>
      </c>
      <c r="K558" s="1">
        <v>1.0</v>
      </c>
      <c r="L558" s="1">
        <v>0.0</v>
      </c>
    </row>
    <row r="559">
      <c r="A559" s="1">
        <v>205.0</v>
      </c>
      <c r="B559" s="1" t="s">
        <v>806</v>
      </c>
      <c r="C559" s="1" t="s">
        <v>807</v>
      </c>
      <c r="D559" s="1" t="s">
        <v>812</v>
      </c>
      <c r="E559" s="1">
        <v>0.0</v>
      </c>
      <c r="F559" s="1">
        <v>0.0</v>
      </c>
      <c r="G559" s="1" t="s">
        <v>809</v>
      </c>
      <c r="H559" s="1" t="s">
        <v>809</v>
      </c>
      <c r="I559" s="1" t="s">
        <v>809</v>
      </c>
      <c r="J559" s="1" t="s">
        <v>809</v>
      </c>
      <c r="K559" s="1">
        <v>1.0</v>
      </c>
      <c r="L559" s="1">
        <v>30615.9</v>
      </c>
    </row>
    <row r="560">
      <c r="A560" s="1">
        <v>205.0</v>
      </c>
      <c r="B560" s="1" t="s">
        <v>806</v>
      </c>
      <c r="C560" s="1" t="s">
        <v>810</v>
      </c>
      <c r="D560" s="1" t="s">
        <v>812</v>
      </c>
      <c r="E560" s="1">
        <v>0.0</v>
      </c>
      <c r="F560" s="1">
        <v>0.0</v>
      </c>
      <c r="G560" s="1" t="s">
        <v>809</v>
      </c>
      <c r="H560" s="1" t="s">
        <v>809</v>
      </c>
      <c r="I560" s="1" t="s">
        <v>809</v>
      </c>
      <c r="J560" s="1" t="s">
        <v>809</v>
      </c>
      <c r="K560" s="1">
        <v>1.0</v>
      </c>
      <c r="L560" s="1">
        <v>30615.9</v>
      </c>
    </row>
    <row r="561">
      <c r="A561" s="1">
        <v>205.0</v>
      </c>
      <c r="B561" s="1" t="s">
        <v>806</v>
      </c>
      <c r="C561" s="1" t="s">
        <v>809</v>
      </c>
      <c r="D561" s="1" t="s">
        <v>933</v>
      </c>
      <c r="E561" s="1" t="s">
        <v>809</v>
      </c>
      <c r="F561" s="1" t="s">
        <v>809</v>
      </c>
      <c r="G561" s="1" t="s">
        <v>809</v>
      </c>
      <c r="H561" s="1" t="s">
        <v>809</v>
      </c>
      <c r="I561" s="1" t="s">
        <v>809</v>
      </c>
      <c r="J561" s="1" t="s">
        <v>809</v>
      </c>
      <c r="K561" s="1">
        <v>1.0</v>
      </c>
      <c r="L561" s="1">
        <v>124000.0</v>
      </c>
    </row>
    <row r="562">
      <c r="A562" s="1">
        <v>206.0</v>
      </c>
      <c r="B562" s="1" t="s">
        <v>806</v>
      </c>
      <c r="C562" s="1" t="s">
        <v>807</v>
      </c>
      <c r="D562" s="1" t="s">
        <v>826</v>
      </c>
      <c r="E562" s="1">
        <v>-1.75</v>
      </c>
      <c r="F562" s="1">
        <v>-0.75</v>
      </c>
      <c r="G562" s="1">
        <v>15.0</v>
      </c>
      <c r="H562" s="1" t="s">
        <v>809</v>
      </c>
      <c r="I562" s="1" t="s">
        <v>809</v>
      </c>
      <c r="J562" s="1" t="s">
        <v>809</v>
      </c>
      <c r="K562" s="1">
        <v>1.0</v>
      </c>
      <c r="L562" s="1">
        <v>22464.98</v>
      </c>
    </row>
    <row r="563">
      <c r="A563" s="1">
        <v>206.0</v>
      </c>
      <c r="B563" s="1" t="s">
        <v>806</v>
      </c>
      <c r="C563" s="1" t="s">
        <v>810</v>
      </c>
      <c r="D563" s="1" t="s">
        <v>826</v>
      </c>
      <c r="E563" s="1">
        <v>-1.75</v>
      </c>
      <c r="F563" s="1">
        <v>-0.75</v>
      </c>
      <c r="G563" s="1">
        <v>5.0</v>
      </c>
      <c r="H563" s="1" t="s">
        <v>809</v>
      </c>
      <c r="I563" s="1" t="s">
        <v>809</v>
      </c>
      <c r="J563" s="1" t="s">
        <v>809</v>
      </c>
      <c r="K563" s="1">
        <v>1.0</v>
      </c>
      <c r="L563" s="1">
        <v>22464.98</v>
      </c>
    </row>
    <row r="564">
      <c r="A564" s="1">
        <v>206.0</v>
      </c>
      <c r="B564" s="1" t="s">
        <v>806</v>
      </c>
      <c r="C564" s="1" t="s">
        <v>809</v>
      </c>
      <c r="D564" s="1" t="s">
        <v>934</v>
      </c>
      <c r="E564" s="1" t="s">
        <v>809</v>
      </c>
      <c r="F564" s="1" t="s">
        <v>809</v>
      </c>
      <c r="G564" s="1" t="s">
        <v>809</v>
      </c>
      <c r="H564" s="1" t="s">
        <v>809</v>
      </c>
      <c r="I564" s="1" t="s">
        <v>809</v>
      </c>
      <c r="J564" s="1" t="s">
        <v>809</v>
      </c>
      <c r="K564" s="1">
        <v>1.0</v>
      </c>
      <c r="L564" s="1">
        <v>165564.0</v>
      </c>
    </row>
    <row r="565">
      <c r="A565" s="1">
        <v>207.0</v>
      </c>
      <c r="B565" s="1" t="s">
        <v>806</v>
      </c>
      <c r="C565" s="1" t="s">
        <v>807</v>
      </c>
      <c r="D565" s="1" t="s">
        <v>812</v>
      </c>
      <c r="E565" s="1">
        <v>2.5</v>
      </c>
      <c r="F565" s="1">
        <v>-0.75</v>
      </c>
      <c r="G565" s="1">
        <v>45.0</v>
      </c>
      <c r="H565" s="1" t="s">
        <v>809</v>
      </c>
      <c r="I565" s="1" t="s">
        <v>809</v>
      </c>
      <c r="J565" s="1" t="s">
        <v>809</v>
      </c>
      <c r="K565" s="1">
        <v>1.0</v>
      </c>
      <c r="L565" s="1">
        <v>30615.9</v>
      </c>
    </row>
    <row r="566">
      <c r="A566" s="1">
        <v>207.0</v>
      </c>
      <c r="B566" s="1" t="s">
        <v>806</v>
      </c>
      <c r="C566" s="1" t="s">
        <v>810</v>
      </c>
      <c r="D566" s="1" t="s">
        <v>812</v>
      </c>
      <c r="E566" s="1">
        <v>2.5</v>
      </c>
      <c r="F566" s="1">
        <v>-0.5</v>
      </c>
      <c r="G566" s="1">
        <v>5.0</v>
      </c>
      <c r="H566" s="1" t="s">
        <v>809</v>
      </c>
      <c r="I566" s="1" t="s">
        <v>809</v>
      </c>
      <c r="J566" s="1" t="s">
        <v>809</v>
      </c>
      <c r="K566" s="1">
        <v>1.0</v>
      </c>
      <c r="L566" s="1">
        <v>30615.9</v>
      </c>
    </row>
    <row r="567">
      <c r="A567" s="1">
        <v>207.0</v>
      </c>
      <c r="B567" s="1" t="s">
        <v>806</v>
      </c>
      <c r="C567" s="1" t="s">
        <v>809</v>
      </c>
      <c r="D567" s="1" t="s">
        <v>935</v>
      </c>
      <c r="E567" s="1" t="s">
        <v>809</v>
      </c>
      <c r="F567" s="1" t="s">
        <v>809</v>
      </c>
      <c r="G567" s="1" t="s">
        <v>809</v>
      </c>
      <c r="H567" s="1" t="s">
        <v>809</v>
      </c>
      <c r="I567" s="1" t="s">
        <v>809</v>
      </c>
      <c r="J567" s="1" t="s">
        <v>809</v>
      </c>
      <c r="K567" s="1">
        <v>1.0</v>
      </c>
      <c r="L567" s="1">
        <v>223200.0</v>
      </c>
    </row>
    <row r="568">
      <c r="A568" s="1">
        <v>207.0</v>
      </c>
      <c r="B568" s="1" t="s">
        <v>825</v>
      </c>
      <c r="C568" s="1" t="s">
        <v>807</v>
      </c>
      <c r="D568" s="1" t="s">
        <v>812</v>
      </c>
      <c r="E568" s="1">
        <v>5.5</v>
      </c>
      <c r="F568" s="1">
        <v>0.0</v>
      </c>
      <c r="G568" s="1" t="s">
        <v>809</v>
      </c>
      <c r="H568" s="1" t="s">
        <v>809</v>
      </c>
      <c r="I568" s="1" t="s">
        <v>809</v>
      </c>
      <c r="J568" s="1" t="s">
        <v>809</v>
      </c>
      <c r="K568" s="1">
        <v>1.0</v>
      </c>
      <c r="L568" s="1">
        <v>30615.9</v>
      </c>
    </row>
    <row r="569">
      <c r="A569" s="1">
        <v>207.0</v>
      </c>
      <c r="B569" s="1" t="s">
        <v>825</v>
      </c>
      <c r="C569" s="1" t="s">
        <v>810</v>
      </c>
      <c r="D569" s="1" t="s">
        <v>812</v>
      </c>
      <c r="E569" s="1">
        <v>5.5</v>
      </c>
      <c r="F569" s="1">
        <v>0.0</v>
      </c>
      <c r="G569" s="1" t="s">
        <v>809</v>
      </c>
      <c r="H569" s="1" t="s">
        <v>809</v>
      </c>
      <c r="I569" s="1" t="s">
        <v>809</v>
      </c>
      <c r="J569" s="1" t="s">
        <v>809</v>
      </c>
      <c r="K569" s="1">
        <v>1.0</v>
      </c>
      <c r="L569" s="1">
        <v>30615.9</v>
      </c>
    </row>
    <row r="570">
      <c r="A570" s="1">
        <v>208.0</v>
      </c>
      <c r="B570" s="1" t="s">
        <v>806</v>
      </c>
      <c r="C570" s="1" t="s">
        <v>807</v>
      </c>
      <c r="D570" s="1" t="s">
        <v>836</v>
      </c>
      <c r="E570" s="1">
        <v>-2.0</v>
      </c>
      <c r="F570" s="1">
        <v>-1.5</v>
      </c>
      <c r="G570" s="1">
        <v>20.0</v>
      </c>
      <c r="H570" s="1" t="s">
        <v>809</v>
      </c>
      <c r="I570" s="1">
        <v>34.0</v>
      </c>
      <c r="J570" s="1" t="s">
        <v>809</v>
      </c>
      <c r="K570" s="1">
        <v>1.0</v>
      </c>
      <c r="L570" s="1">
        <v>45500.0</v>
      </c>
    </row>
    <row r="571">
      <c r="A571" s="1">
        <v>208.0</v>
      </c>
      <c r="B571" s="1" t="s">
        <v>806</v>
      </c>
      <c r="C571" s="1" t="s">
        <v>810</v>
      </c>
      <c r="D571" s="1" t="s">
        <v>836</v>
      </c>
      <c r="E571" s="1">
        <v>-2.75</v>
      </c>
      <c r="F571" s="1">
        <v>-1.0</v>
      </c>
      <c r="G571" s="1">
        <v>170.0</v>
      </c>
      <c r="H571" s="1" t="s">
        <v>809</v>
      </c>
      <c r="I571" s="1">
        <v>35.0</v>
      </c>
      <c r="J571" s="1" t="s">
        <v>809</v>
      </c>
      <c r="K571" s="1">
        <v>1.0</v>
      </c>
      <c r="L571" s="1">
        <v>45500.0</v>
      </c>
    </row>
    <row r="572">
      <c r="A572" s="1">
        <v>208.0</v>
      </c>
      <c r="B572" s="1" t="s">
        <v>806</v>
      </c>
      <c r="C572" s="1" t="s">
        <v>809</v>
      </c>
      <c r="D572" s="1" t="s">
        <v>915</v>
      </c>
      <c r="E572" s="1" t="s">
        <v>809</v>
      </c>
      <c r="F572" s="1" t="s">
        <v>809</v>
      </c>
      <c r="G572" s="1" t="s">
        <v>809</v>
      </c>
      <c r="H572" s="1" t="s">
        <v>809</v>
      </c>
      <c r="I572" s="1" t="s">
        <v>809</v>
      </c>
      <c r="J572" s="1" t="s">
        <v>809</v>
      </c>
      <c r="K572" s="1">
        <v>1.0</v>
      </c>
      <c r="L572" s="1">
        <v>120000.0</v>
      </c>
    </row>
    <row r="573">
      <c r="A573" s="1">
        <v>209.0</v>
      </c>
      <c r="B573" s="1" t="s">
        <v>806</v>
      </c>
      <c r="C573" s="1" t="s">
        <v>807</v>
      </c>
      <c r="D573" s="1" t="s">
        <v>808</v>
      </c>
      <c r="E573" s="1">
        <v>-1.75</v>
      </c>
      <c r="F573" s="1">
        <v>-0.25</v>
      </c>
      <c r="G573" s="1">
        <v>100.0</v>
      </c>
      <c r="H573" s="1" t="s">
        <v>809</v>
      </c>
      <c r="I573" s="1">
        <v>30.0</v>
      </c>
      <c r="J573" s="1" t="s">
        <v>809</v>
      </c>
      <c r="K573" s="1">
        <v>1.0</v>
      </c>
      <c r="L573" s="1">
        <v>30000.0</v>
      </c>
    </row>
    <row r="574">
      <c r="A574" s="1">
        <v>209.0</v>
      </c>
      <c r="B574" s="1" t="s">
        <v>806</v>
      </c>
      <c r="C574" s="1" t="s">
        <v>810</v>
      </c>
      <c r="D574" s="1" t="s">
        <v>808</v>
      </c>
      <c r="E574" s="1">
        <v>-1.25</v>
      </c>
      <c r="F574" s="1">
        <v>-0.25</v>
      </c>
      <c r="G574" s="1">
        <v>85.0</v>
      </c>
      <c r="H574" s="1" t="s">
        <v>809</v>
      </c>
      <c r="I574" s="1">
        <v>30.0</v>
      </c>
      <c r="J574" s="1" t="s">
        <v>809</v>
      </c>
      <c r="K574" s="1">
        <v>1.0</v>
      </c>
      <c r="L574" s="1">
        <v>30000.0</v>
      </c>
    </row>
    <row r="575">
      <c r="A575" s="1">
        <v>209.0</v>
      </c>
      <c r="B575" s="1" t="s">
        <v>806</v>
      </c>
      <c r="C575" s="1" t="s">
        <v>809</v>
      </c>
      <c r="D575" s="1" t="s">
        <v>910</v>
      </c>
      <c r="E575" s="1" t="s">
        <v>809</v>
      </c>
      <c r="F575" s="1" t="s">
        <v>809</v>
      </c>
      <c r="G575" s="1" t="s">
        <v>809</v>
      </c>
      <c r="H575" s="1" t="s">
        <v>809</v>
      </c>
      <c r="I575" s="1" t="s">
        <v>809</v>
      </c>
      <c r="J575" s="1" t="s">
        <v>809</v>
      </c>
      <c r="K575" s="1">
        <v>1.0</v>
      </c>
      <c r="L575" s="1">
        <v>110000.0</v>
      </c>
    </row>
    <row r="576">
      <c r="A576" s="1">
        <v>209.0</v>
      </c>
      <c r="B576" s="1" t="s">
        <v>825</v>
      </c>
      <c r="C576" s="1" t="s">
        <v>807</v>
      </c>
      <c r="D576" s="1" t="s">
        <v>812</v>
      </c>
      <c r="E576" s="1">
        <v>-1.75</v>
      </c>
      <c r="F576" s="1">
        <v>-0.25</v>
      </c>
      <c r="G576" s="1">
        <v>100.0</v>
      </c>
      <c r="H576" s="1" t="s">
        <v>809</v>
      </c>
      <c r="I576" s="1">
        <v>0.0</v>
      </c>
      <c r="J576" s="1">
        <v>20.0</v>
      </c>
      <c r="K576" s="1">
        <v>1.0</v>
      </c>
      <c r="L576" s="1">
        <v>0.0</v>
      </c>
    </row>
    <row r="577">
      <c r="A577" s="1">
        <v>209.0</v>
      </c>
      <c r="B577" s="1" t="s">
        <v>825</v>
      </c>
      <c r="C577" s="1" t="s">
        <v>810</v>
      </c>
      <c r="D577" s="1" t="s">
        <v>812</v>
      </c>
      <c r="E577" s="1">
        <v>-1.25</v>
      </c>
      <c r="F577" s="1">
        <v>-0.25</v>
      </c>
      <c r="G577" s="1">
        <v>85.0</v>
      </c>
      <c r="H577" s="1" t="s">
        <v>809</v>
      </c>
      <c r="I577" s="1">
        <v>0.0</v>
      </c>
      <c r="J577" s="1">
        <v>20.0</v>
      </c>
      <c r="K577" s="1">
        <v>1.0</v>
      </c>
      <c r="L577" s="1">
        <v>0.0</v>
      </c>
    </row>
    <row r="578">
      <c r="A578" s="1">
        <v>209.0</v>
      </c>
      <c r="B578" s="1" t="s">
        <v>825</v>
      </c>
      <c r="C578" s="1" t="s">
        <v>809</v>
      </c>
      <c r="D578" s="1" t="s">
        <v>910</v>
      </c>
      <c r="E578" s="1" t="s">
        <v>809</v>
      </c>
      <c r="F578" s="1" t="s">
        <v>809</v>
      </c>
      <c r="G578" s="1" t="s">
        <v>809</v>
      </c>
      <c r="H578" s="1" t="s">
        <v>809</v>
      </c>
      <c r="I578" s="1" t="s">
        <v>809</v>
      </c>
      <c r="J578" s="1" t="s">
        <v>809</v>
      </c>
      <c r="K578" s="1">
        <v>1.0</v>
      </c>
      <c r="L578" s="1">
        <v>0.0</v>
      </c>
    </row>
    <row r="579">
      <c r="A579" s="1">
        <v>210.0</v>
      </c>
      <c r="B579" s="1" t="s">
        <v>806</v>
      </c>
      <c r="C579" s="1" t="s">
        <v>807</v>
      </c>
      <c r="D579" s="1" t="s">
        <v>919</v>
      </c>
      <c r="E579" s="1">
        <v>0.75</v>
      </c>
      <c r="F579" s="1">
        <v>-0.25</v>
      </c>
      <c r="G579" s="1">
        <v>5.0</v>
      </c>
      <c r="H579" s="1">
        <v>1.75</v>
      </c>
      <c r="I579" s="1" t="s">
        <v>809</v>
      </c>
      <c r="J579" s="1" t="s">
        <v>809</v>
      </c>
      <c r="K579" s="1">
        <v>1.0</v>
      </c>
      <c r="L579" s="1">
        <v>52254.0</v>
      </c>
    </row>
    <row r="580">
      <c r="A580" s="1">
        <v>210.0</v>
      </c>
      <c r="B580" s="1" t="s">
        <v>806</v>
      </c>
      <c r="C580" s="1" t="s">
        <v>810</v>
      </c>
      <c r="D580" s="1" t="s">
        <v>919</v>
      </c>
      <c r="E580" s="1">
        <v>0.75</v>
      </c>
      <c r="F580" s="1">
        <v>-0.25</v>
      </c>
      <c r="G580" s="1">
        <v>0.0</v>
      </c>
      <c r="H580" s="1">
        <v>1.75</v>
      </c>
      <c r="I580" s="1" t="s">
        <v>809</v>
      </c>
      <c r="J580" s="1" t="s">
        <v>809</v>
      </c>
      <c r="K580" s="1">
        <v>1.0</v>
      </c>
      <c r="L580" s="1">
        <v>52254.0</v>
      </c>
    </row>
    <row r="581">
      <c r="A581" s="1">
        <v>210.0</v>
      </c>
      <c r="B581" s="1" t="s">
        <v>806</v>
      </c>
      <c r="C581" s="1" t="s">
        <v>809</v>
      </c>
      <c r="D581" s="1" t="s">
        <v>936</v>
      </c>
      <c r="E581" s="1" t="s">
        <v>809</v>
      </c>
      <c r="F581" s="1" t="s">
        <v>809</v>
      </c>
      <c r="G581" s="1" t="s">
        <v>809</v>
      </c>
      <c r="H581" s="1" t="s">
        <v>809</v>
      </c>
      <c r="I581" s="1" t="s">
        <v>809</v>
      </c>
      <c r="J581" s="1" t="s">
        <v>809</v>
      </c>
      <c r="K581" s="1">
        <v>1.0</v>
      </c>
      <c r="L581" s="1">
        <v>123492.0</v>
      </c>
    </row>
    <row r="582">
      <c r="A582" s="1">
        <v>211.0</v>
      </c>
      <c r="B582" s="1" t="s">
        <v>806</v>
      </c>
      <c r="C582" s="1" t="s">
        <v>807</v>
      </c>
      <c r="D582" s="1" t="s">
        <v>812</v>
      </c>
      <c r="E582" s="1">
        <v>0.5</v>
      </c>
      <c r="F582" s="1">
        <v>-3.0</v>
      </c>
      <c r="G582" s="1">
        <v>5.0</v>
      </c>
      <c r="H582" s="1" t="s">
        <v>809</v>
      </c>
      <c r="I582" s="1" t="s">
        <v>809</v>
      </c>
      <c r="J582" s="1" t="s">
        <v>809</v>
      </c>
      <c r="K582" s="1">
        <v>1.0</v>
      </c>
      <c r="L582" s="1">
        <v>29000.0</v>
      </c>
    </row>
    <row r="583">
      <c r="A583" s="1">
        <v>211.0</v>
      </c>
      <c r="B583" s="1" t="s">
        <v>806</v>
      </c>
      <c r="C583" s="1" t="s">
        <v>810</v>
      </c>
      <c r="D583" s="1" t="s">
        <v>812</v>
      </c>
      <c r="E583" s="1">
        <v>1.5</v>
      </c>
      <c r="F583" s="1">
        <v>-3.75</v>
      </c>
      <c r="G583" s="1">
        <v>160.0</v>
      </c>
      <c r="H583" s="1" t="s">
        <v>809</v>
      </c>
      <c r="I583" s="1" t="s">
        <v>809</v>
      </c>
      <c r="J583" s="1" t="s">
        <v>809</v>
      </c>
      <c r="K583" s="1">
        <v>1.0</v>
      </c>
      <c r="L583" s="1">
        <v>29000.0</v>
      </c>
    </row>
    <row r="584">
      <c r="A584" s="1">
        <v>211.0</v>
      </c>
      <c r="B584" s="1" t="s">
        <v>806</v>
      </c>
      <c r="C584" s="1" t="s">
        <v>809</v>
      </c>
      <c r="D584" s="1" t="s">
        <v>937</v>
      </c>
      <c r="E584" s="1" t="s">
        <v>809</v>
      </c>
      <c r="F584" s="1" t="s">
        <v>809</v>
      </c>
      <c r="G584" s="1" t="s">
        <v>809</v>
      </c>
      <c r="H584" s="1" t="s">
        <v>809</v>
      </c>
      <c r="I584" s="1" t="s">
        <v>809</v>
      </c>
      <c r="J584" s="1" t="s">
        <v>809</v>
      </c>
      <c r="K584" s="1">
        <v>1.0</v>
      </c>
      <c r="L584" s="1">
        <v>122000.0</v>
      </c>
    </row>
    <row r="585">
      <c r="A585" s="1">
        <v>212.0</v>
      </c>
      <c r="B585" s="1" t="s">
        <v>806</v>
      </c>
      <c r="C585" s="1" t="s">
        <v>807</v>
      </c>
      <c r="D585" s="1" t="s">
        <v>836</v>
      </c>
      <c r="E585" s="1">
        <v>0.5</v>
      </c>
      <c r="F585" s="1">
        <v>-3.0</v>
      </c>
      <c r="G585" s="1">
        <v>0.0</v>
      </c>
      <c r="H585" s="1" t="s">
        <v>809</v>
      </c>
      <c r="I585" s="1">
        <v>30.0</v>
      </c>
      <c r="J585" s="1" t="s">
        <v>809</v>
      </c>
      <c r="K585" s="1">
        <v>1.0</v>
      </c>
      <c r="L585" s="1">
        <v>45500.0</v>
      </c>
    </row>
    <row r="586">
      <c r="A586" s="1">
        <v>212.0</v>
      </c>
      <c r="B586" s="1" t="s">
        <v>806</v>
      </c>
      <c r="C586" s="1" t="s">
        <v>810</v>
      </c>
      <c r="D586" s="1" t="s">
        <v>836</v>
      </c>
      <c r="E586" s="1">
        <v>0.5</v>
      </c>
      <c r="F586" s="1">
        <v>-3.0</v>
      </c>
      <c r="G586" s="1">
        <v>175.0</v>
      </c>
      <c r="H586" s="1" t="s">
        <v>809</v>
      </c>
      <c r="I586" s="1">
        <v>30.0</v>
      </c>
      <c r="J586" s="1" t="s">
        <v>809</v>
      </c>
      <c r="K586" s="1">
        <v>1.0</v>
      </c>
      <c r="L586" s="1">
        <v>45500.0</v>
      </c>
    </row>
    <row r="587">
      <c r="A587" s="1">
        <v>213.0</v>
      </c>
      <c r="B587" s="1" t="s">
        <v>806</v>
      </c>
      <c r="C587" s="1" t="s">
        <v>807</v>
      </c>
      <c r="D587" s="1" t="s">
        <v>812</v>
      </c>
      <c r="E587" s="1">
        <v>0.5</v>
      </c>
      <c r="F587" s="1">
        <v>0.0</v>
      </c>
      <c r="G587" s="1" t="s">
        <v>809</v>
      </c>
      <c r="H587" s="1" t="s">
        <v>809</v>
      </c>
      <c r="I587" s="1">
        <v>31.0</v>
      </c>
      <c r="J587" s="1">
        <v>27.0</v>
      </c>
      <c r="K587" s="1">
        <v>1.0</v>
      </c>
      <c r="L587" s="1">
        <v>24000.0</v>
      </c>
    </row>
    <row r="588">
      <c r="A588" s="1">
        <v>213.0</v>
      </c>
      <c r="B588" s="1" t="s">
        <v>806</v>
      </c>
      <c r="C588" s="1" t="s">
        <v>810</v>
      </c>
      <c r="D588" s="1" t="s">
        <v>812</v>
      </c>
      <c r="E588" s="1">
        <v>0.5</v>
      </c>
      <c r="F588" s="1">
        <v>0.0</v>
      </c>
      <c r="G588" s="1" t="s">
        <v>809</v>
      </c>
      <c r="H588" s="1" t="s">
        <v>809</v>
      </c>
      <c r="I588" s="1">
        <v>31.0</v>
      </c>
      <c r="J588" s="1">
        <v>27.0</v>
      </c>
      <c r="K588" s="1">
        <v>1.0</v>
      </c>
      <c r="L588" s="1">
        <v>24000.0</v>
      </c>
    </row>
    <row r="589">
      <c r="A589" s="1">
        <v>213.0</v>
      </c>
      <c r="B589" s="1" t="s">
        <v>806</v>
      </c>
      <c r="C589" s="1" t="s">
        <v>809</v>
      </c>
      <c r="D589" s="1" t="s">
        <v>938</v>
      </c>
      <c r="E589" s="1" t="s">
        <v>809</v>
      </c>
      <c r="F589" s="1" t="s">
        <v>809</v>
      </c>
      <c r="G589" s="1" t="s">
        <v>809</v>
      </c>
      <c r="H589" s="1" t="s">
        <v>809</v>
      </c>
      <c r="I589" s="1" t="s">
        <v>809</v>
      </c>
      <c r="J589" s="1" t="s">
        <v>809</v>
      </c>
      <c r="K589" s="1">
        <v>1.0</v>
      </c>
      <c r="L589" s="1">
        <v>122000.0</v>
      </c>
    </row>
    <row r="590">
      <c r="A590" s="1">
        <v>214.0</v>
      </c>
      <c r="B590" s="1" t="s">
        <v>806</v>
      </c>
      <c r="C590" s="1" t="s">
        <v>807</v>
      </c>
      <c r="D590" s="1" t="s">
        <v>815</v>
      </c>
      <c r="E590" s="1">
        <v>-0.25</v>
      </c>
      <c r="F590" s="1">
        <v>-1.25</v>
      </c>
      <c r="G590" s="1">
        <v>100.0</v>
      </c>
      <c r="H590" s="1" t="s">
        <v>809</v>
      </c>
      <c r="I590" s="1">
        <v>29.5</v>
      </c>
      <c r="J590" s="1">
        <v>26.0</v>
      </c>
      <c r="K590" s="1">
        <v>1.0</v>
      </c>
      <c r="L590" s="1">
        <v>227700.0</v>
      </c>
    </row>
    <row r="591">
      <c r="A591" s="1">
        <v>214.0</v>
      </c>
      <c r="B591" s="1" t="s">
        <v>806</v>
      </c>
      <c r="C591" s="1" t="s">
        <v>810</v>
      </c>
      <c r="D591" s="1" t="s">
        <v>815</v>
      </c>
      <c r="E591" s="1">
        <v>-1.0</v>
      </c>
      <c r="F591" s="1">
        <v>-0.75</v>
      </c>
      <c r="G591" s="1">
        <v>70.0</v>
      </c>
      <c r="H591" s="1" t="s">
        <v>809</v>
      </c>
      <c r="I591" s="1">
        <v>29.5</v>
      </c>
      <c r="J591" s="1">
        <v>26.0</v>
      </c>
      <c r="K591" s="1">
        <v>1.0</v>
      </c>
      <c r="L591" s="1">
        <v>227700.0</v>
      </c>
    </row>
    <row r="592">
      <c r="A592" s="1">
        <v>214.0</v>
      </c>
      <c r="B592" s="1" t="s">
        <v>806</v>
      </c>
      <c r="C592" s="1" t="s">
        <v>809</v>
      </c>
      <c r="D592" s="1" t="s">
        <v>915</v>
      </c>
      <c r="E592" s="1" t="s">
        <v>809</v>
      </c>
      <c r="F592" s="1" t="s">
        <v>809</v>
      </c>
      <c r="G592" s="1" t="s">
        <v>809</v>
      </c>
      <c r="H592" s="1" t="s">
        <v>809</v>
      </c>
      <c r="I592" s="1" t="s">
        <v>809</v>
      </c>
      <c r="J592" s="1" t="s">
        <v>809</v>
      </c>
      <c r="K592" s="1">
        <v>1.0</v>
      </c>
      <c r="L592" s="1">
        <v>98000.0</v>
      </c>
    </row>
    <row r="593">
      <c r="A593" s="1">
        <v>215.0</v>
      </c>
      <c r="B593" s="1" t="s">
        <v>825</v>
      </c>
      <c r="C593" s="1" t="s">
        <v>807</v>
      </c>
      <c r="D593" s="1" t="s">
        <v>836</v>
      </c>
      <c r="E593" s="1">
        <v>1.75</v>
      </c>
      <c r="F593" s="1">
        <v>0.0</v>
      </c>
      <c r="G593" s="1" t="s">
        <v>809</v>
      </c>
      <c r="H593" s="1" t="s">
        <v>809</v>
      </c>
      <c r="I593" s="1" t="s">
        <v>809</v>
      </c>
      <c r="J593" s="1">
        <v>26.0</v>
      </c>
      <c r="K593" s="1">
        <v>1.0</v>
      </c>
      <c r="L593" s="1">
        <v>45500.0</v>
      </c>
    </row>
    <row r="594">
      <c r="A594" s="1">
        <v>215.0</v>
      </c>
      <c r="B594" s="1" t="s">
        <v>825</v>
      </c>
      <c r="C594" s="1" t="s">
        <v>810</v>
      </c>
      <c r="D594" s="1" t="s">
        <v>836</v>
      </c>
      <c r="E594" s="1">
        <v>1.75</v>
      </c>
      <c r="F594" s="1">
        <v>0.0</v>
      </c>
      <c r="G594" s="1" t="s">
        <v>809</v>
      </c>
      <c r="H594" s="1" t="s">
        <v>809</v>
      </c>
      <c r="I594" s="1" t="s">
        <v>809</v>
      </c>
      <c r="J594" s="1">
        <v>26.0</v>
      </c>
      <c r="K594" s="1">
        <v>1.0</v>
      </c>
      <c r="L594" s="1">
        <v>45500.0</v>
      </c>
    </row>
    <row r="595">
      <c r="A595" s="1">
        <v>215.0</v>
      </c>
      <c r="B595" s="1" t="s">
        <v>825</v>
      </c>
      <c r="C595" s="1" t="s">
        <v>809</v>
      </c>
      <c r="D595" s="1" t="s">
        <v>915</v>
      </c>
      <c r="E595" s="1" t="s">
        <v>809</v>
      </c>
      <c r="F595" s="1" t="s">
        <v>809</v>
      </c>
      <c r="G595" s="1" t="s">
        <v>809</v>
      </c>
      <c r="H595" s="1" t="s">
        <v>809</v>
      </c>
      <c r="I595" s="1" t="s">
        <v>809</v>
      </c>
      <c r="J595" s="1" t="s">
        <v>809</v>
      </c>
      <c r="K595" s="1">
        <v>1.0</v>
      </c>
      <c r="L595" s="1">
        <v>98000.0</v>
      </c>
    </row>
    <row r="596">
      <c r="A596" s="1">
        <v>216.0</v>
      </c>
      <c r="B596" s="1" t="s">
        <v>806</v>
      </c>
      <c r="C596" s="1" t="s">
        <v>807</v>
      </c>
      <c r="D596" s="1" t="s">
        <v>836</v>
      </c>
      <c r="E596" s="1">
        <v>1.75</v>
      </c>
      <c r="F596" s="1">
        <v>0.0</v>
      </c>
      <c r="G596" s="1" t="s">
        <v>809</v>
      </c>
      <c r="H596" s="1" t="s">
        <v>809</v>
      </c>
      <c r="I596" s="1" t="s">
        <v>809</v>
      </c>
      <c r="J596" s="1" t="s">
        <v>809</v>
      </c>
      <c r="K596" s="1">
        <v>1.0</v>
      </c>
      <c r="L596" s="1">
        <v>45500.0</v>
      </c>
    </row>
    <row r="597">
      <c r="A597" s="1">
        <v>216.0</v>
      </c>
      <c r="B597" s="1" t="s">
        <v>806</v>
      </c>
      <c r="C597" s="1" t="s">
        <v>810</v>
      </c>
      <c r="D597" s="1" t="s">
        <v>836</v>
      </c>
      <c r="E597" s="1">
        <v>1.75</v>
      </c>
      <c r="F597" s="1">
        <v>0.0</v>
      </c>
      <c r="G597" s="1" t="s">
        <v>809</v>
      </c>
      <c r="H597" s="1" t="s">
        <v>809</v>
      </c>
      <c r="I597" s="1" t="s">
        <v>809</v>
      </c>
      <c r="J597" s="1" t="s">
        <v>809</v>
      </c>
      <c r="K597" s="1">
        <v>1.0</v>
      </c>
      <c r="L597" s="1">
        <v>45500.0</v>
      </c>
    </row>
    <row r="598">
      <c r="A598" s="1">
        <v>216.0</v>
      </c>
      <c r="B598" s="1" t="s">
        <v>806</v>
      </c>
      <c r="C598" s="1" t="s">
        <v>809</v>
      </c>
      <c r="D598" s="1" t="s">
        <v>915</v>
      </c>
      <c r="E598" s="1" t="s">
        <v>809</v>
      </c>
      <c r="F598" s="1" t="s">
        <v>809</v>
      </c>
      <c r="G598" s="1" t="s">
        <v>809</v>
      </c>
      <c r="H598" s="1" t="s">
        <v>809</v>
      </c>
      <c r="I598" s="1" t="s">
        <v>809</v>
      </c>
      <c r="J598" s="1" t="s">
        <v>809</v>
      </c>
      <c r="K598" s="1">
        <v>1.0</v>
      </c>
      <c r="L598" s="1">
        <v>98000.0</v>
      </c>
    </row>
    <row r="599">
      <c r="A599" s="1">
        <v>217.0</v>
      </c>
      <c r="B599" s="1" t="s">
        <v>806</v>
      </c>
      <c r="C599" s="1" t="s">
        <v>807</v>
      </c>
      <c r="D599" s="1" t="s">
        <v>812</v>
      </c>
      <c r="E599" s="1">
        <v>1.0</v>
      </c>
      <c r="F599" s="1">
        <v>0.0</v>
      </c>
      <c r="G599" s="1" t="s">
        <v>809</v>
      </c>
      <c r="H599" s="1" t="s">
        <v>809</v>
      </c>
      <c r="I599" s="1" t="s">
        <v>809</v>
      </c>
      <c r="J599" s="1" t="s">
        <v>809</v>
      </c>
      <c r="K599" s="1">
        <v>1.0</v>
      </c>
      <c r="L599" s="1">
        <v>30000.0</v>
      </c>
    </row>
    <row r="600">
      <c r="A600" s="1">
        <v>217.0</v>
      </c>
      <c r="B600" s="1" t="s">
        <v>806</v>
      </c>
      <c r="C600" s="1" t="s">
        <v>810</v>
      </c>
      <c r="D600" s="1" t="s">
        <v>812</v>
      </c>
      <c r="E600" s="1">
        <v>1.0</v>
      </c>
      <c r="F600" s="1">
        <v>0.0</v>
      </c>
      <c r="G600" s="1" t="s">
        <v>809</v>
      </c>
      <c r="H600" s="1" t="s">
        <v>809</v>
      </c>
      <c r="I600" s="1" t="s">
        <v>809</v>
      </c>
      <c r="J600" s="1" t="s">
        <v>809</v>
      </c>
      <c r="K600" s="1">
        <v>1.0</v>
      </c>
      <c r="L600" s="1">
        <v>0.0</v>
      </c>
    </row>
    <row r="601">
      <c r="A601" s="1">
        <v>217.0</v>
      </c>
      <c r="B601" s="1" t="s">
        <v>806</v>
      </c>
      <c r="C601" s="1" t="s">
        <v>809</v>
      </c>
      <c r="D601" s="1" t="s">
        <v>939</v>
      </c>
      <c r="E601" s="1" t="s">
        <v>809</v>
      </c>
      <c r="F601" s="1" t="s">
        <v>809</v>
      </c>
      <c r="G601" s="1" t="s">
        <v>809</v>
      </c>
      <c r="H601" s="1" t="s">
        <v>809</v>
      </c>
      <c r="I601" s="1" t="s">
        <v>809</v>
      </c>
      <c r="J601" s="1" t="s">
        <v>809</v>
      </c>
      <c r="K601" s="1">
        <v>1.0</v>
      </c>
      <c r="L601" s="1">
        <v>146400.0</v>
      </c>
    </row>
    <row r="602">
      <c r="A602" s="1">
        <v>217.0</v>
      </c>
      <c r="B602" s="1" t="s">
        <v>825</v>
      </c>
      <c r="C602" s="1" t="s">
        <v>807</v>
      </c>
      <c r="D602" s="1" t="s">
        <v>836</v>
      </c>
      <c r="E602" s="1">
        <v>0.0</v>
      </c>
      <c r="F602" s="1">
        <v>0.0</v>
      </c>
      <c r="G602" s="1" t="s">
        <v>809</v>
      </c>
      <c r="H602" s="1" t="s">
        <v>809</v>
      </c>
      <c r="I602" s="1" t="s">
        <v>809</v>
      </c>
      <c r="J602" s="1" t="s">
        <v>809</v>
      </c>
      <c r="K602" s="1">
        <v>1.0</v>
      </c>
      <c r="L602" s="1">
        <v>49500.0</v>
      </c>
    </row>
    <row r="603">
      <c r="A603" s="1">
        <v>217.0</v>
      </c>
      <c r="B603" s="1" t="s">
        <v>825</v>
      </c>
      <c r="C603" s="1" t="s">
        <v>810</v>
      </c>
      <c r="D603" s="1" t="s">
        <v>836</v>
      </c>
      <c r="E603" s="1">
        <v>0.0</v>
      </c>
      <c r="F603" s="1">
        <v>0.0</v>
      </c>
      <c r="G603" s="1" t="s">
        <v>809</v>
      </c>
      <c r="H603" s="1" t="s">
        <v>809</v>
      </c>
      <c r="I603" s="1" t="s">
        <v>809</v>
      </c>
      <c r="J603" s="1" t="s">
        <v>809</v>
      </c>
      <c r="K603" s="1">
        <v>1.0</v>
      </c>
      <c r="L603" s="1">
        <v>49500.0</v>
      </c>
    </row>
    <row r="604">
      <c r="A604" s="1">
        <v>217.0</v>
      </c>
      <c r="B604" s="1" t="s">
        <v>825</v>
      </c>
      <c r="C604" s="1" t="s">
        <v>809</v>
      </c>
      <c r="D604" s="1" t="s">
        <v>940</v>
      </c>
      <c r="E604" s="1" t="s">
        <v>809</v>
      </c>
      <c r="F604" s="1" t="s">
        <v>809</v>
      </c>
      <c r="G604" s="1" t="s">
        <v>809</v>
      </c>
      <c r="H604" s="1" t="s">
        <v>809</v>
      </c>
      <c r="I604" s="1" t="s">
        <v>809</v>
      </c>
      <c r="J604" s="1" t="s">
        <v>809</v>
      </c>
      <c r="K604" s="1">
        <v>1.0</v>
      </c>
      <c r="L604" s="1">
        <v>108000.0</v>
      </c>
    </row>
    <row r="605">
      <c r="A605" s="1">
        <v>218.0</v>
      </c>
      <c r="B605" s="1" t="s">
        <v>825</v>
      </c>
      <c r="C605" s="1" t="s">
        <v>807</v>
      </c>
      <c r="D605" s="1" t="s">
        <v>941</v>
      </c>
      <c r="E605" s="1">
        <v>0.0</v>
      </c>
      <c r="F605" s="1">
        <v>0.0</v>
      </c>
      <c r="G605" s="1" t="s">
        <v>809</v>
      </c>
      <c r="H605" s="1" t="s">
        <v>809</v>
      </c>
      <c r="I605" s="1" t="s">
        <v>809</v>
      </c>
      <c r="J605" s="1" t="s">
        <v>809</v>
      </c>
      <c r="K605" s="1">
        <v>1.0</v>
      </c>
      <c r="L605" s="1">
        <v>34500.0</v>
      </c>
    </row>
    <row r="606">
      <c r="A606" s="1">
        <v>218.0</v>
      </c>
      <c r="B606" s="1" t="s">
        <v>825</v>
      </c>
      <c r="C606" s="1" t="s">
        <v>810</v>
      </c>
      <c r="D606" s="1" t="s">
        <v>941</v>
      </c>
      <c r="E606" s="1">
        <v>0.0</v>
      </c>
      <c r="F606" s="1">
        <v>0.0</v>
      </c>
      <c r="G606" s="1" t="s">
        <v>809</v>
      </c>
      <c r="H606" s="1" t="s">
        <v>809</v>
      </c>
      <c r="I606" s="1" t="s">
        <v>809</v>
      </c>
      <c r="J606" s="1" t="s">
        <v>809</v>
      </c>
      <c r="K606" s="1">
        <v>1.0</v>
      </c>
      <c r="L606" s="1">
        <v>34500.0</v>
      </c>
    </row>
    <row r="607">
      <c r="A607" s="1">
        <v>219.0</v>
      </c>
      <c r="B607" s="1" t="s">
        <v>806</v>
      </c>
      <c r="C607" s="1" t="s">
        <v>807</v>
      </c>
      <c r="D607" s="1" t="s">
        <v>808</v>
      </c>
      <c r="E607" s="1">
        <v>-1.25</v>
      </c>
      <c r="F607" s="1">
        <v>-0.25</v>
      </c>
      <c r="G607" s="1">
        <v>91.0</v>
      </c>
      <c r="H607" s="1" t="s">
        <v>809</v>
      </c>
      <c r="I607" s="1" t="s">
        <v>809</v>
      </c>
      <c r="J607" s="1" t="s">
        <v>809</v>
      </c>
      <c r="K607" s="1">
        <v>1.0</v>
      </c>
      <c r="L607" s="1">
        <v>29000.0</v>
      </c>
    </row>
    <row r="608">
      <c r="A608" s="1">
        <v>219.0</v>
      </c>
      <c r="B608" s="1" t="s">
        <v>806</v>
      </c>
      <c r="C608" s="1" t="s">
        <v>810</v>
      </c>
      <c r="D608" s="1" t="s">
        <v>808</v>
      </c>
      <c r="E608" s="1">
        <v>-1.25</v>
      </c>
      <c r="F608" s="1">
        <v>-0.5</v>
      </c>
      <c r="G608" s="1">
        <v>5.0</v>
      </c>
      <c r="H608" s="1" t="s">
        <v>809</v>
      </c>
      <c r="I608" s="1" t="s">
        <v>809</v>
      </c>
      <c r="J608" s="1" t="s">
        <v>809</v>
      </c>
      <c r="K608" s="1">
        <v>1.0</v>
      </c>
      <c r="L608" s="1">
        <v>29000.0</v>
      </c>
    </row>
    <row r="609">
      <c r="A609" s="1">
        <v>219.0</v>
      </c>
      <c r="B609" s="1" t="s">
        <v>806</v>
      </c>
      <c r="C609" s="1" t="s">
        <v>809</v>
      </c>
      <c r="D609" s="1" t="s">
        <v>814</v>
      </c>
      <c r="E609" s="1" t="s">
        <v>809</v>
      </c>
      <c r="F609" s="1" t="s">
        <v>809</v>
      </c>
      <c r="G609" s="1" t="s">
        <v>809</v>
      </c>
      <c r="H609" s="1" t="s">
        <v>809</v>
      </c>
      <c r="I609" s="1" t="s">
        <v>809</v>
      </c>
      <c r="J609" s="1" t="s">
        <v>809</v>
      </c>
      <c r="K609" s="1">
        <v>1.0</v>
      </c>
      <c r="L609" s="1">
        <v>70000.0</v>
      </c>
    </row>
    <row r="610">
      <c r="A610" s="1">
        <v>220.0</v>
      </c>
      <c r="B610" s="1" t="s">
        <v>806</v>
      </c>
      <c r="C610" s="1" t="s">
        <v>807</v>
      </c>
      <c r="D610" s="1" t="s">
        <v>812</v>
      </c>
      <c r="E610" s="1">
        <v>1.0</v>
      </c>
      <c r="F610" s="1">
        <v>-0.25</v>
      </c>
      <c r="G610" s="1">
        <v>160.0</v>
      </c>
      <c r="H610" s="1" t="s">
        <v>809</v>
      </c>
      <c r="I610" s="1">
        <v>30.0</v>
      </c>
      <c r="J610" s="1">
        <v>23.0</v>
      </c>
      <c r="K610" s="1">
        <v>1.0</v>
      </c>
      <c r="L610" s="1">
        <v>7500.0</v>
      </c>
    </row>
    <row r="611">
      <c r="A611" s="1">
        <v>220.0</v>
      </c>
      <c r="B611" s="1" t="s">
        <v>806</v>
      </c>
      <c r="C611" s="1" t="s">
        <v>810</v>
      </c>
      <c r="D611" s="1" t="s">
        <v>812</v>
      </c>
      <c r="E611" s="1">
        <v>1.0</v>
      </c>
      <c r="F611" s="1">
        <v>-0.5</v>
      </c>
      <c r="G611" s="1">
        <v>180.0</v>
      </c>
      <c r="H611" s="1" t="s">
        <v>809</v>
      </c>
      <c r="I611" s="1">
        <v>30.0</v>
      </c>
      <c r="J611" s="1">
        <v>23.0</v>
      </c>
      <c r="K611" s="1">
        <v>1.0</v>
      </c>
      <c r="L611" s="1">
        <v>7500.0</v>
      </c>
    </row>
    <row r="612">
      <c r="A612" s="1">
        <v>220.0</v>
      </c>
      <c r="B612" s="1" t="s">
        <v>806</v>
      </c>
      <c r="C612" s="1" t="s">
        <v>809</v>
      </c>
      <c r="D612" s="1" t="s">
        <v>910</v>
      </c>
      <c r="E612" s="1" t="s">
        <v>809</v>
      </c>
      <c r="F612" s="1" t="s">
        <v>809</v>
      </c>
      <c r="G612" s="1" t="s">
        <v>809</v>
      </c>
      <c r="H612" s="1" t="s">
        <v>809</v>
      </c>
      <c r="I612" s="1" t="s">
        <v>809</v>
      </c>
      <c r="J612" s="1" t="s">
        <v>809</v>
      </c>
      <c r="K612" s="1">
        <v>1.0</v>
      </c>
      <c r="L612" s="1">
        <v>75000.0</v>
      </c>
    </row>
    <row r="613">
      <c r="A613" s="1">
        <v>221.0</v>
      </c>
      <c r="B613" s="1" t="s">
        <v>806</v>
      </c>
      <c r="C613" s="1" t="s">
        <v>807</v>
      </c>
      <c r="D613" s="1" t="s">
        <v>836</v>
      </c>
      <c r="E613" s="1">
        <v>-1.0</v>
      </c>
      <c r="F613" s="1">
        <v>0.0</v>
      </c>
      <c r="G613" s="1" t="s">
        <v>809</v>
      </c>
      <c r="H613" s="1" t="s">
        <v>809</v>
      </c>
      <c r="I613" s="1" t="s">
        <v>809</v>
      </c>
      <c r="J613" s="1" t="s">
        <v>809</v>
      </c>
      <c r="K613" s="1">
        <v>1.0</v>
      </c>
      <c r="L613" s="1">
        <v>45500.0</v>
      </c>
    </row>
    <row r="614">
      <c r="A614" s="1">
        <v>221.0</v>
      </c>
      <c r="B614" s="1" t="s">
        <v>806</v>
      </c>
      <c r="C614" s="1" t="s">
        <v>810</v>
      </c>
      <c r="D614" s="1" t="s">
        <v>836</v>
      </c>
      <c r="E614" s="1">
        <v>-1.0</v>
      </c>
      <c r="F614" s="1">
        <v>0.0</v>
      </c>
      <c r="G614" s="1" t="s">
        <v>809</v>
      </c>
      <c r="H614" s="1" t="s">
        <v>809</v>
      </c>
      <c r="I614" s="1" t="s">
        <v>809</v>
      </c>
      <c r="J614" s="1" t="s">
        <v>809</v>
      </c>
      <c r="K614" s="1">
        <v>1.0</v>
      </c>
      <c r="L614" s="1">
        <v>45500.0</v>
      </c>
    </row>
    <row r="615">
      <c r="A615" s="1">
        <v>221.0</v>
      </c>
      <c r="B615" s="1" t="s">
        <v>806</v>
      </c>
      <c r="C615" s="1" t="s">
        <v>809</v>
      </c>
      <c r="D615" s="1" t="s">
        <v>915</v>
      </c>
      <c r="E615" s="1" t="s">
        <v>809</v>
      </c>
      <c r="F615" s="1" t="s">
        <v>809</v>
      </c>
      <c r="G615" s="1" t="s">
        <v>809</v>
      </c>
      <c r="H615" s="1" t="s">
        <v>809</v>
      </c>
      <c r="I615" s="1" t="s">
        <v>809</v>
      </c>
      <c r="J615" s="1" t="s">
        <v>809</v>
      </c>
      <c r="K615" s="1">
        <v>1.0</v>
      </c>
      <c r="L615" s="1">
        <v>98000.0</v>
      </c>
    </row>
    <row r="616">
      <c r="A616" s="1">
        <v>222.0</v>
      </c>
      <c r="B616" s="1" t="s">
        <v>806</v>
      </c>
      <c r="C616" s="1" t="s">
        <v>807</v>
      </c>
      <c r="D616" s="1" t="s">
        <v>836</v>
      </c>
      <c r="E616" s="1">
        <v>-2.25</v>
      </c>
      <c r="F616" s="1">
        <v>-1.25</v>
      </c>
      <c r="G616" s="1">
        <v>0.0</v>
      </c>
      <c r="H616" s="1" t="s">
        <v>809</v>
      </c>
      <c r="I616" s="1" t="s">
        <v>809</v>
      </c>
      <c r="J616" s="1" t="s">
        <v>809</v>
      </c>
      <c r="K616" s="1">
        <v>1.0</v>
      </c>
      <c r="L616" s="1">
        <v>40000.0</v>
      </c>
    </row>
    <row r="617">
      <c r="A617" s="1">
        <v>222.0</v>
      </c>
      <c r="B617" s="1" t="s">
        <v>806</v>
      </c>
      <c r="C617" s="1" t="s">
        <v>810</v>
      </c>
      <c r="D617" s="1" t="s">
        <v>836</v>
      </c>
      <c r="E617" s="1">
        <v>-1.5</v>
      </c>
      <c r="F617" s="1">
        <v>-1.25</v>
      </c>
      <c r="G617" s="1">
        <v>0.0</v>
      </c>
      <c r="H617" s="1" t="s">
        <v>809</v>
      </c>
      <c r="I617" s="1" t="s">
        <v>809</v>
      </c>
      <c r="J617" s="1" t="s">
        <v>809</v>
      </c>
      <c r="K617" s="1">
        <v>1.0</v>
      </c>
      <c r="L617" s="1">
        <v>40000.0</v>
      </c>
    </row>
    <row r="618">
      <c r="A618" s="1">
        <v>222.0</v>
      </c>
      <c r="B618" s="1" t="s">
        <v>806</v>
      </c>
      <c r="C618" s="1" t="s">
        <v>809</v>
      </c>
      <c r="D618" s="1" t="s">
        <v>915</v>
      </c>
      <c r="E618" s="1" t="s">
        <v>809</v>
      </c>
      <c r="F618" s="1" t="s">
        <v>809</v>
      </c>
      <c r="G618" s="1" t="s">
        <v>809</v>
      </c>
      <c r="H618" s="1" t="s">
        <v>809</v>
      </c>
      <c r="I618" s="1" t="s">
        <v>809</v>
      </c>
      <c r="J618" s="1" t="s">
        <v>809</v>
      </c>
      <c r="K618" s="1">
        <v>1.0</v>
      </c>
      <c r="L618" s="1">
        <v>98000.0</v>
      </c>
    </row>
    <row r="619">
      <c r="A619" s="1">
        <v>222.0</v>
      </c>
      <c r="B619" s="1" t="s">
        <v>825</v>
      </c>
      <c r="C619" s="1" t="s">
        <v>807</v>
      </c>
      <c r="D619" s="1" t="s">
        <v>808</v>
      </c>
      <c r="E619" s="1">
        <v>0.0</v>
      </c>
      <c r="F619" s="1">
        <v>0.0</v>
      </c>
      <c r="G619" s="1" t="s">
        <v>809</v>
      </c>
      <c r="H619" s="1" t="s">
        <v>809</v>
      </c>
      <c r="I619" s="1" t="s">
        <v>809</v>
      </c>
      <c r="J619" s="1" t="s">
        <v>809</v>
      </c>
      <c r="K619" s="1">
        <v>1.0</v>
      </c>
      <c r="L619" s="1">
        <v>0.0</v>
      </c>
    </row>
    <row r="620">
      <c r="A620" s="1">
        <v>222.0</v>
      </c>
      <c r="B620" s="1" t="s">
        <v>825</v>
      </c>
      <c r="C620" s="1" t="s">
        <v>810</v>
      </c>
      <c r="D620" s="1" t="s">
        <v>808</v>
      </c>
      <c r="E620" s="1">
        <v>0.0</v>
      </c>
      <c r="F620" s="1">
        <v>0.0</v>
      </c>
      <c r="G620" s="1" t="s">
        <v>809</v>
      </c>
      <c r="H620" s="1" t="s">
        <v>809</v>
      </c>
      <c r="I620" s="1" t="s">
        <v>809</v>
      </c>
      <c r="J620" s="1" t="s">
        <v>809</v>
      </c>
      <c r="K620" s="1">
        <v>1.0</v>
      </c>
      <c r="L620" s="1">
        <v>0.0</v>
      </c>
    </row>
    <row r="621">
      <c r="A621" s="1">
        <v>222.0</v>
      </c>
      <c r="B621" s="1" t="s">
        <v>825</v>
      </c>
      <c r="C621" s="1" t="s">
        <v>809</v>
      </c>
      <c r="D621" s="1" t="s">
        <v>910</v>
      </c>
      <c r="E621" s="1" t="s">
        <v>809</v>
      </c>
      <c r="F621" s="1" t="s">
        <v>809</v>
      </c>
      <c r="G621" s="1" t="s">
        <v>809</v>
      </c>
      <c r="H621" s="1" t="s">
        <v>809</v>
      </c>
      <c r="I621" s="1" t="s">
        <v>809</v>
      </c>
      <c r="J621" s="1" t="s">
        <v>809</v>
      </c>
      <c r="K621" s="1">
        <v>1.0</v>
      </c>
      <c r="L621" s="1">
        <v>90000.0</v>
      </c>
    </row>
    <row r="622">
      <c r="A622" s="1">
        <v>223.0</v>
      </c>
      <c r="B622" s="1" t="s">
        <v>806</v>
      </c>
      <c r="C622" s="1" t="s">
        <v>807</v>
      </c>
      <c r="D622" s="1" t="s">
        <v>815</v>
      </c>
      <c r="E622" s="1">
        <v>0.0</v>
      </c>
      <c r="F622" s="1">
        <v>0.0</v>
      </c>
      <c r="G622" s="1" t="s">
        <v>809</v>
      </c>
      <c r="H622" s="1" t="s">
        <v>809</v>
      </c>
      <c r="I622" s="1" t="s">
        <v>809</v>
      </c>
      <c r="J622" s="1" t="s">
        <v>809</v>
      </c>
      <c r="K622" s="1">
        <v>1.0</v>
      </c>
      <c r="L622" s="1">
        <v>450000.0</v>
      </c>
    </row>
    <row r="623">
      <c r="A623" s="1">
        <v>223.0</v>
      </c>
      <c r="B623" s="1" t="s">
        <v>806</v>
      </c>
      <c r="C623" s="1" t="s">
        <v>810</v>
      </c>
      <c r="D623" s="1" t="s">
        <v>815</v>
      </c>
      <c r="E623" s="1">
        <v>0.0</v>
      </c>
      <c r="F623" s="1">
        <v>0.0</v>
      </c>
      <c r="G623" s="1" t="s">
        <v>809</v>
      </c>
      <c r="H623" s="1" t="s">
        <v>809</v>
      </c>
      <c r="I623" s="1" t="s">
        <v>809</v>
      </c>
      <c r="J623" s="1" t="s">
        <v>809</v>
      </c>
      <c r="K623" s="1">
        <v>1.0</v>
      </c>
      <c r="L623" s="1">
        <v>450000.0</v>
      </c>
    </row>
    <row r="624">
      <c r="A624" s="1">
        <v>223.0</v>
      </c>
      <c r="B624" s="1" t="s">
        <v>806</v>
      </c>
      <c r="C624" s="1" t="s">
        <v>809</v>
      </c>
      <c r="D624" s="1" t="s">
        <v>875</v>
      </c>
      <c r="E624" s="1" t="s">
        <v>809</v>
      </c>
      <c r="F624" s="1" t="s">
        <v>809</v>
      </c>
      <c r="G624" s="1" t="s">
        <v>809</v>
      </c>
      <c r="H624" s="1" t="s">
        <v>809</v>
      </c>
      <c r="I624" s="1" t="s">
        <v>809</v>
      </c>
      <c r="J624" s="1" t="s">
        <v>809</v>
      </c>
      <c r="K624" s="1">
        <v>1.0</v>
      </c>
      <c r="L624" s="1">
        <v>128000.0</v>
      </c>
    </row>
    <row r="625">
      <c r="A625" s="1">
        <v>224.0</v>
      </c>
      <c r="B625" s="1" t="s">
        <v>806</v>
      </c>
      <c r="C625" s="1" t="s">
        <v>807</v>
      </c>
      <c r="D625" s="1" t="s">
        <v>917</v>
      </c>
      <c r="E625" s="1">
        <v>0.0</v>
      </c>
      <c r="F625" s="1">
        <v>0.0</v>
      </c>
      <c r="G625" s="1" t="s">
        <v>809</v>
      </c>
      <c r="H625" s="1" t="s">
        <v>809</v>
      </c>
      <c r="I625" s="1" t="s">
        <v>809</v>
      </c>
      <c r="J625" s="1" t="s">
        <v>809</v>
      </c>
      <c r="K625" s="1">
        <v>1.0</v>
      </c>
      <c r="L625" s="1">
        <v>65000.0</v>
      </c>
    </row>
    <row r="626">
      <c r="A626" s="1">
        <v>224.0</v>
      </c>
      <c r="B626" s="1" t="s">
        <v>806</v>
      </c>
      <c r="C626" s="1" t="s">
        <v>810</v>
      </c>
      <c r="D626" s="1" t="s">
        <v>917</v>
      </c>
      <c r="E626" s="1">
        <v>0.0</v>
      </c>
      <c r="F626" s="1">
        <v>0.0</v>
      </c>
      <c r="G626" s="1" t="s">
        <v>809</v>
      </c>
      <c r="H626" s="1" t="s">
        <v>809</v>
      </c>
      <c r="I626" s="1" t="s">
        <v>809</v>
      </c>
      <c r="J626" s="1" t="s">
        <v>809</v>
      </c>
      <c r="K626" s="1">
        <v>1.0</v>
      </c>
      <c r="L626" s="1">
        <v>65000.0</v>
      </c>
    </row>
    <row r="627">
      <c r="A627" s="1">
        <v>224.0</v>
      </c>
      <c r="B627" s="1" t="s">
        <v>806</v>
      </c>
      <c r="C627" s="1" t="s">
        <v>809</v>
      </c>
      <c r="D627" s="1" t="s">
        <v>915</v>
      </c>
      <c r="E627" s="1" t="s">
        <v>809</v>
      </c>
      <c r="F627" s="1" t="s">
        <v>809</v>
      </c>
      <c r="G627" s="1" t="s">
        <v>809</v>
      </c>
      <c r="H627" s="1" t="s">
        <v>809</v>
      </c>
      <c r="I627" s="1" t="s">
        <v>809</v>
      </c>
      <c r="J627" s="1" t="s">
        <v>809</v>
      </c>
      <c r="K627" s="1">
        <v>1.0</v>
      </c>
      <c r="L627" s="1">
        <v>136000.0</v>
      </c>
    </row>
    <row r="628">
      <c r="A628" s="1">
        <v>225.0</v>
      </c>
      <c r="B628" s="1" t="s">
        <v>806</v>
      </c>
      <c r="C628" s="1" t="s">
        <v>807</v>
      </c>
      <c r="D628" s="1" t="s">
        <v>836</v>
      </c>
      <c r="E628" s="1">
        <v>-2.75</v>
      </c>
      <c r="F628" s="1">
        <v>-1.25</v>
      </c>
      <c r="G628" s="1">
        <v>5.0</v>
      </c>
      <c r="H628" s="1" t="s">
        <v>809</v>
      </c>
      <c r="I628" s="1" t="s">
        <v>809</v>
      </c>
      <c r="J628" s="1" t="s">
        <v>809</v>
      </c>
      <c r="K628" s="1">
        <v>1.0</v>
      </c>
      <c r="L628" s="1">
        <v>20000.0</v>
      </c>
    </row>
    <row r="629">
      <c r="A629" s="1">
        <v>225.0</v>
      </c>
      <c r="B629" s="1" t="s">
        <v>806</v>
      </c>
      <c r="C629" s="1" t="s">
        <v>810</v>
      </c>
      <c r="D629" s="1" t="s">
        <v>836</v>
      </c>
      <c r="E629" s="1">
        <v>-1.75</v>
      </c>
      <c r="F629" s="1">
        <v>-1.0</v>
      </c>
      <c r="G629" s="1">
        <v>165.0</v>
      </c>
      <c r="H629" s="1" t="s">
        <v>809</v>
      </c>
      <c r="I629" s="1" t="s">
        <v>809</v>
      </c>
      <c r="J629" s="1" t="s">
        <v>809</v>
      </c>
      <c r="K629" s="1">
        <v>1.0</v>
      </c>
      <c r="L629" s="1">
        <v>20000.0</v>
      </c>
    </row>
    <row r="630">
      <c r="A630" s="1">
        <v>225.0</v>
      </c>
      <c r="B630" s="1" t="s">
        <v>806</v>
      </c>
      <c r="C630" s="1" t="s">
        <v>809</v>
      </c>
      <c r="D630" s="1" t="s">
        <v>915</v>
      </c>
      <c r="E630" s="1" t="s">
        <v>809</v>
      </c>
      <c r="F630" s="1" t="s">
        <v>809</v>
      </c>
      <c r="G630" s="1" t="s">
        <v>809</v>
      </c>
      <c r="H630" s="1" t="s">
        <v>809</v>
      </c>
      <c r="I630" s="1" t="s">
        <v>809</v>
      </c>
      <c r="J630" s="1" t="s">
        <v>809</v>
      </c>
      <c r="K630" s="1">
        <v>1.0</v>
      </c>
      <c r="L630" s="1">
        <v>90000.0</v>
      </c>
    </row>
    <row r="631">
      <c r="A631" s="1">
        <v>226.0</v>
      </c>
      <c r="B631" s="1" t="s">
        <v>809</v>
      </c>
      <c r="C631" s="1">
        <v>2.0</v>
      </c>
      <c r="D631" s="1" t="s">
        <v>927</v>
      </c>
      <c r="E631" s="1">
        <v>0.0</v>
      </c>
      <c r="F631" s="1">
        <v>0.0</v>
      </c>
      <c r="G631" s="1" t="s">
        <v>809</v>
      </c>
      <c r="H631" s="1" t="s">
        <v>809</v>
      </c>
      <c r="I631" s="1" t="s">
        <v>809</v>
      </c>
      <c r="J631" s="1" t="s">
        <v>809</v>
      </c>
      <c r="K631" s="1">
        <v>1.0</v>
      </c>
      <c r="L631" s="1">
        <v>120000.0</v>
      </c>
    </row>
    <row r="632">
      <c r="A632" s="1">
        <v>227.0</v>
      </c>
      <c r="B632" s="1" t="s">
        <v>806</v>
      </c>
      <c r="C632" s="1" t="s">
        <v>807</v>
      </c>
      <c r="D632" s="1" t="s">
        <v>812</v>
      </c>
      <c r="E632" s="1">
        <v>-0.25</v>
      </c>
      <c r="F632" s="1">
        <v>-1.0</v>
      </c>
      <c r="G632" s="1">
        <v>100.0</v>
      </c>
      <c r="H632" s="1" t="s">
        <v>809</v>
      </c>
      <c r="I632" s="1" t="s">
        <v>809</v>
      </c>
      <c r="J632" s="1" t="s">
        <v>809</v>
      </c>
      <c r="K632" s="1">
        <v>1.0</v>
      </c>
      <c r="L632" s="1">
        <v>25500.0</v>
      </c>
    </row>
    <row r="633">
      <c r="A633" s="1">
        <v>227.0</v>
      </c>
      <c r="B633" s="1" t="s">
        <v>806</v>
      </c>
      <c r="C633" s="1" t="s">
        <v>810</v>
      </c>
      <c r="D633" s="1" t="s">
        <v>812</v>
      </c>
      <c r="E633" s="1">
        <v>-0.75</v>
      </c>
      <c r="F633" s="1">
        <v>-0.75</v>
      </c>
      <c r="G633" s="1">
        <v>85.0</v>
      </c>
      <c r="H633" s="1" t="s">
        <v>809</v>
      </c>
      <c r="I633" s="1" t="s">
        <v>809</v>
      </c>
      <c r="J633" s="1" t="s">
        <v>809</v>
      </c>
      <c r="K633" s="1">
        <v>1.0</v>
      </c>
      <c r="L633" s="1">
        <v>25500.0</v>
      </c>
    </row>
    <row r="634">
      <c r="A634" s="1">
        <v>227.0</v>
      </c>
      <c r="B634" s="1" t="s">
        <v>806</v>
      </c>
      <c r="C634" s="1" t="s">
        <v>809</v>
      </c>
      <c r="D634" s="1" t="s">
        <v>915</v>
      </c>
      <c r="E634" s="1" t="s">
        <v>809</v>
      </c>
      <c r="F634" s="1" t="s">
        <v>809</v>
      </c>
      <c r="G634" s="1" t="s">
        <v>809</v>
      </c>
      <c r="H634" s="1" t="s">
        <v>809</v>
      </c>
      <c r="I634" s="1" t="s">
        <v>809</v>
      </c>
      <c r="J634" s="1" t="s">
        <v>809</v>
      </c>
      <c r="K634" s="1">
        <v>1.0</v>
      </c>
      <c r="L634" s="1">
        <v>98000.0</v>
      </c>
    </row>
    <row r="635">
      <c r="A635" s="1">
        <v>228.0</v>
      </c>
      <c r="B635" s="1" t="s">
        <v>809</v>
      </c>
      <c r="C635" s="1" t="s">
        <v>809</v>
      </c>
      <c r="D635" s="1" t="s">
        <v>942</v>
      </c>
      <c r="E635" s="1" t="s">
        <v>809</v>
      </c>
      <c r="F635" s="1" t="s">
        <v>809</v>
      </c>
      <c r="G635" s="1" t="s">
        <v>809</v>
      </c>
      <c r="H635" s="1" t="s">
        <v>809</v>
      </c>
      <c r="I635" s="1" t="s">
        <v>809</v>
      </c>
      <c r="J635" s="1" t="s">
        <v>809</v>
      </c>
      <c r="K635" s="1">
        <v>1.0</v>
      </c>
      <c r="L635" s="1">
        <v>126000.0</v>
      </c>
    </row>
    <row r="636">
      <c r="A636" s="1">
        <v>229.0</v>
      </c>
      <c r="B636" s="1" t="s">
        <v>806</v>
      </c>
      <c r="C636" s="1" t="s">
        <v>807</v>
      </c>
      <c r="D636" s="1" t="s">
        <v>812</v>
      </c>
      <c r="E636" s="1">
        <v>0.0</v>
      </c>
      <c r="F636" s="1">
        <v>0.0</v>
      </c>
      <c r="G636" s="1" t="s">
        <v>809</v>
      </c>
      <c r="H636" s="1" t="s">
        <v>809</v>
      </c>
      <c r="I636" s="1" t="s">
        <v>809</v>
      </c>
      <c r="J636" s="1" t="s">
        <v>809</v>
      </c>
      <c r="K636" s="1">
        <v>1.0</v>
      </c>
      <c r="L636" s="1">
        <v>25000.0</v>
      </c>
    </row>
    <row r="637">
      <c r="A637" s="1">
        <v>229.0</v>
      </c>
      <c r="B637" s="1" t="s">
        <v>806</v>
      </c>
      <c r="C637" s="1" t="s">
        <v>810</v>
      </c>
      <c r="D637" s="1" t="s">
        <v>812</v>
      </c>
      <c r="E637" s="1">
        <v>0.0</v>
      </c>
      <c r="F637" s="1">
        <v>0.0</v>
      </c>
      <c r="G637" s="1" t="s">
        <v>809</v>
      </c>
      <c r="H637" s="1" t="s">
        <v>809</v>
      </c>
      <c r="I637" s="1" t="s">
        <v>809</v>
      </c>
      <c r="J637" s="1" t="s">
        <v>809</v>
      </c>
      <c r="K637" s="1">
        <v>1.0</v>
      </c>
      <c r="L637" s="1">
        <v>25000.0</v>
      </c>
    </row>
    <row r="638">
      <c r="A638" s="1">
        <v>229.0</v>
      </c>
      <c r="B638" s="1" t="s">
        <v>806</v>
      </c>
      <c r="C638" s="1" t="s">
        <v>809</v>
      </c>
      <c r="D638" s="1" t="s">
        <v>910</v>
      </c>
      <c r="E638" s="1" t="s">
        <v>809</v>
      </c>
      <c r="F638" s="1" t="s">
        <v>809</v>
      </c>
      <c r="G638" s="1" t="s">
        <v>809</v>
      </c>
      <c r="H638" s="1" t="s">
        <v>809</v>
      </c>
      <c r="I638" s="1" t="s">
        <v>809</v>
      </c>
      <c r="J638" s="1" t="s">
        <v>809</v>
      </c>
      <c r="K638" s="1">
        <v>1.0</v>
      </c>
      <c r="L638" s="1">
        <v>75000.0</v>
      </c>
    </row>
    <row r="639">
      <c r="A639" s="1">
        <v>229.0</v>
      </c>
      <c r="B639" s="1" t="s">
        <v>825</v>
      </c>
      <c r="C639" s="1" t="s">
        <v>807</v>
      </c>
      <c r="D639" s="1" t="s">
        <v>808</v>
      </c>
      <c r="E639" s="1">
        <v>0.0</v>
      </c>
      <c r="F639" s="1">
        <v>0.0</v>
      </c>
      <c r="G639" s="1" t="s">
        <v>809</v>
      </c>
      <c r="H639" s="1" t="s">
        <v>809</v>
      </c>
      <c r="I639" s="1" t="s">
        <v>809</v>
      </c>
      <c r="J639" s="1" t="s">
        <v>809</v>
      </c>
      <c r="K639" s="1">
        <v>1.0</v>
      </c>
      <c r="L639" s="1">
        <v>0.0</v>
      </c>
    </row>
    <row r="640">
      <c r="A640" s="1">
        <v>229.0</v>
      </c>
      <c r="B640" s="1" t="s">
        <v>825</v>
      </c>
      <c r="C640" s="1" t="s">
        <v>810</v>
      </c>
      <c r="D640" s="1" t="s">
        <v>808</v>
      </c>
      <c r="E640" s="1">
        <v>0.0</v>
      </c>
      <c r="F640" s="1">
        <v>0.0</v>
      </c>
      <c r="G640" s="1" t="s">
        <v>809</v>
      </c>
      <c r="H640" s="1" t="s">
        <v>809</v>
      </c>
      <c r="I640" s="1" t="s">
        <v>809</v>
      </c>
      <c r="J640" s="1" t="s">
        <v>809</v>
      </c>
      <c r="K640" s="1">
        <v>1.0</v>
      </c>
      <c r="L640" s="1">
        <v>0.0</v>
      </c>
    </row>
    <row r="641">
      <c r="A641" s="1">
        <v>229.0</v>
      </c>
      <c r="B641" s="1" t="s">
        <v>825</v>
      </c>
      <c r="C641" s="1" t="s">
        <v>809</v>
      </c>
      <c r="D641" s="1" t="s">
        <v>943</v>
      </c>
      <c r="E641" s="1" t="s">
        <v>809</v>
      </c>
      <c r="F641" s="1" t="s">
        <v>809</v>
      </c>
      <c r="G641" s="1" t="s">
        <v>809</v>
      </c>
      <c r="H641" s="1" t="s">
        <v>809</v>
      </c>
      <c r="I641" s="1" t="s">
        <v>809</v>
      </c>
      <c r="J641" s="1" t="s">
        <v>809</v>
      </c>
      <c r="K641" s="1">
        <v>1.0</v>
      </c>
      <c r="L641" s="1">
        <v>116000.0</v>
      </c>
    </row>
    <row r="642">
      <c r="A642" s="1">
        <v>230.0</v>
      </c>
      <c r="B642" s="1" t="s">
        <v>806</v>
      </c>
      <c r="C642" s="1" t="s">
        <v>807</v>
      </c>
      <c r="D642" s="1" t="s">
        <v>826</v>
      </c>
      <c r="E642" s="1">
        <v>0.5</v>
      </c>
      <c r="F642" s="1">
        <v>0.0</v>
      </c>
      <c r="G642" s="1" t="s">
        <v>809</v>
      </c>
      <c r="H642" s="1" t="s">
        <v>809</v>
      </c>
      <c r="I642" s="1" t="s">
        <v>809</v>
      </c>
      <c r="J642" s="1" t="s">
        <v>809</v>
      </c>
      <c r="K642" s="1">
        <v>1.0</v>
      </c>
      <c r="L642" s="1">
        <v>16500.0</v>
      </c>
    </row>
    <row r="643">
      <c r="A643" s="1">
        <v>230.0</v>
      </c>
      <c r="B643" s="1" t="s">
        <v>806</v>
      </c>
      <c r="C643" s="1" t="s">
        <v>810</v>
      </c>
      <c r="D643" s="1" t="s">
        <v>826</v>
      </c>
      <c r="E643" s="1">
        <v>0.5</v>
      </c>
      <c r="F643" s="1">
        <v>0.0</v>
      </c>
      <c r="G643" s="1" t="s">
        <v>809</v>
      </c>
      <c r="H643" s="1" t="s">
        <v>809</v>
      </c>
      <c r="I643" s="1" t="s">
        <v>809</v>
      </c>
      <c r="J643" s="1" t="s">
        <v>809</v>
      </c>
      <c r="K643" s="1">
        <v>1.0</v>
      </c>
      <c r="L643" s="1">
        <v>16500.0</v>
      </c>
    </row>
    <row r="644">
      <c r="A644" s="1">
        <v>230.0</v>
      </c>
      <c r="B644" s="1" t="s">
        <v>806</v>
      </c>
      <c r="C644" s="1" t="s">
        <v>809</v>
      </c>
      <c r="D644" s="1" t="s">
        <v>944</v>
      </c>
      <c r="E644" s="1" t="s">
        <v>809</v>
      </c>
      <c r="F644" s="1" t="s">
        <v>809</v>
      </c>
      <c r="G644" s="1" t="s">
        <v>809</v>
      </c>
      <c r="H644" s="1" t="s">
        <v>809</v>
      </c>
      <c r="I644" s="1" t="s">
        <v>809</v>
      </c>
      <c r="J644" s="1" t="s">
        <v>809</v>
      </c>
      <c r="K644" s="1">
        <v>1.0</v>
      </c>
      <c r="L644" s="1">
        <v>126200.0</v>
      </c>
    </row>
    <row r="645">
      <c r="A645" s="1">
        <v>231.0</v>
      </c>
      <c r="B645" s="1" t="s">
        <v>806</v>
      </c>
      <c r="C645" s="1" t="s">
        <v>807</v>
      </c>
      <c r="D645" s="1" t="s">
        <v>836</v>
      </c>
      <c r="E645" s="1">
        <v>0.0</v>
      </c>
      <c r="F645" s="1">
        <v>0.0</v>
      </c>
      <c r="G645" s="1" t="s">
        <v>809</v>
      </c>
      <c r="H645" s="1" t="s">
        <v>809</v>
      </c>
      <c r="I645" s="1" t="s">
        <v>809</v>
      </c>
      <c r="J645" s="1" t="s">
        <v>809</v>
      </c>
      <c r="K645" s="1">
        <v>1.0</v>
      </c>
      <c r="L645" s="1">
        <v>45000.0</v>
      </c>
    </row>
    <row r="646">
      <c r="A646" s="1">
        <v>231.0</v>
      </c>
      <c r="B646" s="1" t="s">
        <v>806</v>
      </c>
      <c r="C646" s="1" t="s">
        <v>810</v>
      </c>
      <c r="D646" s="1" t="s">
        <v>836</v>
      </c>
      <c r="E646" s="1">
        <v>0.0</v>
      </c>
      <c r="F646" s="1">
        <v>0.0</v>
      </c>
      <c r="G646" s="1" t="s">
        <v>809</v>
      </c>
      <c r="H646" s="1" t="s">
        <v>809</v>
      </c>
      <c r="I646" s="1" t="s">
        <v>809</v>
      </c>
      <c r="J646" s="1" t="s">
        <v>809</v>
      </c>
      <c r="K646" s="1">
        <v>1.0</v>
      </c>
      <c r="L646" s="1">
        <v>45000.0</v>
      </c>
    </row>
    <row r="647">
      <c r="A647" s="1">
        <v>231.0</v>
      </c>
      <c r="B647" s="1" t="s">
        <v>806</v>
      </c>
      <c r="C647" s="1" t="s">
        <v>809</v>
      </c>
      <c r="D647" s="1" t="s">
        <v>910</v>
      </c>
      <c r="E647" s="1" t="s">
        <v>809</v>
      </c>
      <c r="F647" s="1" t="s">
        <v>809</v>
      </c>
      <c r="G647" s="1" t="s">
        <v>809</v>
      </c>
      <c r="H647" s="1" t="s">
        <v>809</v>
      </c>
      <c r="I647" s="1" t="s">
        <v>809</v>
      </c>
      <c r="J647" s="1" t="s">
        <v>809</v>
      </c>
      <c r="K647" s="1">
        <v>1.0</v>
      </c>
      <c r="L647" s="1">
        <v>80000.0</v>
      </c>
    </row>
    <row r="648">
      <c r="A648" s="1">
        <v>232.0</v>
      </c>
      <c r="B648" s="1" t="s">
        <v>806</v>
      </c>
      <c r="C648" s="1" t="s">
        <v>807</v>
      </c>
      <c r="D648" s="1" t="s">
        <v>836</v>
      </c>
      <c r="E648" s="1">
        <v>-0.75</v>
      </c>
      <c r="F648" s="1">
        <v>0.0</v>
      </c>
      <c r="G648" s="1" t="s">
        <v>809</v>
      </c>
      <c r="H648" s="1" t="s">
        <v>809</v>
      </c>
      <c r="I648" s="1" t="s">
        <v>809</v>
      </c>
      <c r="J648" s="1" t="s">
        <v>809</v>
      </c>
      <c r="K648" s="1">
        <v>1.0</v>
      </c>
      <c r="L648" s="1">
        <v>45500.0</v>
      </c>
    </row>
    <row r="649">
      <c r="A649" s="1">
        <v>232.0</v>
      </c>
      <c r="B649" s="1" t="s">
        <v>806</v>
      </c>
      <c r="C649" s="1" t="s">
        <v>810</v>
      </c>
      <c r="D649" s="1" t="s">
        <v>836</v>
      </c>
      <c r="E649" s="1">
        <v>-0.5</v>
      </c>
      <c r="F649" s="1">
        <v>0.0</v>
      </c>
      <c r="G649" s="1" t="s">
        <v>809</v>
      </c>
      <c r="H649" s="1" t="s">
        <v>809</v>
      </c>
      <c r="I649" s="1" t="s">
        <v>809</v>
      </c>
      <c r="J649" s="1" t="s">
        <v>809</v>
      </c>
      <c r="K649" s="1">
        <v>1.0</v>
      </c>
      <c r="L649" s="1">
        <v>45500.0</v>
      </c>
    </row>
    <row r="650">
      <c r="A650" s="1">
        <v>232.0</v>
      </c>
      <c r="B650" s="1" t="s">
        <v>806</v>
      </c>
      <c r="C650" s="1" t="s">
        <v>809</v>
      </c>
      <c r="D650" s="1" t="s">
        <v>945</v>
      </c>
      <c r="E650" s="1" t="s">
        <v>809</v>
      </c>
      <c r="F650" s="1" t="s">
        <v>809</v>
      </c>
      <c r="G650" s="1" t="s">
        <v>809</v>
      </c>
      <c r="H650" s="1" t="s">
        <v>809</v>
      </c>
      <c r="I650" s="1" t="s">
        <v>809</v>
      </c>
      <c r="J650" s="1" t="s">
        <v>809</v>
      </c>
      <c r="K650" s="1">
        <v>1.0</v>
      </c>
      <c r="L650" s="1">
        <v>87750.0</v>
      </c>
    </row>
    <row r="651">
      <c r="A651" s="1">
        <v>233.0</v>
      </c>
      <c r="B651" s="1" t="s">
        <v>806</v>
      </c>
      <c r="C651" s="1" t="s">
        <v>807</v>
      </c>
      <c r="D651" s="1" t="s">
        <v>946</v>
      </c>
      <c r="E651" s="1">
        <v>0.0</v>
      </c>
      <c r="F651" s="1">
        <v>0.0</v>
      </c>
      <c r="G651" s="1" t="s">
        <v>809</v>
      </c>
      <c r="H651" s="1" t="s">
        <v>809</v>
      </c>
      <c r="I651" s="1" t="s">
        <v>809</v>
      </c>
      <c r="J651" s="1" t="s">
        <v>809</v>
      </c>
      <c r="K651" s="1">
        <v>1.0</v>
      </c>
      <c r="L651" s="1">
        <v>160236.69</v>
      </c>
    </row>
    <row r="652">
      <c r="A652" s="1">
        <v>233.0</v>
      </c>
      <c r="B652" s="1" t="s">
        <v>806</v>
      </c>
      <c r="C652" s="1" t="s">
        <v>810</v>
      </c>
      <c r="D652" s="1" t="s">
        <v>946</v>
      </c>
      <c r="E652" s="1">
        <v>0.0</v>
      </c>
      <c r="F652" s="1">
        <v>0.0</v>
      </c>
      <c r="G652" s="1" t="s">
        <v>809</v>
      </c>
      <c r="H652" s="1" t="s">
        <v>809</v>
      </c>
      <c r="I652" s="1" t="s">
        <v>809</v>
      </c>
      <c r="J652" s="1" t="s">
        <v>809</v>
      </c>
      <c r="K652" s="1">
        <v>1.0</v>
      </c>
      <c r="L652" s="1">
        <v>160236.69</v>
      </c>
    </row>
    <row r="653">
      <c r="A653" s="1">
        <v>233.0</v>
      </c>
      <c r="B653" s="1" t="s">
        <v>806</v>
      </c>
      <c r="C653" s="1" t="s">
        <v>809</v>
      </c>
      <c r="D653" s="1" t="s">
        <v>915</v>
      </c>
      <c r="E653" s="1" t="s">
        <v>809</v>
      </c>
      <c r="F653" s="1" t="s">
        <v>809</v>
      </c>
      <c r="G653" s="1" t="s">
        <v>809</v>
      </c>
      <c r="H653" s="1" t="s">
        <v>809</v>
      </c>
      <c r="I653" s="1" t="s">
        <v>809</v>
      </c>
      <c r="J653" s="1" t="s">
        <v>809</v>
      </c>
      <c r="K653" s="1">
        <v>1.0</v>
      </c>
      <c r="L653" s="1">
        <v>96000.0</v>
      </c>
    </row>
    <row r="654">
      <c r="A654" s="1">
        <v>234.0</v>
      </c>
      <c r="B654" s="1" t="s">
        <v>806</v>
      </c>
      <c r="C654" s="1" t="s">
        <v>807</v>
      </c>
      <c r="D654" s="1" t="s">
        <v>812</v>
      </c>
      <c r="E654" s="1">
        <v>-0.5</v>
      </c>
      <c r="F654" s="1">
        <v>-0.75</v>
      </c>
      <c r="G654" s="1">
        <v>20.0</v>
      </c>
      <c r="H654" s="1" t="s">
        <v>809</v>
      </c>
      <c r="I654" s="1" t="s">
        <v>809</v>
      </c>
      <c r="J654" s="1" t="s">
        <v>809</v>
      </c>
      <c r="K654" s="1">
        <v>1.0</v>
      </c>
      <c r="L654" s="1">
        <v>25500.0</v>
      </c>
    </row>
    <row r="655">
      <c r="A655" s="1">
        <v>234.0</v>
      </c>
      <c r="B655" s="1" t="s">
        <v>806</v>
      </c>
      <c r="C655" s="1" t="s">
        <v>810</v>
      </c>
      <c r="D655" s="1" t="s">
        <v>812</v>
      </c>
      <c r="E655" s="1">
        <v>0.0</v>
      </c>
      <c r="F655" s="1">
        <v>-1.5</v>
      </c>
      <c r="G655" s="1">
        <v>175.0</v>
      </c>
      <c r="H655" s="1" t="s">
        <v>809</v>
      </c>
      <c r="I655" s="1" t="s">
        <v>809</v>
      </c>
      <c r="J655" s="1" t="s">
        <v>809</v>
      </c>
      <c r="K655" s="1">
        <v>1.0</v>
      </c>
      <c r="L655" s="1">
        <v>25500.0</v>
      </c>
    </row>
    <row r="656">
      <c r="A656" s="1">
        <v>234.0</v>
      </c>
      <c r="B656" s="1" t="s">
        <v>806</v>
      </c>
      <c r="C656" s="1" t="s">
        <v>809</v>
      </c>
      <c r="D656" s="1" t="s">
        <v>947</v>
      </c>
      <c r="E656" s="1" t="s">
        <v>809</v>
      </c>
      <c r="F656" s="1" t="s">
        <v>809</v>
      </c>
      <c r="G656" s="1" t="s">
        <v>809</v>
      </c>
      <c r="H656" s="1" t="s">
        <v>809</v>
      </c>
      <c r="I656" s="1" t="s">
        <v>809</v>
      </c>
      <c r="J656" s="1" t="s">
        <v>809</v>
      </c>
      <c r="K656" s="1">
        <v>1.0</v>
      </c>
      <c r="L656" s="1">
        <v>122100.0</v>
      </c>
    </row>
    <row r="657">
      <c r="A657" s="1">
        <v>235.0</v>
      </c>
      <c r="B657" s="1" t="s">
        <v>806</v>
      </c>
      <c r="C657" s="1" t="s">
        <v>807</v>
      </c>
      <c r="D657" s="1" t="s">
        <v>948</v>
      </c>
      <c r="E657" s="1">
        <v>3.5</v>
      </c>
      <c r="F657" s="1">
        <v>0.0</v>
      </c>
      <c r="G657" s="1" t="s">
        <v>809</v>
      </c>
      <c r="H657" s="1" t="s">
        <v>809</v>
      </c>
      <c r="I657" s="1" t="s">
        <v>809</v>
      </c>
      <c r="J657" s="1" t="s">
        <v>809</v>
      </c>
      <c r="K657" s="1">
        <v>1.0</v>
      </c>
      <c r="L657" s="1">
        <v>34000.0</v>
      </c>
    </row>
    <row r="658">
      <c r="A658" s="1">
        <v>235.0</v>
      </c>
      <c r="B658" s="1" t="s">
        <v>806</v>
      </c>
      <c r="C658" s="1" t="s">
        <v>810</v>
      </c>
      <c r="D658" s="1" t="s">
        <v>948</v>
      </c>
      <c r="E658" s="1">
        <v>3.25</v>
      </c>
      <c r="F658" s="1">
        <v>0.0</v>
      </c>
      <c r="G658" s="1" t="s">
        <v>809</v>
      </c>
      <c r="H658" s="1" t="s">
        <v>809</v>
      </c>
      <c r="I658" s="1" t="s">
        <v>809</v>
      </c>
      <c r="J658" s="1" t="s">
        <v>809</v>
      </c>
      <c r="K658" s="1">
        <v>1.0</v>
      </c>
      <c r="L658" s="1">
        <v>34000.0</v>
      </c>
    </row>
    <row r="659">
      <c r="A659" s="1">
        <v>235.0</v>
      </c>
      <c r="B659" s="1" t="s">
        <v>825</v>
      </c>
      <c r="C659" s="1" t="s">
        <v>807</v>
      </c>
      <c r="D659" s="1" t="s">
        <v>885</v>
      </c>
      <c r="E659" s="1">
        <v>-1.5</v>
      </c>
      <c r="F659" s="1">
        <v>0.0</v>
      </c>
      <c r="G659" s="1" t="s">
        <v>809</v>
      </c>
      <c r="H659" s="1" t="s">
        <v>809</v>
      </c>
      <c r="I659" s="1" t="s">
        <v>809</v>
      </c>
      <c r="J659" s="1" t="s">
        <v>809</v>
      </c>
      <c r="K659" s="1">
        <v>1.0</v>
      </c>
      <c r="L659" s="1">
        <v>35000.0</v>
      </c>
    </row>
    <row r="660">
      <c r="A660" s="1">
        <v>235.0</v>
      </c>
      <c r="B660" s="1" t="s">
        <v>825</v>
      </c>
      <c r="C660" s="1" t="s">
        <v>810</v>
      </c>
      <c r="D660" s="1" t="s">
        <v>885</v>
      </c>
      <c r="E660" s="1">
        <v>1.25</v>
      </c>
      <c r="F660" s="1">
        <v>0.0</v>
      </c>
      <c r="G660" s="1" t="s">
        <v>809</v>
      </c>
      <c r="H660" s="1" t="s">
        <v>809</v>
      </c>
      <c r="I660" s="1" t="s">
        <v>809</v>
      </c>
      <c r="J660" s="1" t="s">
        <v>809</v>
      </c>
      <c r="K660" s="1">
        <v>1.0</v>
      </c>
      <c r="L660" s="1">
        <v>35000.0</v>
      </c>
    </row>
    <row r="661">
      <c r="A661" s="1">
        <v>236.0</v>
      </c>
      <c r="B661" s="1" t="s">
        <v>806</v>
      </c>
      <c r="C661" s="1" t="s">
        <v>807</v>
      </c>
      <c r="D661" s="1" t="s">
        <v>946</v>
      </c>
      <c r="E661" s="1">
        <v>-5.0</v>
      </c>
      <c r="F661" s="1">
        <v>-1.0</v>
      </c>
      <c r="G661" s="1">
        <v>0.0</v>
      </c>
      <c r="H661" s="1" t="s">
        <v>809</v>
      </c>
      <c r="I661" s="1" t="s">
        <v>809</v>
      </c>
      <c r="J661" s="1" t="s">
        <v>809</v>
      </c>
      <c r="K661" s="1">
        <v>1.0</v>
      </c>
      <c r="L661" s="1">
        <v>83500.0</v>
      </c>
    </row>
    <row r="662">
      <c r="A662" s="1">
        <v>236.0</v>
      </c>
      <c r="B662" s="1" t="s">
        <v>806</v>
      </c>
      <c r="C662" s="1" t="s">
        <v>810</v>
      </c>
      <c r="D662" s="1" t="s">
        <v>946</v>
      </c>
      <c r="E662" s="1">
        <v>-5.0</v>
      </c>
      <c r="F662" s="1">
        <v>-0.5</v>
      </c>
      <c r="G662" s="1">
        <v>5.0</v>
      </c>
      <c r="H662" s="1" t="s">
        <v>809</v>
      </c>
      <c r="I662" s="1" t="s">
        <v>809</v>
      </c>
      <c r="J662" s="1" t="s">
        <v>809</v>
      </c>
      <c r="K662" s="1">
        <v>1.0</v>
      </c>
      <c r="L662" s="1">
        <v>83500.0</v>
      </c>
    </row>
    <row r="663">
      <c r="A663" s="1">
        <v>236.0</v>
      </c>
      <c r="B663" s="1" t="s">
        <v>806</v>
      </c>
      <c r="C663" s="1" t="s">
        <v>809</v>
      </c>
      <c r="D663" s="1" t="s">
        <v>915</v>
      </c>
      <c r="E663" s="1" t="s">
        <v>809</v>
      </c>
      <c r="F663" s="1" t="s">
        <v>809</v>
      </c>
      <c r="G663" s="1" t="s">
        <v>809</v>
      </c>
      <c r="H663" s="1" t="s">
        <v>809</v>
      </c>
      <c r="I663" s="1" t="s">
        <v>809</v>
      </c>
      <c r="J663" s="1" t="s">
        <v>809</v>
      </c>
      <c r="K663" s="1">
        <v>1.0</v>
      </c>
      <c r="L663" s="1">
        <v>120000.0</v>
      </c>
    </row>
    <row r="664">
      <c r="A664" s="1">
        <v>237.0</v>
      </c>
      <c r="B664" s="1" t="s">
        <v>806</v>
      </c>
      <c r="C664" s="1" t="s">
        <v>807</v>
      </c>
      <c r="D664" s="1" t="s">
        <v>836</v>
      </c>
      <c r="E664" s="1">
        <v>-3.75</v>
      </c>
      <c r="F664" s="1">
        <v>-1.5</v>
      </c>
      <c r="G664" s="1">
        <v>20.0</v>
      </c>
      <c r="H664" s="1" t="s">
        <v>809</v>
      </c>
      <c r="I664" s="1" t="s">
        <v>809</v>
      </c>
      <c r="J664" s="1" t="s">
        <v>809</v>
      </c>
      <c r="K664" s="1">
        <v>1.0</v>
      </c>
      <c r="L664" s="1">
        <v>59500.0</v>
      </c>
    </row>
    <row r="665">
      <c r="A665" s="1">
        <v>237.0</v>
      </c>
      <c r="B665" s="1" t="s">
        <v>806</v>
      </c>
      <c r="C665" s="1" t="s">
        <v>810</v>
      </c>
      <c r="D665" s="1" t="s">
        <v>836</v>
      </c>
      <c r="E665" s="1">
        <v>-4.0</v>
      </c>
      <c r="F665" s="1">
        <v>-1.0</v>
      </c>
      <c r="G665" s="1">
        <v>10.0</v>
      </c>
      <c r="H665" s="1" t="s">
        <v>809</v>
      </c>
      <c r="I665" s="1" t="s">
        <v>809</v>
      </c>
      <c r="J665" s="1" t="s">
        <v>809</v>
      </c>
      <c r="K665" s="1">
        <v>1.0</v>
      </c>
      <c r="L665" s="1">
        <v>59500.0</v>
      </c>
    </row>
    <row r="666">
      <c r="A666" s="1">
        <v>237.0</v>
      </c>
      <c r="B666" s="1" t="s">
        <v>806</v>
      </c>
      <c r="C666" s="1" t="s">
        <v>809</v>
      </c>
      <c r="D666" s="1" t="s">
        <v>915</v>
      </c>
      <c r="E666" s="1" t="s">
        <v>809</v>
      </c>
      <c r="F666" s="1" t="s">
        <v>809</v>
      </c>
      <c r="G666" s="1" t="s">
        <v>809</v>
      </c>
      <c r="H666" s="1" t="s">
        <v>809</v>
      </c>
      <c r="I666" s="1" t="s">
        <v>809</v>
      </c>
      <c r="J666" s="1" t="s">
        <v>809</v>
      </c>
      <c r="K666" s="1">
        <v>1.0</v>
      </c>
      <c r="L666" s="1">
        <v>120000.0</v>
      </c>
    </row>
    <row r="667">
      <c r="A667" s="1">
        <v>238.0</v>
      </c>
      <c r="B667" s="1" t="s">
        <v>809</v>
      </c>
      <c r="C667" s="1" t="s">
        <v>809</v>
      </c>
      <c r="D667" s="1" t="s">
        <v>949</v>
      </c>
      <c r="E667" s="1" t="s">
        <v>809</v>
      </c>
      <c r="F667" s="1" t="s">
        <v>809</v>
      </c>
      <c r="G667" s="1" t="s">
        <v>809</v>
      </c>
      <c r="H667" s="1" t="s">
        <v>809</v>
      </c>
      <c r="I667" s="1" t="s">
        <v>809</v>
      </c>
      <c r="J667" s="1" t="s">
        <v>809</v>
      </c>
      <c r="K667" s="1">
        <v>1.0</v>
      </c>
      <c r="L667" s="1">
        <v>136800.0</v>
      </c>
    </row>
    <row r="668">
      <c r="A668" s="1">
        <v>239.0</v>
      </c>
      <c r="B668" s="1" t="s">
        <v>809</v>
      </c>
      <c r="C668" s="1" t="s">
        <v>809</v>
      </c>
      <c r="D668" s="1" t="s">
        <v>915</v>
      </c>
      <c r="E668" s="1" t="s">
        <v>809</v>
      </c>
      <c r="F668" s="1" t="s">
        <v>809</v>
      </c>
      <c r="G668" s="1" t="s">
        <v>809</v>
      </c>
      <c r="H668" s="1" t="s">
        <v>809</v>
      </c>
      <c r="I668" s="1" t="s">
        <v>809</v>
      </c>
      <c r="J668" s="1" t="s">
        <v>809</v>
      </c>
      <c r="K668" s="1">
        <v>1.0</v>
      </c>
      <c r="L668" s="1">
        <v>102000.0</v>
      </c>
    </row>
    <row r="669">
      <c r="A669" s="1">
        <v>240.0</v>
      </c>
      <c r="B669" s="1" t="s">
        <v>806</v>
      </c>
      <c r="C669" s="1" t="s">
        <v>807</v>
      </c>
      <c r="D669" s="1" t="s">
        <v>812</v>
      </c>
      <c r="E669" s="1">
        <v>0.0</v>
      </c>
      <c r="F669" s="1">
        <v>0.0</v>
      </c>
      <c r="G669" s="1" t="s">
        <v>809</v>
      </c>
      <c r="H669" s="1" t="s">
        <v>809</v>
      </c>
      <c r="I669" s="1" t="s">
        <v>809</v>
      </c>
      <c r="J669" s="1" t="s">
        <v>809</v>
      </c>
      <c r="K669" s="1">
        <v>1.0</v>
      </c>
      <c r="L669" s="1">
        <v>30615.9</v>
      </c>
    </row>
    <row r="670">
      <c r="A670" s="1">
        <v>240.0</v>
      </c>
      <c r="B670" s="1" t="s">
        <v>806</v>
      </c>
      <c r="C670" s="1" t="s">
        <v>810</v>
      </c>
      <c r="D670" s="1" t="s">
        <v>812</v>
      </c>
      <c r="E670" s="1">
        <v>0.0</v>
      </c>
      <c r="F670" s="1">
        <v>0.0</v>
      </c>
      <c r="G670" s="1" t="s">
        <v>809</v>
      </c>
      <c r="H670" s="1" t="s">
        <v>809</v>
      </c>
      <c r="I670" s="1" t="s">
        <v>809</v>
      </c>
      <c r="J670" s="1" t="s">
        <v>809</v>
      </c>
      <c r="K670" s="1">
        <v>1.0</v>
      </c>
      <c r="L670" s="1">
        <v>30615.9</v>
      </c>
    </row>
    <row r="671">
      <c r="A671" s="1">
        <v>240.0</v>
      </c>
      <c r="B671" s="1" t="s">
        <v>806</v>
      </c>
      <c r="C671" s="1" t="s">
        <v>809</v>
      </c>
      <c r="D671" s="1" t="s">
        <v>814</v>
      </c>
      <c r="E671" s="1" t="s">
        <v>809</v>
      </c>
      <c r="F671" s="1" t="s">
        <v>809</v>
      </c>
      <c r="G671" s="1" t="s">
        <v>809</v>
      </c>
      <c r="H671" s="1" t="s">
        <v>809</v>
      </c>
      <c r="I671" s="1" t="s">
        <v>809</v>
      </c>
      <c r="J671" s="1" t="s">
        <v>809</v>
      </c>
      <c r="K671" s="1">
        <v>1.0</v>
      </c>
      <c r="L671" s="1">
        <v>72000.0</v>
      </c>
    </row>
    <row r="672">
      <c r="A672" s="1">
        <v>241.0</v>
      </c>
      <c r="B672" s="1" t="s">
        <v>806</v>
      </c>
      <c r="C672" s="1" t="s">
        <v>807</v>
      </c>
      <c r="D672" s="1" t="s">
        <v>812</v>
      </c>
      <c r="E672" s="1">
        <v>0.0</v>
      </c>
      <c r="F672" s="1">
        <v>0.0</v>
      </c>
      <c r="G672" s="1" t="s">
        <v>809</v>
      </c>
      <c r="H672" s="1" t="s">
        <v>809</v>
      </c>
      <c r="I672" s="1" t="s">
        <v>809</v>
      </c>
      <c r="J672" s="1" t="s">
        <v>809</v>
      </c>
      <c r="K672" s="1">
        <v>1.0</v>
      </c>
      <c r="L672" s="1">
        <v>30615.9</v>
      </c>
    </row>
    <row r="673">
      <c r="A673" s="1">
        <v>241.0</v>
      </c>
      <c r="B673" s="1" t="s">
        <v>806</v>
      </c>
      <c r="C673" s="1" t="s">
        <v>810</v>
      </c>
      <c r="D673" s="1" t="s">
        <v>812</v>
      </c>
      <c r="E673" s="1">
        <v>0.0</v>
      </c>
      <c r="F673" s="1">
        <v>0.0</v>
      </c>
      <c r="G673" s="1" t="s">
        <v>809</v>
      </c>
      <c r="H673" s="1" t="s">
        <v>809</v>
      </c>
      <c r="I673" s="1" t="s">
        <v>809</v>
      </c>
      <c r="J673" s="1" t="s">
        <v>809</v>
      </c>
      <c r="K673" s="1">
        <v>1.0</v>
      </c>
      <c r="L673" s="1">
        <v>30615.9</v>
      </c>
    </row>
    <row r="674">
      <c r="A674" s="1">
        <v>241.0</v>
      </c>
      <c r="B674" s="1" t="s">
        <v>806</v>
      </c>
      <c r="C674" s="1" t="s">
        <v>809</v>
      </c>
      <c r="D674" s="1" t="s">
        <v>950</v>
      </c>
      <c r="E674" s="1" t="s">
        <v>809</v>
      </c>
      <c r="F674" s="1" t="s">
        <v>809</v>
      </c>
      <c r="G674" s="1" t="s">
        <v>809</v>
      </c>
      <c r="H674" s="1" t="s">
        <v>809</v>
      </c>
      <c r="I674" s="1" t="s">
        <v>809</v>
      </c>
      <c r="J674" s="1" t="s">
        <v>809</v>
      </c>
      <c r="K674" s="1">
        <v>1.0</v>
      </c>
      <c r="L674" s="1">
        <v>143640.0</v>
      </c>
    </row>
    <row r="675">
      <c r="A675" s="1">
        <v>242.0</v>
      </c>
      <c r="B675" s="1" t="s">
        <v>809</v>
      </c>
      <c r="C675" s="1">
        <v>2.0</v>
      </c>
      <c r="D675" s="1" t="s">
        <v>920</v>
      </c>
      <c r="E675" s="1">
        <v>0.0</v>
      </c>
      <c r="F675" s="1">
        <v>0.0</v>
      </c>
      <c r="G675" s="1">
        <v>0.0</v>
      </c>
      <c r="H675" s="1" t="s">
        <v>809</v>
      </c>
      <c r="I675" s="1" t="s">
        <v>809</v>
      </c>
      <c r="J675" s="1" t="s">
        <v>809</v>
      </c>
      <c r="K675" s="1">
        <v>1.0</v>
      </c>
      <c r="L675" s="1">
        <v>210000.0</v>
      </c>
    </row>
    <row r="676">
      <c r="A676" s="1">
        <v>243.0</v>
      </c>
      <c r="B676" s="1" t="s">
        <v>806</v>
      </c>
      <c r="C676" s="1" t="s">
        <v>807</v>
      </c>
      <c r="D676" s="1" t="s">
        <v>808</v>
      </c>
      <c r="E676" s="1">
        <v>0.0</v>
      </c>
      <c r="F676" s="1">
        <v>0.0</v>
      </c>
      <c r="G676" s="1" t="s">
        <v>809</v>
      </c>
      <c r="H676" s="1" t="s">
        <v>809</v>
      </c>
      <c r="I676" s="1" t="s">
        <v>809</v>
      </c>
      <c r="J676" s="1" t="s">
        <v>809</v>
      </c>
      <c r="K676" s="1">
        <v>1.0</v>
      </c>
      <c r="L676" s="1">
        <v>54600.0</v>
      </c>
    </row>
    <row r="677">
      <c r="A677" s="1">
        <v>243.0</v>
      </c>
      <c r="B677" s="1" t="s">
        <v>806</v>
      </c>
      <c r="C677" s="1" t="s">
        <v>810</v>
      </c>
      <c r="D677" s="1" t="s">
        <v>808</v>
      </c>
      <c r="E677" s="1">
        <v>0.0</v>
      </c>
      <c r="F677" s="1">
        <v>0.0</v>
      </c>
      <c r="G677" s="1" t="s">
        <v>809</v>
      </c>
      <c r="H677" s="1" t="s">
        <v>809</v>
      </c>
      <c r="I677" s="1" t="s">
        <v>809</v>
      </c>
      <c r="J677" s="1" t="s">
        <v>809</v>
      </c>
      <c r="K677" s="1">
        <v>1.0</v>
      </c>
      <c r="L677" s="1">
        <v>54600.0</v>
      </c>
    </row>
    <row r="678">
      <c r="A678" s="1">
        <v>243.0</v>
      </c>
      <c r="B678" s="1" t="s">
        <v>806</v>
      </c>
      <c r="C678" s="1" t="s">
        <v>809</v>
      </c>
      <c r="D678" s="1" t="s">
        <v>951</v>
      </c>
      <c r="E678" s="1" t="s">
        <v>809</v>
      </c>
      <c r="F678" s="1" t="s">
        <v>809</v>
      </c>
      <c r="G678" s="1" t="s">
        <v>809</v>
      </c>
      <c r="H678" s="1" t="s">
        <v>809</v>
      </c>
      <c r="I678" s="1" t="s">
        <v>809</v>
      </c>
      <c r="J678" s="1" t="s">
        <v>809</v>
      </c>
      <c r="K678" s="1">
        <v>1.0</v>
      </c>
      <c r="L678" s="1">
        <v>136800.0</v>
      </c>
    </row>
    <row r="679">
      <c r="A679" s="1">
        <v>244.0</v>
      </c>
      <c r="B679" s="1" t="s">
        <v>809</v>
      </c>
      <c r="C679" s="1" t="s">
        <v>809</v>
      </c>
      <c r="D679" s="1" t="s">
        <v>829</v>
      </c>
      <c r="E679" s="1" t="s">
        <v>809</v>
      </c>
      <c r="F679" s="1" t="s">
        <v>809</v>
      </c>
      <c r="G679" s="1" t="s">
        <v>809</v>
      </c>
      <c r="H679" s="1" t="s">
        <v>809</v>
      </c>
      <c r="I679" s="1" t="s">
        <v>809</v>
      </c>
      <c r="J679" s="1" t="s">
        <v>809</v>
      </c>
      <c r="K679" s="1">
        <v>1.0</v>
      </c>
      <c r="L679" s="1">
        <v>122400.0</v>
      </c>
    </row>
    <row r="680">
      <c r="A680" s="1">
        <v>245.0</v>
      </c>
      <c r="B680" s="1" t="s">
        <v>806</v>
      </c>
      <c r="C680" s="1" t="s">
        <v>807</v>
      </c>
      <c r="D680" s="1" t="s">
        <v>946</v>
      </c>
      <c r="E680" s="1">
        <v>0.0</v>
      </c>
      <c r="F680" s="1">
        <v>0.0</v>
      </c>
      <c r="G680" s="1" t="s">
        <v>809</v>
      </c>
      <c r="H680" s="1" t="s">
        <v>809</v>
      </c>
      <c r="I680" s="1" t="s">
        <v>809</v>
      </c>
      <c r="J680" s="1" t="s">
        <v>809</v>
      </c>
      <c r="K680" s="1">
        <v>1.0</v>
      </c>
      <c r="L680" s="1">
        <v>136000.0</v>
      </c>
    </row>
    <row r="681">
      <c r="A681" s="1">
        <v>245.0</v>
      </c>
      <c r="B681" s="1" t="s">
        <v>806</v>
      </c>
      <c r="C681" s="1" t="s">
        <v>810</v>
      </c>
      <c r="D681" s="1" t="s">
        <v>946</v>
      </c>
      <c r="E681" s="1">
        <v>0.0</v>
      </c>
      <c r="F681" s="1">
        <v>0.0</v>
      </c>
      <c r="G681" s="1" t="s">
        <v>809</v>
      </c>
      <c r="H681" s="1" t="s">
        <v>809</v>
      </c>
      <c r="I681" s="1" t="s">
        <v>809</v>
      </c>
      <c r="J681" s="1" t="s">
        <v>809</v>
      </c>
      <c r="K681" s="1">
        <v>1.0</v>
      </c>
      <c r="L681" s="1">
        <v>136000.0</v>
      </c>
    </row>
    <row r="682">
      <c r="A682" s="1">
        <v>245.0</v>
      </c>
      <c r="B682" s="1" t="s">
        <v>806</v>
      </c>
      <c r="C682" s="1" t="s">
        <v>809</v>
      </c>
      <c r="D682" s="1" t="s">
        <v>952</v>
      </c>
      <c r="E682" s="1" t="s">
        <v>809</v>
      </c>
      <c r="F682" s="1" t="s">
        <v>809</v>
      </c>
      <c r="G682" s="1" t="s">
        <v>809</v>
      </c>
      <c r="H682" s="1" t="s">
        <v>809</v>
      </c>
      <c r="I682" s="1" t="s">
        <v>809</v>
      </c>
      <c r="J682" s="1" t="s">
        <v>809</v>
      </c>
      <c r="K682" s="1">
        <v>1.0</v>
      </c>
      <c r="L682" s="1">
        <v>116000.0</v>
      </c>
    </row>
    <row r="683">
      <c r="A683" s="1">
        <v>246.0</v>
      </c>
      <c r="B683" s="1" t="s">
        <v>806</v>
      </c>
      <c r="C683" s="1" t="s">
        <v>807</v>
      </c>
      <c r="D683" s="1" t="s">
        <v>812</v>
      </c>
      <c r="E683" s="1">
        <v>0.0</v>
      </c>
      <c r="F683" s="1">
        <v>0.0</v>
      </c>
      <c r="G683" s="1" t="s">
        <v>809</v>
      </c>
      <c r="H683" s="1" t="s">
        <v>809</v>
      </c>
      <c r="I683" s="1" t="s">
        <v>809</v>
      </c>
      <c r="J683" s="1" t="s">
        <v>809</v>
      </c>
      <c r="K683" s="1">
        <v>1.0</v>
      </c>
      <c r="L683" s="1">
        <v>21500.0</v>
      </c>
    </row>
    <row r="684">
      <c r="A684" s="1">
        <v>246.0</v>
      </c>
      <c r="B684" s="1" t="s">
        <v>806</v>
      </c>
      <c r="C684" s="1" t="s">
        <v>810</v>
      </c>
      <c r="D684" s="1" t="s">
        <v>812</v>
      </c>
      <c r="E684" s="1">
        <v>0.0</v>
      </c>
      <c r="F684" s="1">
        <v>0.0</v>
      </c>
      <c r="G684" s="1" t="s">
        <v>809</v>
      </c>
      <c r="H684" s="1" t="s">
        <v>809</v>
      </c>
      <c r="I684" s="1" t="s">
        <v>809</v>
      </c>
      <c r="J684" s="1" t="s">
        <v>809</v>
      </c>
      <c r="K684" s="1">
        <v>1.0</v>
      </c>
      <c r="L684" s="1">
        <v>21500.0</v>
      </c>
    </row>
    <row r="685">
      <c r="A685" s="1">
        <v>246.0</v>
      </c>
      <c r="B685" s="1" t="s">
        <v>806</v>
      </c>
      <c r="C685" s="1" t="s">
        <v>809</v>
      </c>
      <c r="D685" s="1" t="s">
        <v>857</v>
      </c>
      <c r="E685" s="1" t="s">
        <v>809</v>
      </c>
      <c r="F685" s="1" t="s">
        <v>809</v>
      </c>
      <c r="G685" s="1" t="s">
        <v>809</v>
      </c>
      <c r="H685" s="1" t="s">
        <v>809</v>
      </c>
      <c r="I685" s="1" t="s">
        <v>809</v>
      </c>
      <c r="J685" s="1" t="s">
        <v>809</v>
      </c>
      <c r="K685" s="1">
        <v>1.0</v>
      </c>
      <c r="L685" s="1">
        <v>286000.0</v>
      </c>
    </row>
    <row r="686">
      <c r="A686" s="1">
        <v>247.0</v>
      </c>
      <c r="B686" s="1" t="s">
        <v>806</v>
      </c>
      <c r="C686" s="1" t="s">
        <v>807</v>
      </c>
      <c r="D686" s="1" t="s">
        <v>836</v>
      </c>
      <c r="E686" s="1">
        <v>0.25</v>
      </c>
      <c r="F686" s="1">
        <v>0.0</v>
      </c>
      <c r="G686" s="1" t="s">
        <v>809</v>
      </c>
      <c r="H686" s="1" t="s">
        <v>809</v>
      </c>
      <c r="I686" s="1" t="s">
        <v>809</v>
      </c>
      <c r="J686" s="1" t="s">
        <v>809</v>
      </c>
      <c r="K686" s="1">
        <v>1.0</v>
      </c>
      <c r="L686" s="1">
        <v>55853.0</v>
      </c>
    </row>
    <row r="687">
      <c r="A687" s="1">
        <v>247.0</v>
      </c>
      <c r="B687" s="1" t="s">
        <v>806</v>
      </c>
      <c r="C687" s="1" t="s">
        <v>810</v>
      </c>
      <c r="D687" s="1" t="s">
        <v>836</v>
      </c>
      <c r="E687" s="1">
        <v>0.25</v>
      </c>
      <c r="F687" s="1">
        <v>0.0</v>
      </c>
      <c r="G687" s="1" t="s">
        <v>809</v>
      </c>
      <c r="H687" s="1" t="s">
        <v>809</v>
      </c>
      <c r="I687" s="1" t="s">
        <v>809</v>
      </c>
      <c r="J687" s="1" t="s">
        <v>809</v>
      </c>
      <c r="K687" s="1">
        <v>1.0</v>
      </c>
      <c r="L687" s="1">
        <v>55853.0</v>
      </c>
    </row>
    <row r="688">
      <c r="A688" s="1">
        <v>247.0</v>
      </c>
      <c r="B688" s="1" t="s">
        <v>806</v>
      </c>
      <c r="C688" s="1" t="s">
        <v>809</v>
      </c>
      <c r="D688" s="1" t="s">
        <v>953</v>
      </c>
      <c r="E688" s="1" t="s">
        <v>809</v>
      </c>
      <c r="F688" s="1" t="s">
        <v>809</v>
      </c>
      <c r="G688" s="1" t="s">
        <v>809</v>
      </c>
      <c r="H688" s="1" t="s">
        <v>809</v>
      </c>
      <c r="I688" s="1" t="s">
        <v>809</v>
      </c>
      <c r="J688" s="1" t="s">
        <v>809</v>
      </c>
      <c r="K688" s="1">
        <v>1.0</v>
      </c>
      <c r="L688" s="1">
        <v>136452.0</v>
      </c>
    </row>
    <row r="689">
      <c r="A689" s="1">
        <v>247.0</v>
      </c>
      <c r="B689" s="1" t="s">
        <v>825</v>
      </c>
      <c r="C689" s="1" t="s">
        <v>807</v>
      </c>
      <c r="D689" s="1" t="s">
        <v>826</v>
      </c>
      <c r="E689" s="1">
        <v>0.0</v>
      </c>
      <c r="F689" s="1">
        <v>0.0</v>
      </c>
      <c r="G689" s="1" t="s">
        <v>809</v>
      </c>
      <c r="H689" s="1" t="s">
        <v>809</v>
      </c>
      <c r="I689" s="1" t="s">
        <v>809</v>
      </c>
      <c r="J689" s="1" t="s">
        <v>809</v>
      </c>
      <c r="K689" s="1">
        <v>1.0</v>
      </c>
      <c r="L689" s="1">
        <v>0.0</v>
      </c>
    </row>
    <row r="690">
      <c r="A690" s="1">
        <v>247.0</v>
      </c>
      <c r="B690" s="1" t="s">
        <v>825</v>
      </c>
      <c r="C690" s="1" t="s">
        <v>810</v>
      </c>
      <c r="D690" s="1" t="s">
        <v>826</v>
      </c>
      <c r="E690" s="1">
        <v>0.0</v>
      </c>
      <c r="F690" s="1">
        <v>0.0</v>
      </c>
      <c r="G690" s="1" t="s">
        <v>809</v>
      </c>
      <c r="H690" s="1" t="s">
        <v>809</v>
      </c>
      <c r="I690" s="1" t="s">
        <v>809</v>
      </c>
      <c r="J690" s="1" t="s">
        <v>809</v>
      </c>
      <c r="K690" s="1">
        <v>1.0</v>
      </c>
      <c r="L690" s="1">
        <v>0.0</v>
      </c>
    </row>
    <row r="691">
      <c r="A691" s="1">
        <v>247.0</v>
      </c>
      <c r="B691" s="1" t="s">
        <v>825</v>
      </c>
      <c r="C691" s="1" t="s">
        <v>809</v>
      </c>
      <c r="D691" s="1" t="s">
        <v>954</v>
      </c>
      <c r="E691" s="1" t="s">
        <v>809</v>
      </c>
      <c r="F691" s="1" t="s">
        <v>809</v>
      </c>
      <c r="G691" s="1" t="s">
        <v>809</v>
      </c>
      <c r="H691" s="1" t="s">
        <v>809</v>
      </c>
      <c r="I691" s="1" t="s">
        <v>809</v>
      </c>
      <c r="J691" s="1" t="s">
        <v>809</v>
      </c>
      <c r="K691" s="1">
        <v>1.0</v>
      </c>
      <c r="L691" s="1">
        <v>176000.0</v>
      </c>
    </row>
    <row r="692">
      <c r="A692" s="1">
        <v>248.0</v>
      </c>
      <c r="B692" s="1" t="s">
        <v>806</v>
      </c>
      <c r="C692" s="1" t="s">
        <v>807</v>
      </c>
      <c r="D692" s="1" t="s">
        <v>808</v>
      </c>
      <c r="E692" s="1">
        <v>-1.0</v>
      </c>
      <c r="F692" s="1">
        <v>0.0</v>
      </c>
      <c r="G692" s="1" t="s">
        <v>809</v>
      </c>
      <c r="H692" s="1" t="s">
        <v>809</v>
      </c>
      <c r="I692" s="1" t="s">
        <v>809</v>
      </c>
      <c r="J692" s="1" t="s">
        <v>809</v>
      </c>
      <c r="K692" s="1">
        <v>1.0</v>
      </c>
      <c r="L692" s="1">
        <v>10000.0</v>
      </c>
    </row>
    <row r="693">
      <c r="A693" s="1">
        <v>248.0</v>
      </c>
      <c r="B693" s="1" t="s">
        <v>806</v>
      </c>
      <c r="C693" s="1" t="s">
        <v>810</v>
      </c>
      <c r="D693" s="1" t="s">
        <v>808</v>
      </c>
      <c r="E693" s="1">
        <v>0.5</v>
      </c>
      <c r="F693" s="1">
        <v>0.0</v>
      </c>
      <c r="G693" s="1" t="s">
        <v>809</v>
      </c>
      <c r="H693" s="1" t="s">
        <v>809</v>
      </c>
      <c r="I693" s="1" t="s">
        <v>809</v>
      </c>
      <c r="J693" s="1" t="s">
        <v>809</v>
      </c>
      <c r="K693" s="1">
        <v>1.0</v>
      </c>
      <c r="L693" s="1">
        <v>10000.0</v>
      </c>
    </row>
    <row r="694">
      <c r="A694" s="1">
        <v>248.0</v>
      </c>
      <c r="B694" s="1" t="s">
        <v>825</v>
      </c>
      <c r="C694" s="1" t="s">
        <v>807</v>
      </c>
      <c r="D694" s="1" t="s">
        <v>808</v>
      </c>
      <c r="E694" s="1">
        <v>1.75</v>
      </c>
      <c r="F694" s="1">
        <v>0.0</v>
      </c>
      <c r="G694" s="1" t="s">
        <v>809</v>
      </c>
      <c r="H694" s="1" t="s">
        <v>809</v>
      </c>
      <c r="I694" s="1" t="s">
        <v>809</v>
      </c>
      <c r="J694" s="1" t="s">
        <v>809</v>
      </c>
      <c r="K694" s="1">
        <v>1.0</v>
      </c>
      <c r="L694" s="1">
        <v>10000.0</v>
      </c>
    </row>
    <row r="695">
      <c r="A695" s="1">
        <v>248.0</v>
      </c>
      <c r="B695" s="1" t="s">
        <v>825</v>
      </c>
      <c r="C695" s="1" t="s">
        <v>810</v>
      </c>
      <c r="D695" s="1" t="s">
        <v>808</v>
      </c>
      <c r="E695" s="1">
        <v>3.25</v>
      </c>
      <c r="F695" s="1">
        <v>0.0</v>
      </c>
      <c r="G695" s="1" t="s">
        <v>809</v>
      </c>
      <c r="H695" s="1" t="s">
        <v>809</v>
      </c>
      <c r="I695" s="1" t="s">
        <v>809</v>
      </c>
      <c r="J695" s="1" t="s">
        <v>809</v>
      </c>
      <c r="K695" s="1">
        <v>1.0</v>
      </c>
      <c r="L695" s="1">
        <v>10000.0</v>
      </c>
    </row>
    <row r="696">
      <c r="A696" s="1">
        <v>249.0</v>
      </c>
      <c r="B696" s="1" t="s">
        <v>806</v>
      </c>
      <c r="C696" s="1" t="s">
        <v>807</v>
      </c>
      <c r="D696" s="1" t="s">
        <v>826</v>
      </c>
      <c r="E696" s="1">
        <v>-0.5</v>
      </c>
      <c r="F696" s="1">
        <v>-0.25</v>
      </c>
      <c r="G696" s="1">
        <v>120.0</v>
      </c>
      <c r="H696" s="1" t="s">
        <v>809</v>
      </c>
      <c r="I696" s="1">
        <v>30.0</v>
      </c>
      <c r="J696" s="1">
        <v>25.0</v>
      </c>
      <c r="K696" s="1">
        <v>1.0</v>
      </c>
      <c r="L696" s="1">
        <v>15000.0</v>
      </c>
    </row>
    <row r="697">
      <c r="A697" s="1">
        <v>249.0</v>
      </c>
      <c r="B697" s="1" t="s">
        <v>806</v>
      </c>
      <c r="C697" s="1" t="s">
        <v>810</v>
      </c>
      <c r="D697" s="1" t="s">
        <v>826</v>
      </c>
      <c r="E697" s="1">
        <v>-0.5</v>
      </c>
      <c r="F697" s="1">
        <v>-0.25</v>
      </c>
      <c r="G697" s="1">
        <v>20.0</v>
      </c>
      <c r="H697" s="1" t="s">
        <v>809</v>
      </c>
      <c r="I697" s="1">
        <v>30.0</v>
      </c>
      <c r="J697" s="1">
        <v>25.0</v>
      </c>
      <c r="K697" s="1">
        <v>1.0</v>
      </c>
      <c r="L697" s="1">
        <v>15000.0</v>
      </c>
    </row>
    <row r="698">
      <c r="A698" s="1">
        <v>249.0</v>
      </c>
      <c r="B698" s="1" t="s">
        <v>806</v>
      </c>
      <c r="C698" s="1" t="s">
        <v>809</v>
      </c>
      <c r="D698" s="1" t="s">
        <v>910</v>
      </c>
      <c r="E698" s="1" t="s">
        <v>809</v>
      </c>
      <c r="F698" s="1" t="s">
        <v>809</v>
      </c>
      <c r="G698" s="1" t="s">
        <v>809</v>
      </c>
      <c r="H698" s="1" t="s">
        <v>809</v>
      </c>
      <c r="I698" s="1" t="s">
        <v>809</v>
      </c>
      <c r="J698" s="1" t="s">
        <v>809</v>
      </c>
      <c r="K698" s="1">
        <v>1.0</v>
      </c>
      <c r="L698" s="1">
        <v>65000.0</v>
      </c>
    </row>
    <row r="699">
      <c r="A699" s="1">
        <v>250.0</v>
      </c>
      <c r="B699" s="1" t="s">
        <v>806</v>
      </c>
      <c r="C699" s="1" t="s">
        <v>807</v>
      </c>
      <c r="D699" s="1" t="s">
        <v>826</v>
      </c>
      <c r="E699" s="1">
        <v>-0.5</v>
      </c>
      <c r="F699" s="1">
        <v>-2.5</v>
      </c>
      <c r="G699" s="1">
        <v>85.0</v>
      </c>
      <c r="H699" s="1" t="s">
        <v>809</v>
      </c>
      <c r="I699" s="1" t="s">
        <v>809</v>
      </c>
      <c r="J699" s="1" t="s">
        <v>809</v>
      </c>
      <c r="K699" s="1">
        <v>1.0</v>
      </c>
      <c r="L699" s="1">
        <v>21464.98</v>
      </c>
    </row>
    <row r="700">
      <c r="A700" s="1">
        <v>250.0</v>
      </c>
      <c r="B700" s="1" t="s">
        <v>806</v>
      </c>
      <c r="C700" s="1" t="s">
        <v>810</v>
      </c>
      <c r="D700" s="1" t="s">
        <v>826</v>
      </c>
      <c r="E700" s="1">
        <v>0.0</v>
      </c>
      <c r="F700" s="1">
        <v>-3.0</v>
      </c>
      <c r="G700" s="1">
        <v>85.0</v>
      </c>
      <c r="H700" s="1" t="s">
        <v>809</v>
      </c>
      <c r="I700" s="1" t="s">
        <v>809</v>
      </c>
      <c r="J700" s="1" t="s">
        <v>809</v>
      </c>
      <c r="K700" s="1">
        <v>1.0</v>
      </c>
      <c r="L700" s="1">
        <v>21464.98</v>
      </c>
    </row>
    <row r="701">
      <c r="A701" s="1">
        <v>250.0</v>
      </c>
      <c r="B701" s="1" t="s">
        <v>806</v>
      </c>
      <c r="C701" s="1" t="s">
        <v>809</v>
      </c>
      <c r="D701" s="1" t="s">
        <v>915</v>
      </c>
      <c r="E701" s="1" t="s">
        <v>809</v>
      </c>
      <c r="F701" s="1" t="s">
        <v>809</v>
      </c>
      <c r="G701" s="1" t="s">
        <v>809</v>
      </c>
      <c r="H701" s="1" t="s">
        <v>809</v>
      </c>
      <c r="I701" s="1" t="s">
        <v>809</v>
      </c>
      <c r="J701" s="1" t="s">
        <v>809</v>
      </c>
      <c r="K701" s="1">
        <v>1.0</v>
      </c>
      <c r="L701" s="1">
        <v>96900.0</v>
      </c>
    </row>
    <row r="702">
      <c r="A702" s="1">
        <v>251.0</v>
      </c>
      <c r="B702" s="1" t="s">
        <v>806</v>
      </c>
      <c r="C702" s="1" t="s">
        <v>807</v>
      </c>
      <c r="D702" s="1" t="s">
        <v>812</v>
      </c>
      <c r="E702" s="1">
        <v>0.0</v>
      </c>
      <c r="F702" s="1">
        <v>-0.5</v>
      </c>
      <c r="G702" s="1">
        <v>5.0</v>
      </c>
      <c r="H702" s="1" t="s">
        <v>809</v>
      </c>
      <c r="I702" s="1">
        <v>30.0</v>
      </c>
      <c r="J702" s="1" t="s">
        <v>809</v>
      </c>
      <c r="K702" s="1">
        <v>1.0</v>
      </c>
      <c r="L702" s="1">
        <v>25500.0</v>
      </c>
    </row>
    <row r="703">
      <c r="A703" s="1">
        <v>251.0</v>
      </c>
      <c r="B703" s="1" t="s">
        <v>806</v>
      </c>
      <c r="C703" s="1" t="s">
        <v>810</v>
      </c>
      <c r="D703" s="1" t="s">
        <v>812</v>
      </c>
      <c r="E703" s="1">
        <v>0.0</v>
      </c>
      <c r="F703" s="1">
        <v>-0.5</v>
      </c>
      <c r="G703" s="1">
        <v>5.0</v>
      </c>
      <c r="H703" s="1" t="s">
        <v>809</v>
      </c>
      <c r="I703" s="1">
        <v>30.0</v>
      </c>
      <c r="J703" s="1" t="s">
        <v>809</v>
      </c>
      <c r="K703" s="1">
        <v>1.0</v>
      </c>
      <c r="L703" s="1">
        <v>25500.0</v>
      </c>
    </row>
    <row r="704">
      <c r="A704" s="1">
        <v>251.0</v>
      </c>
      <c r="B704" s="1" t="s">
        <v>806</v>
      </c>
      <c r="C704" s="1" t="s">
        <v>809</v>
      </c>
      <c r="D704" s="1" t="s">
        <v>915</v>
      </c>
      <c r="E704" s="1" t="s">
        <v>809</v>
      </c>
      <c r="F704" s="1" t="s">
        <v>809</v>
      </c>
      <c r="G704" s="1" t="s">
        <v>809</v>
      </c>
      <c r="H704" s="1" t="s">
        <v>809</v>
      </c>
      <c r="I704" s="1" t="s">
        <v>809</v>
      </c>
      <c r="J704" s="1" t="s">
        <v>809</v>
      </c>
      <c r="K704" s="1">
        <v>1.0</v>
      </c>
      <c r="L704" s="1">
        <v>90000.0</v>
      </c>
    </row>
    <row r="705">
      <c r="A705" s="1">
        <v>252.0</v>
      </c>
      <c r="B705" s="1" t="s">
        <v>806</v>
      </c>
      <c r="C705" s="1" t="s">
        <v>807</v>
      </c>
      <c r="D705" s="1" t="s">
        <v>836</v>
      </c>
      <c r="E705" s="1">
        <v>-0.25</v>
      </c>
      <c r="F705" s="1">
        <v>-0.5</v>
      </c>
      <c r="G705" s="1">
        <v>90.0</v>
      </c>
      <c r="H705" s="1" t="s">
        <v>809</v>
      </c>
      <c r="I705" s="1">
        <v>30.0</v>
      </c>
      <c r="J705" s="1">
        <v>27.0</v>
      </c>
      <c r="K705" s="1">
        <v>1.0</v>
      </c>
      <c r="L705" s="1">
        <v>45000.0</v>
      </c>
    </row>
    <row r="706">
      <c r="A706" s="1">
        <v>252.0</v>
      </c>
      <c r="B706" s="1" t="s">
        <v>806</v>
      </c>
      <c r="C706" s="1" t="s">
        <v>810</v>
      </c>
      <c r="D706" s="1" t="s">
        <v>836</v>
      </c>
      <c r="E706" s="1">
        <v>-0.25</v>
      </c>
      <c r="F706" s="1">
        <v>-0.5</v>
      </c>
      <c r="G706" s="1">
        <v>90.0</v>
      </c>
      <c r="H706" s="1" t="s">
        <v>809</v>
      </c>
      <c r="I706" s="1">
        <v>31.0</v>
      </c>
      <c r="J706" s="1">
        <v>27.0</v>
      </c>
      <c r="K706" s="1">
        <v>1.0</v>
      </c>
      <c r="L706" s="1">
        <v>45000.0</v>
      </c>
    </row>
    <row r="707">
      <c r="A707" s="1">
        <v>252.0</v>
      </c>
      <c r="B707" s="1" t="s">
        <v>806</v>
      </c>
      <c r="C707" s="1" t="s">
        <v>809</v>
      </c>
      <c r="D707" s="1" t="s">
        <v>955</v>
      </c>
      <c r="E707" s="1" t="s">
        <v>809</v>
      </c>
      <c r="F707" s="1" t="s">
        <v>809</v>
      </c>
      <c r="G707" s="1" t="s">
        <v>809</v>
      </c>
      <c r="H707" s="1" t="s">
        <v>809</v>
      </c>
      <c r="I707" s="1" t="s">
        <v>809</v>
      </c>
      <c r="J707" s="1" t="s">
        <v>809</v>
      </c>
      <c r="K707" s="1">
        <v>1.0</v>
      </c>
      <c r="L707" s="1">
        <v>158760.0</v>
      </c>
    </row>
    <row r="708">
      <c r="A708" s="1">
        <v>253.0</v>
      </c>
      <c r="B708" s="1" t="s">
        <v>809</v>
      </c>
      <c r="C708" s="1" t="s">
        <v>809</v>
      </c>
      <c r="D708" s="1" t="s">
        <v>814</v>
      </c>
      <c r="E708" s="1" t="s">
        <v>809</v>
      </c>
      <c r="F708" s="1" t="s">
        <v>809</v>
      </c>
      <c r="G708" s="1" t="s">
        <v>809</v>
      </c>
      <c r="H708" s="1" t="s">
        <v>809</v>
      </c>
      <c r="I708" s="1" t="s">
        <v>809</v>
      </c>
      <c r="J708" s="1" t="s">
        <v>809</v>
      </c>
      <c r="K708" s="1">
        <v>1.0</v>
      </c>
      <c r="L708" s="1">
        <v>0.0</v>
      </c>
    </row>
    <row r="709">
      <c r="A709" s="1">
        <v>254.0</v>
      </c>
      <c r="B709" s="1" t="s">
        <v>809</v>
      </c>
      <c r="C709" s="1" t="s">
        <v>809</v>
      </c>
      <c r="D709" s="1" t="s">
        <v>910</v>
      </c>
      <c r="E709" s="1" t="s">
        <v>809</v>
      </c>
      <c r="F709" s="1" t="s">
        <v>809</v>
      </c>
      <c r="G709" s="1" t="s">
        <v>809</v>
      </c>
      <c r="H709" s="1" t="s">
        <v>809</v>
      </c>
      <c r="I709" s="1" t="s">
        <v>809</v>
      </c>
      <c r="J709" s="1" t="s">
        <v>809</v>
      </c>
      <c r="K709" s="1">
        <v>1.0</v>
      </c>
      <c r="L709" s="1">
        <v>0.0</v>
      </c>
    </row>
    <row r="710">
      <c r="A710" s="1">
        <v>255.0</v>
      </c>
      <c r="B710" s="1" t="s">
        <v>806</v>
      </c>
      <c r="C710" s="1" t="s">
        <v>807</v>
      </c>
      <c r="D710" s="1" t="s">
        <v>836</v>
      </c>
      <c r="E710" s="1">
        <v>-1.5</v>
      </c>
      <c r="F710" s="1">
        <v>-0.5</v>
      </c>
      <c r="G710" s="1">
        <v>125.0</v>
      </c>
      <c r="H710" s="1" t="s">
        <v>809</v>
      </c>
      <c r="I710" s="1">
        <v>30.0</v>
      </c>
      <c r="J710" s="1">
        <v>26.0</v>
      </c>
      <c r="K710" s="1">
        <v>1.0</v>
      </c>
      <c r="L710" s="1">
        <v>48500.0</v>
      </c>
    </row>
    <row r="711">
      <c r="A711" s="1">
        <v>255.0</v>
      </c>
      <c r="B711" s="1" t="s">
        <v>806</v>
      </c>
      <c r="C711" s="1" t="s">
        <v>810</v>
      </c>
      <c r="D711" s="1" t="s">
        <v>836</v>
      </c>
      <c r="E711" s="1">
        <v>-1.0</v>
      </c>
      <c r="F711" s="1">
        <v>0.0</v>
      </c>
      <c r="G711" s="1" t="s">
        <v>809</v>
      </c>
      <c r="H711" s="1" t="s">
        <v>809</v>
      </c>
      <c r="I711" s="1">
        <v>30.0</v>
      </c>
      <c r="J711" s="1">
        <v>26.0</v>
      </c>
      <c r="K711" s="1">
        <v>1.0</v>
      </c>
      <c r="L711" s="1">
        <v>48500.0</v>
      </c>
    </row>
    <row r="712">
      <c r="A712" s="1">
        <v>255.0</v>
      </c>
      <c r="B712" s="1" t="s">
        <v>806</v>
      </c>
      <c r="C712" s="1" t="s">
        <v>809</v>
      </c>
      <c r="D712" s="1" t="s">
        <v>910</v>
      </c>
      <c r="E712" s="1" t="s">
        <v>809</v>
      </c>
      <c r="F712" s="1" t="s">
        <v>809</v>
      </c>
      <c r="G712" s="1" t="s">
        <v>809</v>
      </c>
      <c r="H712" s="1" t="s">
        <v>809</v>
      </c>
      <c r="I712" s="1" t="s">
        <v>809</v>
      </c>
      <c r="J712" s="1" t="s">
        <v>809</v>
      </c>
      <c r="K712" s="1">
        <v>1.0</v>
      </c>
      <c r="L712" s="1">
        <v>80000.0</v>
      </c>
    </row>
    <row r="713">
      <c r="A713" s="1">
        <v>256.0</v>
      </c>
      <c r="B713" s="1" t="s">
        <v>806</v>
      </c>
      <c r="C713" s="1" t="s">
        <v>807</v>
      </c>
      <c r="D713" s="1" t="s">
        <v>812</v>
      </c>
      <c r="E713" s="1">
        <v>-3.0</v>
      </c>
      <c r="F713" s="1">
        <v>0.0</v>
      </c>
      <c r="G713" s="1" t="s">
        <v>809</v>
      </c>
      <c r="H713" s="1" t="s">
        <v>809</v>
      </c>
      <c r="I713" s="1">
        <v>30.0</v>
      </c>
      <c r="J713" s="1">
        <v>26.0</v>
      </c>
      <c r="K713" s="1">
        <v>1.0</v>
      </c>
      <c r="L713" s="1">
        <v>30615.9</v>
      </c>
    </row>
    <row r="714">
      <c r="A714" s="1">
        <v>256.0</v>
      </c>
      <c r="B714" s="1" t="s">
        <v>806</v>
      </c>
      <c r="C714" s="1" t="s">
        <v>810</v>
      </c>
      <c r="D714" s="1" t="s">
        <v>812</v>
      </c>
      <c r="E714" s="1">
        <v>-3.0</v>
      </c>
      <c r="F714" s="1">
        <v>0.0</v>
      </c>
      <c r="G714" s="1" t="s">
        <v>809</v>
      </c>
      <c r="H714" s="1" t="s">
        <v>809</v>
      </c>
      <c r="I714" s="1">
        <v>30.0</v>
      </c>
      <c r="J714" s="1">
        <v>26.0</v>
      </c>
      <c r="K714" s="1">
        <v>1.0</v>
      </c>
      <c r="L714" s="1">
        <v>30615.9</v>
      </c>
    </row>
    <row r="715">
      <c r="A715" s="1">
        <v>256.0</v>
      </c>
      <c r="B715" s="1" t="s">
        <v>806</v>
      </c>
      <c r="C715" s="1" t="s">
        <v>809</v>
      </c>
      <c r="D715" s="1" t="s">
        <v>929</v>
      </c>
      <c r="E715" s="1" t="s">
        <v>809</v>
      </c>
      <c r="F715" s="1" t="s">
        <v>809</v>
      </c>
      <c r="G715" s="1" t="s">
        <v>809</v>
      </c>
      <c r="H715" s="1" t="s">
        <v>809</v>
      </c>
      <c r="I715" s="1" t="s">
        <v>809</v>
      </c>
      <c r="J715" s="1" t="s">
        <v>809</v>
      </c>
      <c r="K715" s="1">
        <v>1.0</v>
      </c>
      <c r="L715" s="1">
        <v>92000.0</v>
      </c>
    </row>
    <row r="716">
      <c r="A716" s="1">
        <v>257.0</v>
      </c>
      <c r="B716" s="1" t="s">
        <v>806</v>
      </c>
      <c r="C716" s="1" t="s">
        <v>807</v>
      </c>
      <c r="D716" s="1" t="s">
        <v>842</v>
      </c>
      <c r="E716" s="1">
        <v>0.0</v>
      </c>
      <c r="F716" s="1">
        <v>0.0</v>
      </c>
      <c r="G716" s="1" t="s">
        <v>809</v>
      </c>
      <c r="H716" s="1" t="s">
        <v>809</v>
      </c>
      <c r="I716" s="1" t="s">
        <v>809</v>
      </c>
      <c r="J716" s="1" t="s">
        <v>809</v>
      </c>
      <c r="K716" s="1">
        <v>1.0</v>
      </c>
      <c r="L716" s="1">
        <v>0.0</v>
      </c>
    </row>
    <row r="717">
      <c r="A717" s="1">
        <v>257.0</v>
      </c>
      <c r="B717" s="1" t="s">
        <v>806</v>
      </c>
      <c r="C717" s="1" t="s">
        <v>810</v>
      </c>
      <c r="D717" s="1" t="s">
        <v>842</v>
      </c>
      <c r="E717" s="1">
        <v>0.0</v>
      </c>
      <c r="F717" s="1">
        <v>0.0</v>
      </c>
      <c r="G717" s="1" t="s">
        <v>809</v>
      </c>
      <c r="H717" s="1" t="s">
        <v>809</v>
      </c>
      <c r="I717" s="1" t="s">
        <v>809</v>
      </c>
      <c r="J717" s="1" t="s">
        <v>809</v>
      </c>
      <c r="K717" s="1">
        <v>1.0</v>
      </c>
      <c r="L717" s="1">
        <v>0.0</v>
      </c>
    </row>
    <row r="718">
      <c r="A718" s="1">
        <v>257.0</v>
      </c>
      <c r="B718" s="1" t="s">
        <v>806</v>
      </c>
      <c r="C718" s="1" t="s">
        <v>809</v>
      </c>
      <c r="D718" s="1" t="s">
        <v>956</v>
      </c>
      <c r="E718" s="1" t="s">
        <v>809</v>
      </c>
      <c r="F718" s="1" t="s">
        <v>809</v>
      </c>
      <c r="G718" s="1" t="s">
        <v>809</v>
      </c>
      <c r="H718" s="1" t="s">
        <v>809</v>
      </c>
      <c r="I718" s="1" t="s">
        <v>809</v>
      </c>
      <c r="J718" s="1" t="s">
        <v>809</v>
      </c>
      <c r="K718" s="1">
        <v>1.0</v>
      </c>
      <c r="L718" s="1">
        <v>174000.0</v>
      </c>
    </row>
    <row r="719">
      <c r="A719" s="1">
        <v>258.0</v>
      </c>
      <c r="B719" s="1" t="s">
        <v>806</v>
      </c>
      <c r="C719" s="1" t="s">
        <v>807</v>
      </c>
      <c r="D719" s="1" t="s">
        <v>948</v>
      </c>
      <c r="E719" s="1">
        <v>0.0</v>
      </c>
      <c r="F719" s="1">
        <v>0.0</v>
      </c>
      <c r="G719" s="1" t="s">
        <v>809</v>
      </c>
      <c r="H719" s="1" t="s">
        <v>809</v>
      </c>
      <c r="I719" s="1" t="s">
        <v>809</v>
      </c>
      <c r="J719" s="1" t="s">
        <v>809</v>
      </c>
      <c r="K719" s="1">
        <v>1.0</v>
      </c>
      <c r="L719" s="1">
        <v>15000.0</v>
      </c>
    </row>
    <row r="720">
      <c r="A720" s="1">
        <v>258.0</v>
      </c>
      <c r="B720" s="1" t="s">
        <v>806</v>
      </c>
      <c r="C720" s="1" t="s">
        <v>810</v>
      </c>
      <c r="D720" s="1" t="s">
        <v>948</v>
      </c>
      <c r="E720" s="1">
        <v>0.0</v>
      </c>
      <c r="F720" s="1">
        <v>0.0</v>
      </c>
      <c r="G720" s="1" t="s">
        <v>809</v>
      </c>
      <c r="H720" s="1" t="s">
        <v>809</v>
      </c>
      <c r="I720" s="1" t="s">
        <v>809</v>
      </c>
      <c r="J720" s="1" t="s">
        <v>809</v>
      </c>
      <c r="K720" s="1">
        <v>1.0</v>
      </c>
      <c r="L720" s="1">
        <v>15000.0</v>
      </c>
    </row>
    <row r="721">
      <c r="A721" s="1">
        <v>258.0</v>
      </c>
      <c r="B721" s="1" t="s">
        <v>825</v>
      </c>
      <c r="C721" s="1" t="s">
        <v>807</v>
      </c>
      <c r="D721" s="1" t="s">
        <v>826</v>
      </c>
      <c r="E721" s="1">
        <v>0.0</v>
      </c>
      <c r="F721" s="1">
        <v>0.0</v>
      </c>
      <c r="G721" s="1" t="s">
        <v>809</v>
      </c>
      <c r="H721" s="1" t="s">
        <v>809</v>
      </c>
      <c r="I721" s="1" t="s">
        <v>809</v>
      </c>
      <c r="J721" s="1" t="s">
        <v>809</v>
      </c>
      <c r="K721" s="1">
        <v>1.0</v>
      </c>
      <c r="L721" s="1">
        <v>15000.0</v>
      </c>
    </row>
    <row r="722">
      <c r="A722" s="1">
        <v>258.0</v>
      </c>
      <c r="B722" s="1" t="s">
        <v>825</v>
      </c>
      <c r="C722" s="1" t="s">
        <v>810</v>
      </c>
      <c r="D722" s="1" t="s">
        <v>826</v>
      </c>
      <c r="E722" s="1">
        <v>0.0</v>
      </c>
      <c r="F722" s="1">
        <v>0.0</v>
      </c>
      <c r="G722" s="1" t="s">
        <v>809</v>
      </c>
      <c r="H722" s="1" t="s">
        <v>809</v>
      </c>
      <c r="I722" s="1" t="s">
        <v>809</v>
      </c>
      <c r="J722" s="1" t="s">
        <v>809</v>
      </c>
      <c r="K722" s="1">
        <v>1.0</v>
      </c>
      <c r="L722" s="1">
        <v>15000.0</v>
      </c>
    </row>
    <row r="723">
      <c r="A723" s="1">
        <v>258.0</v>
      </c>
      <c r="B723" s="1" t="s">
        <v>825</v>
      </c>
      <c r="C723" s="1" t="s">
        <v>809</v>
      </c>
      <c r="D723" s="1" t="s">
        <v>915</v>
      </c>
      <c r="E723" s="1" t="s">
        <v>809</v>
      </c>
      <c r="F723" s="1" t="s">
        <v>809</v>
      </c>
      <c r="G723" s="1" t="s">
        <v>809</v>
      </c>
      <c r="H723" s="1" t="s">
        <v>809</v>
      </c>
      <c r="I723" s="1" t="s">
        <v>809</v>
      </c>
      <c r="J723" s="1" t="s">
        <v>809</v>
      </c>
      <c r="K723" s="1">
        <v>1.0</v>
      </c>
      <c r="L723" s="1">
        <v>60000.0</v>
      </c>
    </row>
    <row r="724">
      <c r="A724" s="1">
        <v>259.0</v>
      </c>
      <c r="B724" s="1" t="s">
        <v>806</v>
      </c>
      <c r="C724" s="1" t="s">
        <v>807</v>
      </c>
      <c r="D724" s="1" t="s">
        <v>836</v>
      </c>
      <c r="E724" s="1">
        <v>-1.0</v>
      </c>
      <c r="F724" s="1">
        <v>-2.0</v>
      </c>
      <c r="G724" s="1">
        <v>5.0</v>
      </c>
      <c r="H724" s="1" t="s">
        <v>809</v>
      </c>
      <c r="I724" s="1">
        <v>32.0</v>
      </c>
      <c r="J724" s="1">
        <v>26.0</v>
      </c>
      <c r="K724" s="1">
        <v>1.0</v>
      </c>
      <c r="L724" s="1">
        <v>125500.0</v>
      </c>
    </row>
    <row r="725">
      <c r="A725" s="1">
        <v>259.0</v>
      </c>
      <c r="B725" s="1" t="s">
        <v>806</v>
      </c>
      <c r="C725" s="1" t="s">
        <v>810</v>
      </c>
      <c r="D725" s="1" t="s">
        <v>836</v>
      </c>
      <c r="E725" s="1">
        <v>-0.25</v>
      </c>
      <c r="F725" s="1">
        <v>-1.75</v>
      </c>
      <c r="G725" s="1">
        <v>175.0</v>
      </c>
      <c r="H725" s="1" t="s">
        <v>809</v>
      </c>
      <c r="I725" s="1">
        <v>32.0</v>
      </c>
      <c r="J725" s="1">
        <v>26.0</v>
      </c>
      <c r="K725" s="1">
        <v>1.0</v>
      </c>
      <c r="L725" s="1">
        <v>125500.0</v>
      </c>
    </row>
    <row r="726">
      <c r="A726" s="1">
        <v>259.0</v>
      </c>
      <c r="B726" s="1" t="s">
        <v>806</v>
      </c>
      <c r="C726" s="1" t="s">
        <v>809</v>
      </c>
      <c r="D726" s="1" t="s">
        <v>828</v>
      </c>
      <c r="E726" s="1" t="s">
        <v>809</v>
      </c>
      <c r="F726" s="1" t="s">
        <v>809</v>
      </c>
      <c r="G726" s="1" t="s">
        <v>809</v>
      </c>
      <c r="H726" s="1" t="s">
        <v>809</v>
      </c>
      <c r="I726" s="1" t="s">
        <v>809</v>
      </c>
      <c r="J726" s="1" t="s">
        <v>809</v>
      </c>
      <c r="K726" s="1">
        <v>1.0</v>
      </c>
      <c r="L726" s="1">
        <v>65000.0</v>
      </c>
    </row>
    <row r="727">
      <c r="A727" s="1">
        <v>259.0</v>
      </c>
      <c r="B727" s="1" t="s">
        <v>825</v>
      </c>
      <c r="C727" s="1" t="s">
        <v>807</v>
      </c>
      <c r="D727" s="1" t="s">
        <v>826</v>
      </c>
      <c r="E727" s="1">
        <v>-1.0</v>
      </c>
      <c r="F727" s="1">
        <v>-2.0</v>
      </c>
      <c r="G727" s="1">
        <v>5.0</v>
      </c>
      <c r="H727" s="1" t="s">
        <v>809</v>
      </c>
      <c r="I727" s="1">
        <v>32.0</v>
      </c>
      <c r="J727" s="1">
        <v>26.0</v>
      </c>
      <c r="K727" s="1">
        <v>1.0</v>
      </c>
      <c r="L727" s="1">
        <v>35000.0</v>
      </c>
    </row>
    <row r="728">
      <c r="A728" s="1">
        <v>259.0</v>
      </c>
      <c r="B728" s="1" t="s">
        <v>825</v>
      </c>
      <c r="C728" s="1" t="s">
        <v>810</v>
      </c>
      <c r="D728" s="1" t="s">
        <v>826</v>
      </c>
      <c r="E728" s="1">
        <v>-0.25</v>
      </c>
      <c r="F728" s="1">
        <v>-1.75</v>
      </c>
      <c r="G728" s="1">
        <v>175.0</v>
      </c>
      <c r="H728" s="1" t="s">
        <v>809</v>
      </c>
      <c r="I728" s="1">
        <v>32.0</v>
      </c>
      <c r="J728" s="1">
        <v>26.0</v>
      </c>
      <c r="K728" s="1">
        <v>1.0</v>
      </c>
      <c r="L728" s="1">
        <v>35000.0</v>
      </c>
    </row>
    <row r="729">
      <c r="A729" s="1">
        <v>259.0</v>
      </c>
      <c r="B729" s="1" t="s">
        <v>825</v>
      </c>
      <c r="C729" s="1" t="s">
        <v>809</v>
      </c>
      <c r="D729" s="1" t="s">
        <v>828</v>
      </c>
      <c r="E729" s="1" t="s">
        <v>809</v>
      </c>
      <c r="F729" s="1" t="s">
        <v>809</v>
      </c>
      <c r="G729" s="1" t="s">
        <v>809</v>
      </c>
      <c r="H729" s="1" t="s">
        <v>809</v>
      </c>
      <c r="I729" s="1" t="s">
        <v>809</v>
      </c>
      <c r="J729" s="1" t="s">
        <v>809</v>
      </c>
      <c r="K729" s="1">
        <v>1.0</v>
      </c>
      <c r="L729" s="1">
        <v>65000.0</v>
      </c>
    </row>
    <row r="730">
      <c r="A730" s="1">
        <v>260.0</v>
      </c>
      <c r="B730" s="1" t="s">
        <v>806</v>
      </c>
      <c r="C730" s="1" t="s">
        <v>807</v>
      </c>
      <c r="D730" s="1" t="s">
        <v>865</v>
      </c>
      <c r="E730" s="1">
        <v>0.0</v>
      </c>
      <c r="F730" s="1">
        <v>-0.75</v>
      </c>
      <c r="G730" s="1">
        <v>55.0</v>
      </c>
      <c r="H730" s="1" t="s">
        <v>809</v>
      </c>
      <c r="I730" s="1">
        <v>27.0</v>
      </c>
      <c r="J730" s="1">
        <v>23.0</v>
      </c>
      <c r="K730" s="1">
        <v>1.0</v>
      </c>
      <c r="L730" s="1">
        <v>40500.0</v>
      </c>
    </row>
    <row r="731">
      <c r="A731" s="1">
        <v>260.0</v>
      </c>
      <c r="B731" s="1" t="s">
        <v>806</v>
      </c>
      <c r="C731" s="1" t="s">
        <v>810</v>
      </c>
      <c r="D731" s="1" t="s">
        <v>865</v>
      </c>
      <c r="E731" s="1">
        <v>0.0</v>
      </c>
      <c r="F731" s="1">
        <v>-1.25</v>
      </c>
      <c r="G731" s="1">
        <v>140.0</v>
      </c>
      <c r="H731" s="1" t="s">
        <v>809</v>
      </c>
      <c r="I731" s="1">
        <v>26.0</v>
      </c>
      <c r="J731" s="1">
        <v>23.0</v>
      </c>
      <c r="K731" s="1">
        <v>1.0</v>
      </c>
      <c r="L731" s="1">
        <v>40500.0</v>
      </c>
    </row>
    <row r="732">
      <c r="A732" s="1">
        <v>260.0</v>
      </c>
      <c r="B732" s="1" t="s">
        <v>806</v>
      </c>
      <c r="C732" s="1" t="s">
        <v>809</v>
      </c>
      <c r="D732" s="1" t="s">
        <v>957</v>
      </c>
      <c r="E732" s="1" t="s">
        <v>809</v>
      </c>
      <c r="F732" s="1" t="s">
        <v>809</v>
      </c>
      <c r="G732" s="1" t="s">
        <v>809</v>
      </c>
      <c r="H732" s="1" t="s">
        <v>809</v>
      </c>
      <c r="I732" s="1" t="s">
        <v>809</v>
      </c>
      <c r="J732" s="1" t="s">
        <v>809</v>
      </c>
      <c r="K732" s="1">
        <v>1.0</v>
      </c>
      <c r="L732" s="1">
        <v>120000.0</v>
      </c>
    </row>
    <row r="733">
      <c r="A733" s="1">
        <v>261.0</v>
      </c>
      <c r="B733" s="1" t="s">
        <v>806</v>
      </c>
      <c r="C733" s="1" t="s">
        <v>807</v>
      </c>
      <c r="D733" s="1" t="s">
        <v>812</v>
      </c>
      <c r="E733" s="1">
        <v>-1.25</v>
      </c>
      <c r="F733" s="1">
        <v>-1.5</v>
      </c>
      <c r="G733" s="1">
        <v>45.0</v>
      </c>
      <c r="H733" s="1" t="s">
        <v>809</v>
      </c>
      <c r="I733" s="1">
        <v>30.0</v>
      </c>
      <c r="J733" s="1" t="s">
        <v>809</v>
      </c>
      <c r="K733" s="1">
        <v>1.0</v>
      </c>
      <c r="L733" s="1">
        <v>30615.9</v>
      </c>
    </row>
    <row r="734">
      <c r="A734" s="1">
        <v>261.0</v>
      </c>
      <c r="B734" s="1" t="s">
        <v>806</v>
      </c>
      <c r="C734" s="1" t="s">
        <v>810</v>
      </c>
      <c r="D734" s="1" t="s">
        <v>812</v>
      </c>
      <c r="E734" s="1">
        <v>-1.0</v>
      </c>
      <c r="F734" s="1">
        <v>-1.5</v>
      </c>
      <c r="G734" s="1">
        <v>165.0</v>
      </c>
      <c r="H734" s="1" t="s">
        <v>809</v>
      </c>
      <c r="I734" s="1">
        <v>30.0</v>
      </c>
      <c r="J734" s="1" t="s">
        <v>809</v>
      </c>
      <c r="K734" s="1">
        <v>1.0</v>
      </c>
      <c r="L734" s="1">
        <v>30615.9</v>
      </c>
    </row>
    <row r="735">
      <c r="A735" s="1">
        <v>262.0</v>
      </c>
      <c r="B735" s="1" t="s">
        <v>806</v>
      </c>
      <c r="C735" s="1" t="s">
        <v>807</v>
      </c>
      <c r="D735" s="1" t="s">
        <v>819</v>
      </c>
      <c r="E735" s="1">
        <v>0.0</v>
      </c>
      <c r="F735" s="1">
        <v>0.0</v>
      </c>
      <c r="G735" s="1" t="s">
        <v>809</v>
      </c>
      <c r="H735" s="1" t="s">
        <v>809</v>
      </c>
      <c r="I735" s="1">
        <v>31.5</v>
      </c>
      <c r="J735" s="1">
        <v>20.0</v>
      </c>
      <c r="K735" s="1">
        <v>1.0</v>
      </c>
      <c r="L735" s="1">
        <v>60000.0</v>
      </c>
    </row>
    <row r="736">
      <c r="A736" s="1">
        <v>262.0</v>
      </c>
      <c r="B736" s="1" t="s">
        <v>806</v>
      </c>
      <c r="C736" s="1" t="s">
        <v>810</v>
      </c>
      <c r="D736" s="1" t="s">
        <v>819</v>
      </c>
      <c r="E736" s="1">
        <v>0.0</v>
      </c>
      <c r="F736" s="1">
        <v>0.0</v>
      </c>
      <c r="G736" s="1" t="s">
        <v>809</v>
      </c>
      <c r="H736" s="1" t="s">
        <v>809</v>
      </c>
      <c r="I736" s="1">
        <v>31.5</v>
      </c>
      <c r="J736" s="1">
        <v>20.0</v>
      </c>
      <c r="K736" s="1">
        <v>1.0</v>
      </c>
      <c r="L736" s="1">
        <v>60000.0</v>
      </c>
    </row>
    <row r="737">
      <c r="A737" s="1">
        <v>262.0</v>
      </c>
      <c r="B737" s="1" t="s">
        <v>806</v>
      </c>
      <c r="C737" s="1" t="s">
        <v>809</v>
      </c>
      <c r="D737" s="1" t="s">
        <v>912</v>
      </c>
      <c r="E737" s="1" t="s">
        <v>809</v>
      </c>
      <c r="F737" s="1" t="s">
        <v>809</v>
      </c>
      <c r="G737" s="1" t="s">
        <v>809</v>
      </c>
      <c r="H737" s="1" t="s">
        <v>809</v>
      </c>
      <c r="I737" s="1" t="s">
        <v>809</v>
      </c>
      <c r="J737" s="1" t="s">
        <v>809</v>
      </c>
      <c r="K737" s="1">
        <v>1.0</v>
      </c>
      <c r="L737" s="1">
        <v>80000.0</v>
      </c>
    </row>
    <row r="738">
      <c r="A738" s="1">
        <v>263.0</v>
      </c>
      <c r="B738" s="1" t="s">
        <v>809</v>
      </c>
      <c r="C738" s="1" t="s">
        <v>809</v>
      </c>
      <c r="D738" s="1" t="s">
        <v>958</v>
      </c>
      <c r="E738" s="1" t="s">
        <v>809</v>
      </c>
      <c r="F738" s="1" t="s">
        <v>809</v>
      </c>
      <c r="G738" s="1" t="s">
        <v>809</v>
      </c>
      <c r="H738" s="1" t="s">
        <v>809</v>
      </c>
      <c r="I738" s="1" t="s">
        <v>809</v>
      </c>
      <c r="J738" s="1" t="s">
        <v>809</v>
      </c>
      <c r="K738" s="1">
        <v>1.0</v>
      </c>
      <c r="L738" s="1">
        <v>170000.0</v>
      </c>
    </row>
    <row r="739">
      <c r="A739" s="1">
        <v>264.0</v>
      </c>
      <c r="B739" s="1" t="s">
        <v>809</v>
      </c>
      <c r="C739" s="1" t="s">
        <v>809</v>
      </c>
      <c r="D739" s="1" t="s">
        <v>958</v>
      </c>
      <c r="E739" s="1" t="s">
        <v>809</v>
      </c>
      <c r="F739" s="1" t="s">
        <v>809</v>
      </c>
      <c r="G739" s="1" t="s">
        <v>809</v>
      </c>
      <c r="H739" s="1" t="s">
        <v>809</v>
      </c>
      <c r="I739" s="1" t="s">
        <v>809</v>
      </c>
      <c r="J739" s="1" t="s">
        <v>809</v>
      </c>
      <c r="K739" s="1">
        <v>1.0</v>
      </c>
      <c r="L739" s="1">
        <v>170000.0</v>
      </c>
    </row>
    <row r="740">
      <c r="A740" s="1">
        <v>265.0</v>
      </c>
      <c r="B740" s="1" t="s">
        <v>809</v>
      </c>
      <c r="C740" s="1">
        <v>2.0</v>
      </c>
      <c r="D740" s="1" t="s">
        <v>959</v>
      </c>
      <c r="E740" s="1">
        <v>-5.0</v>
      </c>
      <c r="F740" s="1">
        <v>-4.0</v>
      </c>
      <c r="G740" s="1">
        <v>180.0</v>
      </c>
      <c r="H740" s="1" t="s">
        <v>809</v>
      </c>
      <c r="I740" s="1" t="s">
        <v>809</v>
      </c>
      <c r="J740" s="1" t="s">
        <v>809</v>
      </c>
      <c r="K740" s="1">
        <v>1.0</v>
      </c>
      <c r="L740" s="1">
        <v>476000.0</v>
      </c>
    </row>
    <row r="741">
      <c r="A741" s="1">
        <v>266.0</v>
      </c>
      <c r="B741" s="1" t="s">
        <v>806</v>
      </c>
      <c r="C741" s="1" t="s">
        <v>807</v>
      </c>
      <c r="D741" s="1" t="s">
        <v>864</v>
      </c>
      <c r="E741" s="1">
        <v>1.75</v>
      </c>
      <c r="F741" s="1">
        <v>0.0</v>
      </c>
      <c r="G741" s="1" t="s">
        <v>809</v>
      </c>
      <c r="H741" s="1">
        <v>2.0</v>
      </c>
      <c r="I741" s="1">
        <v>30.0</v>
      </c>
      <c r="J741" s="1" t="s">
        <v>809</v>
      </c>
      <c r="K741" s="1">
        <v>1.0</v>
      </c>
      <c r="L741" s="1">
        <v>660000.0</v>
      </c>
    </row>
    <row r="742">
      <c r="A742" s="1">
        <v>266.0</v>
      </c>
      <c r="B742" s="1" t="s">
        <v>806</v>
      </c>
      <c r="C742" s="1" t="s">
        <v>810</v>
      </c>
      <c r="D742" s="1" t="s">
        <v>864</v>
      </c>
      <c r="E742" s="1">
        <v>2.0</v>
      </c>
      <c r="F742" s="1">
        <v>0.0</v>
      </c>
      <c r="G742" s="1" t="s">
        <v>809</v>
      </c>
      <c r="H742" s="1">
        <v>2.0</v>
      </c>
      <c r="I742" s="1">
        <v>32.0</v>
      </c>
      <c r="J742" s="1" t="s">
        <v>809</v>
      </c>
      <c r="K742" s="1">
        <v>1.0</v>
      </c>
      <c r="L742" s="1">
        <v>660000.0</v>
      </c>
    </row>
    <row r="743">
      <c r="A743" s="1">
        <v>266.0</v>
      </c>
      <c r="B743" s="1" t="s">
        <v>806</v>
      </c>
      <c r="C743" s="1" t="s">
        <v>809</v>
      </c>
      <c r="D743" s="1" t="s">
        <v>915</v>
      </c>
      <c r="E743" s="1" t="s">
        <v>809</v>
      </c>
      <c r="F743" s="1" t="s">
        <v>809</v>
      </c>
      <c r="G743" s="1" t="s">
        <v>809</v>
      </c>
      <c r="H743" s="1" t="s">
        <v>809</v>
      </c>
      <c r="I743" s="1" t="s">
        <v>809</v>
      </c>
      <c r="J743" s="1" t="s">
        <v>809</v>
      </c>
      <c r="K743" s="1">
        <v>1.0</v>
      </c>
      <c r="L743" s="1">
        <v>96000.0</v>
      </c>
    </row>
    <row r="744">
      <c r="A744" s="1">
        <v>267.0</v>
      </c>
      <c r="B744" s="1" t="s">
        <v>806</v>
      </c>
      <c r="C744" s="1" t="s">
        <v>807</v>
      </c>
      <c r="D744" s="1" t="s">
        <v>960</v>
      </c>
      <c r="E744" s="1">
        <v>0.0</v>
      </c>
      <c r="F744" s="1">
        <v>0.0</v>
      </c>
      <c r="G744" s="1" t="s">
        <v>809</v>
      </c>
      <c r="H744" s="1" t="s">
        <v>809</v>
      </c>
      <c r="I744" s="1" t="s">
        <v>809</v>
      </c>
      <c r="J744" s="1" t="s">
        <v>809</v>
      </c>
      <c r="K744" s="1">
        <v>1.0</v>
      </c>
      <c r="L744" s="1">
        <v>420000.0</v>
      </c>
    </row>
    <row r="745">
      <c r="A745" s="1">
        <v>267.0</v>
      </c>
      <c r="B745" s="1" t="s">
        <v>806</v>
      </c>
      <c r="C745" s="1" t="s">
        <v>810</v>
      </c>
      <c r="D745" s="1" t="s">
        <v>960</v>
      </c>
      <c r="E745" s="1">
        <v>0.0</v>
      </c>
      <c r="F745" s="1">
        <v>0.0</v>
      </c>
      <c r="G745" s="1" t="s">
        <v>809</v>
      </c>
      <c r="H745" s="1" t="s">
        <v>809</v>
      </c>
      <c r="I745" s="1" t="s">
        <v>809</v>
      </c>
      <c r="J745" s="1" t="s">
        <v>809</v>
      </c>
      <c r="K745" s="1">
        <v>1.0</v>
      </c>
      <c r="L745" s="1">
        <v>420000.0</v>
      </c>
    </row>
    <row r="746">
      <c r="A746" s="1">
        <v>267.0</v>
      </c>
      <c r="B746" s="1" t="s">
        <v>806</v>
      </c>
      <c r="C746" s="1" t="s">
        <v>809</v>
      </c>
      <c r="D746" s="1" t="s">
        <v>912</v>
      </c>
      <c r="E746" s="1" t="s">
        <v>809</v>
      </c>
      <c r="F746" s="1" t="s">
        <v>809</v>
      </c>
      <c r="G746" s="1" t="s">
        <v>809</v>
      </c>
      <c r="H746" s="1" t="s">
        <v>809</v>
      </c>
      <c r="I746" s="1" t="s">
        <v>809</v>
      </c>
      <c r="J746" s="1" t="s">
        <v>809</v>
      </c>
      <c r="K746" s="1">
        <v>1.0</v>
      </c>
      <c r="L746" s="1">
        <v>102000.0</v>
      </c>
    </row>
    <row r="747">
      <c r="A747" s="1">
        <v>268.0</v>
      </c>
      <c r="B747" s="1" t="s">
        <v>806</v>
      </c>
      <c r="C747" s="1" t="s">
        <v>807</v>
      </c>
      <c r="D747" s="1" t="s">
        <v>946</v>
      </c>
      <c r="E747" s="1">
        <v>0.0</v>
      </c>
      <c r="F747" s="1">
        <v>0.0</v>
      </c>
      <c r="G747" s="1" t="s">
        <v>809</v>
      </c>
      <c r="H747" s="1" t="s">
        <v>809</v>
      </c>
      <c r="I747" s="1" t="s">
        <v>809</v>
      </c>
      <c r="J747" s="1" t="s">
        <v>809</v>
      </c>
      <c r="K747" s="1">
        <v>1.0</v>
      </c>
      <c r="L747" s="1">
        <v>104500.0</v>
      </c>
    </row>
    <row r="748">
      <c r="A748" s="1">
        <v>268.0</v>
      </c>
      <c r="B748" s="1" t="s">
        <v>806</v>
      </c>
      <c r="C748" s="1" t="s">
        <v>810</v>
      </c>
      <c r="D748" s="1" t="s">
        <v>946</v>
      </c>
      <c r="E748" s="1">
        <v>0.0</v>
      </c>
      <c r="F748" s="1">
        <v>0.0</v>
      </c>
      <c r="G748" s="1" t="s">
        <v>809</v>
      </c>
      <c r="H748" s="1" t="s">
        <v>809</v>
      </c>
      <c r="I748" s="1" t="s">
        <v>809</v>
      </c>
      <c r="J748" s="1" t="s">
        <v>809</v>
      </c>
      <c r="K748" s="1">
        <v>1.0</v>
      </c>
      <c r="L748" s="1">
        <v>104500.0</v>
      </c>
    </row>
    <row r="749">
      <c r="A749" s="1">
        <v>268.0</v>
      </c>
      <c r="B749" s="1" t="s">
        <v>806</v>
      </c>
      <c r="C749" s="1" t="s">
        <v>809</v>
      </c>
      <c r="D749" s="1" t="s">
        <v>961</v>
      </c>
      <c r="E749" s="1" t="s">
        <v>809</v>
      </c>
      <c r="F749" s="1" t="s">
        <v>809</v>
      </c>
      <c r="G749" s="1" t="s">
        <v>809</v>
      </c>
      <c r="H749" s="1" t="s">
        <v>809</v>
      </c>
      <c r="I749" s="1" t="s">
        <v>809</v>
      </c>
      <c r="J749" s="1" t="s">
        <v>809</v>
      </c>
      <c r="K749" s="1">
        <v>1.0</v>
      </c>
      <c r="L749" s="1">
        <v>175000.0</v>
      </c>
    </row>
    <row r="750">
      <c r="A750" s="1">
        <v>268.0</v>
      </c>
      <c r="B750" s="1" t="s">
        <v>825</v>
      </c>
      <c r="C750" s="1" t="s">
        <v>807</v>
      </c>
      <c r="D750" s="1" t="s">
        <v>946</v>
      </c>
      <c r="E750" s="1">
        <v>0.0</v>
      </c>
      <c r="F750" s="1">
        <v>0.0</v>
      </c>
      <c r="G750" s="1" t="s">
        <v>809</v>
      </c>
      <c r="H750" s="1" t="s">
        <v>809</v>
      </c>
      <c r="I750" s="1" t="s">
        <v>809</v>
      </c>
      <c r="J750" s="1" t="s">
        <v>809</v>
      </c>
      <c r="K750" s="1">
        <v>1.0</v>
      </c>
      <c r="L750" s="1">
        <v>104500.0</v>
      </c>
    </row>
    <row r="751">
      <c r="A751" s="1">
        <v>268.0</v>
      </c>
      <c r="B751" s="1" t="s">
        <v>825</v>
      </c>
      <c r="C751" s="1" t="s">
        <v>810</v>
      </c>
      <c r="D751" s="1" t="s">
        <v>946</v>
      </c>
      <c r="E751" s="1">
        <v>0.0</v>
      </c>
      <c r="F751" s="1">
        <v>0.0</v>
      </c>
      <c r="G751" s="1" t="s">
        <v>809</v>
      </c>
      <c r="H751" s="1" t="s">
        <v>809</v>
      </c>
      <c r="I751" s="1" t="s">
        <v>809</v>
      </c>
      <c r="J751" s="1" t="s">
        <v>809</v>
      </c>
      <c r="K751" s="1">
        <v>1.0</v>
      </c>
      <c r="L751" s="1">
        <v>104500.0</v>
      </c>
    </row>
    <row r="752">
      <c r="A752" s="1">
        <v>268.0</v>
      </c>
      <c r="B752" s="1" t="s">
        <v>825</v>
      </c>
      <c r="C752" s="1" t="s">
        <v>809</v>
      </c>
      <c r="D752" s="1" t="s">
        <v>962</v>
      </c>
      <c r="E752" s="1" t="s">
        <v>809</v>
      </c>
      <c r="F752" s="1" t="s">
        <v>809</v>
      </c>
      <c r="G752" s="1" t="s">
        <v>809</v>
      </c>
      <c r="H752" s="1" t="s">
        <v>809</v>
      </c>
      <c r="I752" s="1" t="s">
        <v>809</v>
      </c>
      <c r="J752" s="1" t="s">
        <v>809</v>
      </c>
      <c r="K752" s="1">
        <v>1.0</v>
      </c>
      <c r="L752" s="1">
        <v>220000.0</v>
      </c>
    </row>
    <row r="753">
      <c r="A753" s="1">
        <v>269.0</v>
      </c>
      <c r="B753" s="1" t="s">
        <v>806</v>
      </c>
      <c r="C753" s="1" t="s">
        <v>807</v>
      </c>
      <c r="D753" s="1" t="s">
        <v>812</v>
      </c>
      <c r="E753" s="1">
        <v>-1.5</v>
      </c>
      <c r="F753" s="1">
        <v>-0.5</v>
      </c>
      <c r="G753" s="1">
        <v>105.0</v>
      </c>
      <c r="H753" s="1" t="s">
        <v>809</v>
      </c>
      <c r="I753" s="1" t="s">
        <v>809</v>
      </c>
      <c r="J753" s="1" t="s">
        <v>809</v>
      </c>
      <c r="K753" s="1">
        <v>1.0</v>
      </c>
      <c r="L753" s="1">
        <v>17500.0</v>
      </c>
    </row>
    <row r="754">
      <c r="A754" s="1">
        <v>269.0</v>
      </c>
      <c r="B754" s="1" t="s">
        <v>806</v>
      </c>
      <c r="C754" s="1" t="s">
        <v>810</v>
      </c>
      <c r="D754" s="1" t="s">
        <v>812</v>
      </c>
      <c r="E754" s="1">
        <v>-1.0</v>
      </c>
      <c r="F754" s="1">
        <v>-0.75</v>
      </c>
      <c r="G754" s="1">
        <v>75.0</v>
      </c>
      <c r="H754" s="1" t="s">
        <v>809</v>
      </c>
      <c r="I754" s="1" t="s">
        <v>809</v>
      </c>
      <c r="J754" s="1" t="s">
        <v>809</v>
      </c>
      <c r="K754" s="1">
        <v>1.0</v>
      </c>
      <c r="L754" s="1">
        <v>17500.0</v>
      </c>
    </row>
    <row r="755">
      <c r="A755" s="1">
        <v>269.0</v>
      </c>
      <c r="B755" s="1" t="s">
        <v>806</v>
      </c>
      <c r="C755" s="1" t="s">
        <v>809</v>
      </c>
      <c r="D755" s="1" t="s">
        <v>910</v>
      </c>
      <c r="E755" s="1" t="s">
        <v>809</v>
      </c>
      <c r="F755" s="1" t="s">
        <v>809</v>
      </c>
      <c r="G755" s="1" t="s">
        <v>809</v>
      </c>
      <c r="H755" s="1" t="s">
        <v>809</v>
      </c>
      <c r="I755" s="1" t="s">
        <v>809</v>
      </c>
      <c r="J755" s="1" t="s">
        <v>809</v>
      </c>
      <c r="K755" s="1">
        <v>1.0</v>
      </c>
      <c r="L755" s="1">
        <v>60000.0</v>
      </c>
    </row>
    <row r="756">
      <c r="A756" s="1">
        <v>270.0</v>
      </c>
      <c r="B756" s="1" t="s">
        <v>806</v>
      </c>
      <c r="C756" s="1" t="s">
        <v>807</v>
      </c>
      <c r="D756" s="1" t="s">
        <v>812</v>
      </c>
      <c r="E756" s="1">
        <v>0.0</v>
      </c>
      <c r="F756" s="1">
        <v>-0.5</v>
      </c>
      <c r="G756" s="1">
        <v>85.0</v>
      </c>
      <c r="H756" s="1" t="s">
        <v>809</v>
      </c>
      <c r="I756" s="1" t="s">
        <v>809</v>
      </c>
      <c r="J756" s="1" t="s">
        <v>809</v>
      </c>
      <c r="K756" s="1">
        <v>1.0</v>
      </c>
      <c r="L756" s="1">
        <v>25000.0</v>
      </c>
    </row>
    <row r="757">
      <c r="A757" s="1">
        <v>270.0</v>
      </c>
      <c r="B757" s="1" t="s">
        <v>806</v>
      </c>
      <c r="C757" s="1" t="s">
        <v>810</v>
      </c>
      <c r="D757" s="1" t="s">
        <v>812</v>
      </c>
      <c r="E757" s="1">
        <v>0.0</v>
      </c>
      <c r="F757" s="1">
        <v>-0.25</v>
      </c>
      <c r="G757" s="1">
        <v>5.0</v>
      </c>
      <c r="H757" s="1" t="s">
        <v>809</v>
      </c>
      <c r="I757" s="1" t="s">
        <v>809</v>
      </c>
      <c r="J757" s="1" t="s">
        <v>809</v>
      </c>
      <c r="K757" s="1">
        <v>1.0</v>
      </c>
      <c r="L757" s="1">
        <v>25000.0</v>
      </c>
    </row>
    <row r="758">
      <c r="A758" s="1">
        <v>270.0</v>
      </c>
      <c r="B758" s="1" t="s">
        <v>806</v>
      </c>
      <c r="C758" s="1" t="s">
        <v>809</v>
      </c>
      <c r="D758" s="1" t="s">
        <v>929</v>
      </c>
      <c r="E758" s="1" t="s">
        <v>809</v>
      </c>
      <c r="F758" s="1" t="s">
        <v>809</v>
      </c>
      <c r="G758" s="1" t="s">
        <v>809</v>
      </c>
      <c r="H758" s="1" t="s">
        <v>809</v>
      </c>
      <c r="I758" s="1" t="s">
        <v>809</v>
      </c>
      <c r="J758" s="1" t="s">
        <v>809</v>
      </c>
      <c r="K758" s="1">
        <v>1.0</v>
      </c>
      <c r="L758" s="1">
        <v>92000.0</v>
      </c>
    </row>
    <row r="759">
      <c r="A759" s="1">
        <v>271.0</v>
      </c>
      <c r="B759" s="1" t="s">
        <v>809</v>
      </c>
      <c r="C759" s="1" t="s">
        <v>809</v>
      </c>
      <c r="D759" s="1" t="s">
        <v>963</v>
      </c>
      <c r="E759" s="1" t="s">
        <v>809</v>
      </c>
      <c r="F759" s="1" t="s">
        <v>809</v>
      </c>
      <c r="G759" s="1" t="s">
        <v>809</v>
      </c>
      <c r="H759" s="1" t="s">
        <v>809</v>
      </c>
      <c r="I759" s="1" t="s">
        <v>809</v>
      </c>
      <c r="J759" s="1" t="s">
        <v>809</v>
      </c>
      <c r="K759" s="1">
        <v>1.0</v>
      </c>
      <c r="L759" s="1">
        <v>154000.0</v>
      </c>
    </row>
    <row r="760">
      <c r="A760" s="1">
        <v>272.0</v>
      </c>
      <c r="B760" s="1" t="s">
        <v>806</v>
      </c>
      <c r="C760" s="1" t="s">
        <v>807</v>
      </c>
      <c r="D760" s="1" t="s">
        <v>826</v>
      </c>
      <c r="E760" s="1">
        <v>0.0</v>
      </c>
      <c r="F760" s="1">
        <v>0.0</v>
      </c>
      <c r="G760" s="1" t="s">
        <v>809</v>
      </c>
      <c r="H760" s="1" t="s">
        <v>809</v>
      </c>
      <c r="I760" s="1" t="s">
        <v>809</v>
      </c>
      <c r="J760" s="1" t="s">
        <v>809</v>
      </c>
      <c r="K760" s="1">
        <v>1.0</v>
      </c>
      <c r="L760" s="1">
        <v>21250.0</v>
      </c>
    </row>
    <row r="761">
      <c r="A761" s="1">
        <v>272.0</v>
      </c>
      <c r="B761" s="1" t="s">
        <v>806</v>
      </c>
      <c r="C761" s="1" t="s">
        <v>810</v>
      </c>
      <c r="D761" s="1" t="s">
        <v>826</v>
      </c>
      <c r="E761" s="1">
        <v>0.0</v>
      </c>
      <c r="F761" s="1">
        <v>0.0</v>
      </c>
      <c r="G761" s="1" t="s">
        <v>809</v>
      </c>
      <c r="H761" s="1" t="s">
        <v>809</v>
      </c>
      <c r="I761" s="1" t="s">
        <v>809</v>
      </c>
      <c r="J761" s="1" t="s">
        <v>809</v>
      </c>
      <c r="K761" s="1">
        <v>1.0</v>
      </c>
      <c r="L761" s="1">
        <v>21250.0</v>
      </c>
    </row>
    <row r="762">
      <c r="A762" s="1">
        <v>272.0</v>
      </c>
      <c r="B762" s="1" t="s">
        <v>825</v>
      </c>
      <c r="C762" s="1" t="s">
        <v>807</v>
      </c>
      <c r="D762" s="1" t="s">
        <v>826</v>
      </c>
      <c r="E762" s="1">
        <v>0.0</v>
      </c>
      <c r="F762" s="1">
        <v>0.0</v>
      </c>
      <c r="G762" s="1" t="s">
        <v>809</v>
      </c>
      <c r="H762" s="1" t="s">
        <v>809</v>
      </c>
      <c r="I762" s="1" t="s">
        <v>809</v>
      </c>
      <c r="J762" s="1" t="s">
        <v>809</v>
      </c>
      <c r="K762" s="1">
        <v>1.0</v>
      </c>
      <c r="L762" s="1">
        <v>21250.0</v>
      </c>
    </row>
    <row r="763">
      <c r="A763" s="1">
        <v>272.0</v>
      </c>
      <c r="B763" s="1" t="s">
        <v>825</v>
      </c>
      <c r="C763" s="1" t="s">
        <v>810</v>
      </c>
      <c r="D763" s="1" t="s">
        <v>826</v>
      </c>
      <c r="E763" s="1">
        <v>0.0</v>
      </c>
      <c r="F763" s="1">
        <v>0.0</v>
      </c>
      <c r="G763" s="1" t="s">
        <v>809</v>
      </c>
      <c r="H763" s="1" t="s">
        <v>809</v>
      </c>
      <c r="I763" s="1" t="s">
        <v>809</v>
      </c>
      <c r="J763" s="1" t="s">
        <v>809</v>
      </c>
      <c r="K763" s="1">
        <v>1.0</v>
      </c>
      <c r="L763" s="1">
        <v>21250.0</v>
      </c>
    </row>
    <row r="764">
      <c r="A764" s="1">
        <v>273.0</v>
      </c>
      <c r="B764" s="1" t="s">
        <v>806</v>
      </c>
      <c r="C764" s="1" t="s">
        <v>807</v>
      </c>
      <c r="D764" s="1" t="s">
        <v>812</v>
      </c>
      <c r="E764" s="1">
        <v>0.0</v>
      </c>
      <c r="F764" s="1">
        <v>0.0</v>
      </c>
      <c r="G764" s="1" t="s">
        <v>809</v>
      </c>
      <c r="H764" s="1" t="s">
        <v>809</v>
      </c>
      <c r="I764" s="1" t="s">
        <v>809</v>
      </c>
      <c r="J764" s="1" t="s">
        <v>809</v>
      </c>
      <c r="K764" s="1">
        <v>1.0</v>
      </c>
      <c r="L764" s="1">
        <v>30615.9</v>
      </c>
    </row>
    <row r="765">
      <c r="A765" s="1">
        <v>273.0</v>
      </c>
      <c r="B765" s="1" t="s">
        <v>806</v>
      </c>
      <c r="C765" s="1" t="s">
        <v>810</v>
      </c>
      <c r="D765" s="1" t="s">
        <v>812</v>
      </c>
      <c r="E765" s="1">
        <v>0.0</v>
      </c>
      <c r="F765" s="1">
        <v>0.0</v>
      </c>
      <c r="G765" s="1" t="s">
        <v>809</v>
      </c>
      <c r="H765" s="1" t="s">
        <v>809</v>
      </c>
      <c r="I765" s="1" t="s">
        <v>809</v>
      </c>
      <c r="J765" s="1" t="s">
        <v>809</v>
      </c>
      <c r="K765" s="1">
        <v>1.0</v>
      </c>
      <c r="L765" s="1">
        <v>30615.9</v>
      </c>
    </row>
    <row r="766">
      <c r="A766" s="1">
        <v>273.0</v>
      </c>
      <c r="B766" s="1" t="s">
        <v>806</v>
      </c>
      <c r="C766" s="1" t="s">
        <v>809</v>
      </c>
      <c r="D766" s="1" t="s">
        <v>929</v>
      </c>
      <c r="E766" s="1" t="s">
        <v>809</v>
      </c>
      <c r="F766" s="1" t="s">
        <v>809</v>
      </c>
      <c r="G766" s="1" t="s">
        <v>809</v>
      </c>
      <c r="H766" s="1" t="s">
        <v>809</v>
      </c>
      <c r="I766" s="1" t="s">
        <v>809</v>
      </c>
      <c r="J766" s="1" t="s">
        <v>809</v>
      </c>
      <c r="K766" s="1">
        <v>1.0</v>
      </c>
      <c r="L766" s="1">
        <v>98800.0</v>
      </c>
    </row>
    <row r="767">
      <c r="A767" s="1">
        <v>274.0</v>
      </c>
      <c r="B767" s="1" t="s">
        <v>806</v>
      </c>
      <c r="C767" s="1" t="s">
        <v>807</v>
      </c>
      <c r="D767" s="1" t="s">
        <v>865</v>
      </c>
      <c r="E767" s="1">
        <v>3.0</v>
      </c>
      <c r="F767" s="1">
        <v>0.0</v>
      </c>
      <c r="G767" s="1" t="s">
        <v>809</v>
      </c>
      <c r="H767" s="1" t="s">
        <v>809</v>
      </c>
      <c r="I767" s="1">
        <v>24.0</v>
      </c>
      <c r="J767" s="1">
        <v>16.0</v>
      </c>
      <c r="K767" s="1">
        <v>1.0</v>
      </c>
      <c r="L767" s="1">
        <v>35000.0</v>
      </c>
    </row>
    <row r="768">
      <c r="A768" s="1">
        <v>274.0</v>
      </c>
      <c r="B768" s="1" t="s">
        <v>806</v>
      </c>
      <c r="C768" s="1" t="s">
        <v>810</v>
      </c>
      <c r="D768" s="1" t="s">
        <v>865</v>
      </c>
      <c r="E768" s="1">
        <v>3.0</v>
      </c>
      <c r="F768" s="1">
        <v>0.0</v>
      </c>
      <c r="G768" s="1" t="s">
        <v>809</v>
      </c>
      <c r="H768" s="1" t="s">
        <v>809</v>
      </c>
      <c r="I768" s="1">
        <v>24.0</v>
      </c>
      <c r="J768" s="1">
        <v>16.0</v>
      </c>
      <c r="K768" s="1">
        <v>1.0</v>
      </c>
      <c r="L768" s="1">
        <v>35000.0</v>
      </c>
    </row>
    <row r="769">
      <c r="A769" s="1">
        <v>274.0</v>
      </c>
      <c r="B769" s="1" t="s">
        <v>806</v>
      </c>
      <c r="C769" s="1" t="s">
        <v>809</v>
      </c>
      <c r="D769" s="1" t="s">
        <v>814</v>
      </c>
      <c r="E769" s="1" t="s">
        <v>809</v>
      </c>
      <c r="F769" s="1" t="s">
        <v>809</v>
      </c>
      <c r="G769" s="1" t="s">
        <v>809</v>
      </c>
      <c r="H769" s="1" t="s">
        <v>809</v>
      </c>
      <c r="I769" s="1" t="s">
        <v>809</v>
      </c>
      <c r="J769" s="1" t="s">
        <v>809</v>
      </c>
      <c r="K769" s="1">
        <v>1.0</v>
      </c>
      <c r="L769" s="1">
        <v>65000.0</v>
      </c>
    </row>
    <row r="770">
      <c r="A770" s="1">
        <v>274.0</v>
      </c>
      <c r="B770" s="1" t="s">
        <v>825</v>
      </c>
      <c r="C770" s="1" t="s">
        <v>807</v>
      </c>
      <c r="D770" s="1" t="s">
        <v>865</v>
      </c>
      <c r="E770" s="1">
        <v>5.0</v>
      </c>
      <c r="F770" s="1">
        <v>0.0</v>
      </c>
      <c r="G770" s="1" t="s">
        <v>809</v>
      </c>
      <c r="H770" s="1" t="s">
        <v>809</v>
      </c>
      <c r="I770" s="1">
        <v>22.0</v>
      </c>
      <c r="J770" s="1">
        <v>15.0</v>
      </c>
      <c r="K770" s="1">
        <v>1.0</v>
      </c>
      <c r="L770" s="1">
        <v>35000.0</v>
      </c>
    </row>
    <row r="771">
      <c r="A771" s="1">
        <v>274.0</v>
      </c>
      <c r="B771" s="1" t="s">
        <v>825</v>
      </c>
      <c r="C771" s="1" t="s">
        <v>810</v>
      </c>
      <c r="D771" s="1" t="s">
        <v>865</v>
      </c>
      <c r="E771" s="1">
        <v>5.0</v>
      </c>
      <c r="F771" s="1">
        <v>0.0</v>
      </c>
      <c r="G771" s="1" t="s">
        <v>809</v>
      </c>
      <c r="H771" s="1" t="s">
        <v>809</v>
      </c>
      <c r="I771" s="1">
        <v>23.0</v>
      </c>
      <c r="J771" s="1">
        <v>15.0</v>
      </c>
      <c r="K771" s="1">
        <v>1.0</v>
      </c>
      <c r="L771" s="1">
        <v>35000.0</v>
      </c>
    </row>
    <row r="772">
      <c r="A772" s="1">
        <v>274.0</v>
      </c>
      <c r="B772" s="1" t="s">
        <v>825</v>
      </c>
      <c r="C772" s="1" t="s">
        <v>809</v>
      </c>
      <c r="D772" s="1" t="s">
        <v>814</v>
      </c>
      <c r="E772" s="1" t="s">
        <v>809</v>
      </c>
      <c r="F772" s="1" t="s">
        <v>809</v>
      </c>
      <c r="G772" s="1" t="s">
        <v>809</v>
      </c>
      <c r="H772" s="1" t="s">
        <v>809</v>
      </c>
      <c r="I772" s="1" t="s">
        <v>809</v>
      </c>
      <c r="J772" s="1" t="s">
        <v>809</v>
      </c>
      <c r="K772" s="1">
        <v>1.0</v>
      </c>
      <c r="L772" s="1">
        <v>65000.0</v>
      </c>
    </row>
    <row r="773">
      <c r="A773" s="1">
        <v>275.0</v>
      </c>
      <c r="B773" s="1" t="s">
        <v>806</v>
      </c>
      <c r="C773" s="1" t="s">
        <v>807</v>
      </c>
      <c r="D773" s="1" t="s">
        <v>819</v>
      </c>
      <c r="E773" s="1">
        <v>0.0</v>
      </c>
      <c r="F773" s="1">
        <v>0.0</v>
      </c>
      <c r="G773" s="1" t="s">
        <v>809</v>
      </c>
      <c r="H773" s="1" t="s">
        <v>809</v>
      </c>
      <c r="I773" s="1" t="s">
        <v>809</v>
      </c>
      <c r="J773" s="1" t="s">
        <v>809</v>
      </c>
      <c r="K773" s="1">
        <v>1.0</v>
      </c>
      <c r="L773" s="1">
        <v>85000.0</v>
      </c>
    </row>
    <row r="774">
      <c r="A774" s="1">
        <v>275.0</v>
      </c>
      <c r="B774" s="1" t="s">
        <v>806</v>
      </c>
      <c r="C774" s="1" t="s">
        <v>810</v>
      </c>
      <c r="D774" s="1" t="s">
        <v>819</v>
      </c>
      <c r="E774" s="1">
        <v>0.0</v>
      </c>
      <c r="F774" s="1">
        <v>0.0</v>
      </c>
      <c r="G774" s="1" t="s">
        <v>809</v>
      </c>
      <c r="H774" s="1" t="s">
        <v>809</v>
      </c>
      <c r="I774" s="1" t="s">
        <v>809</v>
      </c>
      <c r="J774" s="1" t="s">
        <v>809</v>
      </c>
      <c r="K774" s="1">
        <v>1.0</v>
      </c>
      <c r="L774" s="1">
        <v>86000.0</v>
      </c>
    </row>
    <row r="775">
      <c r="A775" s="1">
        <v>275.0</v>
      </c>
      <c r="B775" s="1" t="s">
        <v>806</v>
      </c>
      <c r="C775" s="1" t="s">
        <v>809</v>
      </c>
      <c r="D775" s="1" t="s">
        <v>875</v>
      </c>
      <c r="E775" s="1" t="s">
        <v>809</v>
      </c>
      <c r="F775" s="1" t="s">
        <v>809</v>
      </c>
      <c r="G775" s="1" t="s">
        <v>809</v>
      </c>
      <c r="H775" s="1" t="s">
        <v>809</v>
      </c>
      <c r="I775" s="1" t="s">
        <v>809</v>
      </c>
      <c r="J775" s="1" t="s">
        <v>809</v>
      </c>
      <c r="K775" s="1">
        <v>1.0</v>
      </c>
      <c r="L775" s="1">
        <v>160000.0</v>
      </c>
    </row>
    <row r="776">
      <c r="A776" s="1">
        <v>276.0</v>
      </c>
      <c r="B776" s="1" t="s">
        <v>806</v>
      </c>
      <c r="C776" s="1" t="s">
        <v>807</v>
      </c>
      <c r="D776" s="1" t="s">
        <v>812</v>
      </c>
      <c r="E776" s="1">
        <v>-0.5</v>
      </c>
      <c r="F776" s="1">
        <v>-2.5</v>
      </c>
      <c r="G776" s="1">
        <v>85.0</v>
      </c>
      <c r="H776" s="1" t="s">
        <v>809</v>
      </c>
      <c r="I776" s="1" t="s">
        <v>809</v>
      </c>
      <c r="J776" s="1" t="s">
        <v>809</v>
      </c>
      <c r="K776" s="1">
        <v>1.0</v>
      </c>
      <c r="L776" s="1">
        <v>26000.0</v>
      </c>
    </row>
    <row r="777">
      <c r="A777" s="1">
        <v>276.0</v>
      </c>
      <c r="B777" s="1" t="s">
        <v>806</v>
      </c>
      <c r="C777" s="1" t="s">
        <v>810</v>
      </c>
      <c r="D777" s="1" t="s">
        <v>812</v>
      </c>
      <c r="E777" s="1">
        <v>0.0</v>
      </c>
      <c r="F777" s="1">
        <v>-3.0</v>
      </c>
      <c r="G777" s="1">
        <v>85.0</v>
      </c>
      <c r="H777" s="1" t="s">
        <v>809</v>
      </c>
      <c r="I777" s="1" t="s">
        <v>809</v>
      </c>
      <c r="J777" s="1" t="s">
        <v>809</v>
      </c>
      <c r="K777" s="1">
        <v>1.0</v>
      </c>
      <c r="L777" s="1">
        <v>26000.0</v>
      </c>
    </row>
    <row r="778">
      <c r="A778" s="1">
        <v>276.0</v>
      </c>
      <c r="B778" s="1" t="s">
        <v>806</v>
      </c>
      <c r="C778" s="1" t="s">
        <v>809</v>
      </c>
      <c r="D778" s="1" t="s">
        <v>964</v>
      </c>
      <c r="E778" s="1" t="s">
        <v>809</v>
      </c>
      <c r="F778" s="1" t="s">
        <v>809</v>
      </c>
      <c r="G778" s="1" t="s">
        <v>809</v>
      </c>
      <c r="H778" s="1" t="s">
        <v>809</v>
      </c>
      <c r="I778" s="1" t="s">
        <v>809</v>
      </c>
      <c r="J778" s="1" t="s">
        <v>809</v>
      </c>
      <c r="K778" s="1">
        <v>1.0</v>
      </c>
      <c r="L778" s="1">
        <v>121375.8</v>
      </c>
    </row>
    <row r="779">
      <c r="A779" s="1">
        <v>277.0</v>
      </c>
      <c r="B779" s="1" t="s">
        <v>806</v>
      </c>
      <c r="C779" s="1" t="s">
        <v>807</v>
      </c>
      <c r="D779" s="1" t="s">
        <v>812</v>
      </c>
      <c r="E779" s="1">
        <v>0.0</v>
      </c>
      <c r="F779" s="1">
        <v>-0.5</v>
      </c>
      <c r="G779" s="1">
        <v>5.0</v>
      </c>
      <c r="H779" s="1" t="s">
        <v>809</v>
      </c>
      <c r="I779" s="1" t="s">
        <v>809</v>
      </c>
      <c r="J779" s="1" t="s">
        <v>809</v>
      </c>
      <c r="K779" s="1">
        <v>1.0</v>
      </c>
      <c r="L779" s="1">
        <v>30000.0</v>
      </c>
    </row>
    <row r="780">
      <c r="A780" s="1">
        <v>277.0</v>
      </c>
      <c r="B780" s="1" t="s">
        <v>806</v>
      </c>
      <c r="C780" s="1" t="s">
        <v>810</v>
      </c>
      <c r="D780" s="1" t="s">
        <v>812</v>
      </c>
      <c r="E780" s="1">
        <v>0.0</v>
      </c>
      <c r="F780" s="1">
        <v>-0.5</v>
      </c>
      <c r="G780" s="1">
        <v>5.0</v>
      </c>
      <c r="H780" s="1" t="s">
        <v>809</v>
      </c>
      <c r="I780" s="1" t="s">
        <v>809</v>
      </c>
      <c r="J780" s="1" t="s">
        <v>809</v>
      </c>
      <c r="K780" s="1">
        <v>1.0</v>
      </c>
      <c r="L780" s="1">
        <v>30000.0</v>
      </c>
    </row>
    <row r="781">
      <c r="A781" s="1">
        <v>277.0</v>
      </c>
      <c r="B781" s="1" t="s">
        <v>806</v>
      </c>
      <c r="C781" s="1" t="s">
        <v>809</v>
      </c>
      <c r="D781" s="1" t="s">
        <v>929</v>
      </c>
      <c r="E781" s="1" t="s">
        <v>809</v>
      </c>
      <c r="F781" s="1" t="s">
        <v>809</v>
      </c>
      <c r="G781" s="1" t="s">
        <v>809</v>
      </c>
      <c r="H781" s="1" t="s">
        <v>809</v>
      </c>
      <c r="I781" s="1" t="s">
        <v>809</v>
      </c>
      <c r="J781" s="1" t="s">
        <v>809</v>
      </c>
      <c r="K781" s="1">
        <v>1.0</v>
      </c>
      <c r="L781" s="1">
        <v>80200.0</v>
      </c>
    </row>
    <row r="782">
      <c r="A782" s="1">
        <v>278.0</v>
      </c>
      <c r="B782" s="1" t="s">
        <v>809</v>
      </c>
      <c r="C782" s="1">
        <v>2.0</v>
      </c>
      <c r="D782" s="1" t="s">
        <v>920</v>
      </c>
      <c r="E782" s="1">
        <v>-1.0</v>
      </c>
      <c r="F782" s="1">
        <v>0.0</v>
      </c>
      <c r="G782" s="1">
        <v>0.0</v>
      </c>
      <c r="H782" s="1" t="s">
        <v>809</v>
      </c>
      <c r="I782" s="1" t="s">
        <v>809</v>
      </c>
      <c r="J782" s="1" t="s">
        <v>809</v>
      </c>
      <c r="K782" s="1">
        <v>1.0</v>
      </c>
      <c r="L782" s="1">
        <v>117000.0</v>
      </c>
    </row>
    <row r="783">
      <c r="A783" s="1">
        <v>279.0</v>
      </c>
      <c r="B783" s="1" t="s">
        <v>809</v>
      </c>
      <c r="C783" s="1" t="s">
        <v>809</v>
      </c>
      <c r="D783" s="1" t="s">
        <v>965</v>
      </c>
      <c r="E783" s="1" t="s">
        <v>809</v>
      </c>
      <c r="F783" s="1" t="s">
        <v>809</v>
      </c>
      <c r="G783" s="1" t="s">
        <v>809</v>
      </c>
      <c r="H783" s="1" t="s">
        <v>809</v>
      </c>
      <c r="I783" s="1" t="s">
        <v>809</v>
      </c>
      <c r="J783" s="1" t="s">
        <v>809</v>
      </c>
      <c r="K783" s="1">
        <v>1.0</v>
      </c>
      <c r="L783" s="1">
        <v>143000.0</v>
      </c>
    </row>
    <row r="784">
      <c r="A784" s="1">
        <v>280.0</v>
      </c>
      <c r="B784" s="1" t="s">
        <v>806</v>
      </c>
      <c r="C784" s="1" t="s">
        <v>807</v>
      </c>
      <c r="D784" s="1" t="s">
        <v>812</v>
      </c>
      <c r="E784" s="1">
        <v>0.0</v>
      </c>
      <c r="F784" s="1">
        <v>0.0</v>
      </c>
      <c r="G784" s="1" t="s">
        <v>809</v>
      </c>
      <c r="H784" s="1" t="s">
        <v>809</v>
      </c>
      <c r="I784" s="1" t="s">
        <v>809</v>
      </c>
      <c r="J784" s="1" t="s">
        <v>809</v>
      </c>
      <c r="K784" s="1">
        <v>1.0</v>
      </c>
      <c r="L784" s="1">
        <v>29500.0</v>
      </c>
    </row>
    <row r="785">
      <c r="A785" s="1">
        <v>280.0</v>
      </c>
      <c r="B785" s="1" t="s">
        <v>806</v>
      </c>
      <c r="C785" s="1" t="s">
        <v>810</v>
      </c>
      <c r="D785" s="1" t="s">
        <v>812</v>
      </c>
      <c r="E785" s="1">
        <v>0.0</v>
      </c>
      <c r="F785" s="1">
        <v>0.0</v>
      </c>
      <c r="G785" s="1" t="s">
        <v>809</v>
      </c>
      <c r="H785" s="1" t="s">
        <v>809</v>
      </c>
      <c r="I785" s="1" t="s">
        <v>809</v>
      </c>
      <c r="J785" s="1" t="s">
        <v>809</v>
      </c>
      <c r="K785" s="1">
        <v>1.0</v>
      </c>
      <c r="L785" s="1">
        <v>29500.0</v>
      </c>
    </row>
    <row r="786">
      <c r="A786" s="1">
        <v>280.0</v>
      </c>
      <c r="B786" s="1" t="s">
        <v>806</v>
      </c>
      <c r="C786" s="1" t="s">
        <v>809</v>
      </c>
      <c r="D786" s="1" t="s">
        <v>929</v>
      </c>
      <c r="E786" s="1" t="s">
        <v>809</v>
      </c>
      <c r="F786" s="1" t="s">
        <v>809</v>
      </c>
      <c r="G786" s="1" t="s">
        <v>809</v>
      </c>
      <c r="H786" s="1" t="s">
        <v>809</v>
      </c>
      <c r="I786" s="1" t="s">
        <v>809</v>
      </c>
      <c r="J786" s="1" t="s">
        <v>809</v>
      </c>
      <c r="K786" s="1">
        <v>1.0</v>
      </c>
      <c r="L786" s="1">
        <v>80000.0</v>
      </c>
    </row>
    <row r="787">
      <c r="A787" s="1">
        <v>281.0</v>
      </c>
      <c r="B787" s="1" t="s">
        <v>806</v>
      </c>
      <c r="C787" s="1" t="s">
        <v>807</v>
      </c>
      <c r="D787" s="1" t="s">
        <v>826</v>
      </c>
      <c r="E787" s="1">
        <v>0.75</v>
      </c>
      <c r="F787" s="1">
        <v>0.0</v>
      </c>
      <c r="G787" s="1" t="s">
        <v>809</v>
      </c>
      <c r="H787" s="1" t="s">
        <v>809</v>
      </c>
      <c r="I787" s="1" t="s">
        <v>809</v>
      </c>
      <c r="J787" s="1" t="s">
        <v>809</v>
      </c>
      <c r="K787" s="1">
        <v>1.0</v>
      </c>
      <c r="L787" s="1">
        <v>22464.98</v>
      </c>
    </row>
    <row r="788">
      <c r="A788" s="1">
        <v>281.0</v>
      </c>
      <c r="B788" s="1" t="s">
        <v>806</v>
      </c>
      <c r="C788" s="1" t="s">
        <v>810</v>
      </c>
      <c r="D788" s="1" t="s">
        <v>826</v>
      </c>
      <c r="E788" s="1">
        <v>0.75</v>
      </c>
      <c r="F788" s="1">
        <v>0.0</v>
      </c>
      <c r="G788" s="1" t="s">
        <v>809</v>
      </c>
      <c r="H788" s="1" t="s">
        <v>809</v>
      </c>
      <c r="I788" s="1" t="s">
        <v>809</v>
      </c>
      <c r="J788" s="1" t="s">
        <v>809</v>
      </c>
      <c r="K788" s="1">
        <v>1.0</v>
      </c>
      <c r="L788" s="1">
        <v>22464.98</v>
      </c>
    </row>
    <row r="789">
      <c r="A789" s="1">
        <v>281.0</v>
      </c>
      <c r="B789" s="1" t="s">
        <v>806</v>
      </c>
      <c r="C789" s="1" t="s">
        <v>809</v>
      </c>
      <c r="D789" s="1" t="s">
        <v>966</v>
      </c>
      <c r="E789" s="1" t="s">
        <v>809</v>
      </c>
      <c r="F789" s="1" t="s">
        <v>809</v>
      </c>
      <c r="G789" s="1" t="s">
        <v>809</v>
      </c>
      <c r="H789" s="1" t="s">
        <v>809</v>
      </c>
      <c r="I789" s="1" t="s">
        <v>809</v>
      </c>
      <c r="J789" s="1" t="s">
        <v>809</v>
      </c>
      <c r="K789" s="1">
        <v>1.0</v>
      </c>
      <c r="L789" s="1">
        <v>219000.0</v>
      </c>
    </row>
    <row r="790">
      <c r="A790" s="1">
        <v>282.0</v>
      </c>
      <c r="B790" s="1" t="s">
        <v>809</v>
      </c>
      <c r="C790" s="1" t="s">
        <v>809</v>
      </c>
      <c r="D790" s="1" t="s">
        <v>967</v>
      </c>
      <c r="E790" s="1" t="s">
        <v>809</v>
      </c>
      <c r="F790" s="1" t="s">
        <v>809</v>
      </c>
      <c r="G790" s="1" t="s">
        <v>809</v>
      </c>
      <c r="H790" s="1" t="s">
        <v>809</v>
      </c>
      <c r="I790" s="1" t="s">
        <v>809</v>
      </c>
      <c r="J790" s="1" t="s">
        <v>809</v>
      </c>
      <c r="K790" s="1">
        <v>1.0</v>
      </c>
      <c r="L790" s="1">
        <v>0.0</v>
      </c>
    </row>
    <row r="791">
      <c r="A791" s="1">
        <v>283.0</v>
      </c>
      <c r="B791" s="1" t="s">
        <v>806</v>
      </c>
      <c r="C791" s="1" t="s">
        <v>807</v>
      </c>
      <c r="D791" s="1" t="s">
        <v>812</v>
      </c>
      <c r="E791" s="1">
        <v>-4.5</v>
      </c>
      <c r="F791" s="1">
        <v>0.0</v>
      </c>
      <c r="G791" s="1" t="s">
        <v>809</v>
      </c>
      <c r="H791" s="1" t="s">
        <v>809</v>
      </c>
      <c r="I791" s="1" t="s">
        <v>809</v>
      </c>
      <c r="J791" s="1" t="s">
        <v>809</v>
      </c>
      <c r="K791" s="1">
        <v>1.0</v>
      </c>
      <c r="L791" s="1">
        <v>30000.0</v>
      </c>
    </row>
    <row r="792">
      <c r="A792" s="1">
        <v>283.0</v>
      </c>
      <c r="B792" s="1" t="s">
        <v>806</v>
      </c>
      <c r="C792" s="1" t="s">
        <v>810</v>
      </c>
      <c r="D792" s="1" t="s">
        <v>812</v>
      </c>
      <c r="E792" s="1">
        <v>-4.0</v>
      </c>
      <c r="F792" s="1">
        <v>-0.75</v>
      </c>
      <c r="G792" s="1">
        <v>180.0</v>
      </c>
      <c r="H792" s="1" t="s">
        <v>809</v>
      </c>
      <c r="I792" s="1" t="s">
        <v>809</v>
      </c>
      <c r="J792" s="1" t="s">
        <v>809</v>
      </c>
      <c r="K792" s="1">
        <v>1.0</v>
      </c>
      <c r="L792" s="1">
        <v>30000.0</v>
      </c>
    </row>
    <row r="793">
      <c r="A793" s="1">
        <v>283.0</v>
      </c>
      <c r="B793" s="1" t="s">
        <v>806</v>
      </c>
      <c r="C793" s="1" t="s">
        <v>809</v>
      </c>
      <c r="D793" s="1" t="s">
        <v>929</v>
      </c>
      <c r="E793" s="1" t="s">
        <v>809</v>
      </c>
      <c r="F793" s="1" t="s">
        <v>809</v>
      </c>
      <c r="G793" s="1" t="s">
        <v>809</v>
      </c>
      <c r="H793" s="1" t="s">
        <v>809</v>
      </c>
      <c r="I793" s="1" t="s">
        <v>809</v>
      </c>
      <c r="J793" s="1" t="s">
        <v>809</v>
      </c>
      <c r="K793" s="1">
        <v>1.0</v>
      </c>
      <c r="L793" s="1">
        <v>158000.0</v>
      </c>
    </row>
    <row r="794">
      <c r="A794" s="1">
        <v>284.0</v>
      </c>
      <c r="B794" s="1" t="s">
        <v>806</v>
      </c>
      <c r="C794" s="1" t="s">
        <v>807</v>
      </c>
      <c r="D794" s="1" t="s">
        <v>812</v>
      </c>
      <c r="E794" s="1">
        <v>0.5</v>
      </c>
      <c r="F794" s="1">
        <v>0.0</v>
      </c>
      <c r="G794" s="1" t="s">
        <v>809</v>
      </c>
      <c r="H794" s="1" t="s">
        <v>809</v>
      </c>
      <c r="I794" s="1" t="s">
        <v>809</v>
      </c>
      <c r="J794" s="1" t="s">
        <v>809</v>
      </c>
      <c r="K794" s="1">
        <v>1.0</v>
      </c>
      <c r="L794" s="1">
        <v>23000.0</v>
      </c>
    </row>
    <row r="795">
      <c r="A795" s="1">
        <v>284.0</v>
      </c>
      <c r="B795" s="1" t="s">
        <v>806</v>
      </c>
      <c r="C795" s="1" t="s">
        <v>810</v>
      </c>
      <c r="D795" s="1" t="s">
        <v>812</v>
      </c>
      <c r="E795" s="1">
        <v>0.5</v>
      </c>
      <c r="F795" s="1">
        <v>0.0</v>
      </c>
      <c r="G795" s="1" t="s">
        <v>809</v>
      </c>
      <c r="H795" s="1" t="s">
        <v>809</v>
      </c>
      <c r="I795" s="1" t="s">
        <v>809</v>
      </c>
      <c r="J795" s="1" t="s">
        <v>809</v>
      </c>
      <c r="K795" s="1">
        <v>1.0</v>
      </c>
      <c r="L795" s="1">
        <v>23000.0</v>
      </c>
    </row>
    <row r="796">
      <c r="A796" s="1">
        <v>284.0</v>
      </c>
      <c r="B796" s="1" t="s">
        <v>806</v>
      </c>
      <c r="C796" s="1" t="s">
        <v>809</v>
      </c>
      <c r="D796" s="1" t="s">
        <v>929</v>
      </c>
      <c r="E796" s="1" t="s">
        <v>809</v>
      </c>
      <c r="F796" s="1" t="s">
        <v>809</v>
      </c>
      <c r="G796" s="1" t="s">
        <v>809</v>
      </c>
      <c r="H796" s="1" t="s">
        <v>809</v>
      </c>
      <c r="I796" s="1" t="s">
        <v>809</v>
      </c>
      <c r="J796" s="1" t="s">
        <v>809</v>
      </c>
      <c r="K796" s="1">
        <v>1.0</v>
      </c>
      <c r="L796" s="1">
        <v>81000.0</v>
      </c>
    </row>
    <row r="797">
      <c r="A797" s="1">
        <v>285.0</v>
      </c>
      <c r="B797" s="1" t="s">
        <v>809</v>
      </c>
      <c r="C797" s="1">
        <v>2.0</v>
      </c>
      <c r="D797" s="1" t="s">
        <v>920</v>
      </c>
      <c r="E797" s="1">
        <v>-3.75</v>
      </c>
      <c r="F797" s="1">
        <v>0.0</v>
      </c>
      <c r="G797" s="1">
        <v>0.0</v>
      </c>
      <c r="H797" s="1" t="s">
        <v>809</v>
      </c>
      <c r="I797" s="1" t="s">
        <v>809</v>
      </c>
      <c r="J797" s="1" t="s">
        <v>809</v>
      </c>
      <c r="K797" s="1">
        <v>1.0</v>
      </c>
      <c r="L797" s="1">
        <v>105800.0</v>
      </c>
    </row>
    <row r="798">
      <c r="A798" s="1">
        <v>286.0</v>
      </c>
      <c r="B798" s="1" t="s">
        <v>806</v>
      </c>
      <c r="C798" s="1" t="s">
        <v>807</v>
      </c>
      <c r="D798" s="1" t="s">
        <v>919</v>
      </c>
      <c r="E798" s="1">
        <v>3.0</v>
      </c>
      <c r="F798" s="1">
        <v>0.0</v>
      </c>
      <c r="G798" s="1" t="s">
        <v>809</v>
      </c>
      <c r="H798" s="1">
        <v>3.0</v>
      </c>
      <c r="I798" s="1" t="s">
        <v>809</v>
      </c>
      <c r="J798" s="1" t="s">
        <v>809</v>
      </c>
      <c r="K798" s="1">
        <v>1.0</v>
      </c>
      <c r="L798" s="1">
        <v>72000.0</v>
      </c>
    </row>
    <row r="799">
      <c r="A799" s="1">
        <v>286.0</v>
      </c>
      <c r="B799" s="1" t="s">
        <v>806</v>
      </c>
      <c r="C799" s="1" t="s">
        <v>810</v>
      </c>
      <c r="D799" s="1" t="s">
        <v>919</v>
      </c>
      <c r="E799" s="1">
        <v>3.0</v>
      </c>
      <c r="F799" s="1">
        <v>0.0</v>
      </c>
      <c r="G799" s="1" t="s">
        <v>809</v>
      </c>
      <c r="H799" s="1">
        <v>3.0</v>
      </c>
      <c r="I799" s="1" t="s">
        <v>809</v>
      </c>
      <c r="J799" s="1" t="s">
        <v>809</v>
      </c>
      <c r="K799" s="1">
        <v>1.0</v>
      </c>
      <c r="L799" s="1">
        <v>0.0</v>
      </c>
    </row>
    <row r="800">
      <c r="A800" s="1">
        <v>286.0</v>
      </c>
      <c r="B800" s="1" t="s">
        <v>806</v>
      </c>
      <c r="C800" s="1" t="s">
        <v>809</v>
      </c>
      <c r="D800" s="1" t="s">
        <v>929</v>
      </c>
      <c r="E800" s="1" t="s">
        <v>809</v>
      </c>
      <c r="F800" s="1" t="s">
        <v>809</v>
      </c>
      <c r="G800" s="1" t="s">
        <v>809</v>
      </c>
      <c r="H800" s="1" t="s">
        <v>809</v>
      </c>
      <c r="I800" s="1" t="s">
        <v>809</v>
      </c>
      <c r="J800" s="1" t="s">
        <v>809</v>
      </c>
      <c r="K800" s="1">
        <v>1.0</v>
      </c>
      <c r="L800" s="1">
        <v>80000.0</v>
      </c>
    </row>
    <row r="801">
      <c r="A801" s="1">
        <v>287.0</v>
      </c>
      <c r="B801" s="1" t="s">
        <v>806</v>
      </c>
      <c r="C801" s="1" t="s">
        <v>807</v>
      </c>
      <c r="D801" s="1" t="s">
        <v>919</v>
      </c>
      <c r="E801" s="1">
        <v>3.0</v>
      </c>
      <c r="F801" s="1">
        <v>0.0</v>
      </c>
      <c r="G801" s="1" t="s">
        <v>809</v>
      </c>
      <c r="H801" s="1" t="s">
        <v>809</v>
      </c>
      <c r="I801" s="1" t="s">
        <v>809</v>
      </c>
      <c r="J801" s="1" t="s">
        <v>809</v>
      </c>
      <c r="K801" s="1">
        <v>1.0</v>
      </c>
      <c r="L801" s="1">
        <v>72000.0</v>
      </c>
    </row>
    <row r="802">
      <c r="A802" s="1">
        <v>287.0</v>
      </c>
      <c r="B802" s="1" t="s">
        <v>806</v>
      </c>
      <c r="C802" s="1" t="s">
        <v>810</v>
      </c>
      <c r="D802" s="1" t="s">
        <v>919</v>
      </c>
      <c r="E802" s="1">
        <v>3.0</v>
      </c>
      <c r="F802" s="1">
        <v>0.0</v>
      </c>
      <c r="G802" s="1" t="s">
        <v>809</v>
      </c>
      <c r="H802" s="1" t="s">
        <v>809</v>
      </c>
      <c r="I802" s="1" t="s">
        <v>809</v>
      </c>
      <c r="J802" s="1" t="s">
        <v>809</v>
      </c>
      <c r="K802" s="1">
        <v>1.0</v>
      </c>
      <c r="L802" s="1">
        <v>0.0</v>
      </c>
    </row>
    <row r="803">
      <c r="A803" s="1">
        <v>287.0</v>
      </c>
      <c r="B803" s="1" t="s">
        <v>806</v>
      </c>
      <c r="C803" s="1" t="s">
        <v>809</v>
      </c>
      <c r="D803" s="1" t="s">
        <v>929</v>
      </c>
      <c r="E803" s="1" t="s">
        <v>809</v>
      </c>
      <c r="F803" s="1" t="s">
        <v>809</v>
      </c>
      <c r="G803" s="1" t="s">
        <v>809</v>
      </c>
      <c r="H803" s="1" t="s">
        <v>809</v>
      </c>
      <c r="I803" s="1" t="s">
        <v>809</v>
      </c>
      <c r="J803" s="1" t="s">
        <v>809</v>
      </c>
      <c r="K803" s="1">
        <v>1.0</v>
      </c>
      <c r="L803" s="1">
        <v>80000.0</v>
      </c>
    </row>
    <row r="804">
      <c r="A804" s="1">
        <v>288.0</v>
      </c>
      <c r="B804" s="1" t="s">
        <v>806</v>
      </c>
      <c r="C804" s="1" t="s">
        <v>807</v>
      </c>
      <c r="D804" s="1" t="s">
        <v>812</v>
      </c>
      <c r="E804" s="1">
        <v>0.75</v>
      </c>
      <c r="F804" s="1">
        <v>0.0</v>
      </c>
      <c r="G804" s="1" t="s">
        <v>809</v>
      </c>
      <c r="H804" s="1" t="s">
        <v>809</v>
      </c>
      <c r="I804" s="1" t="s">
        <v>809</v>
      </c>
      <c r="J804" s="1" t="s">
        <v>809</v>
      </c>
      <c r="K804" s="1">
        <v>1.0</v>
      </c>
      <c r="L804" s="1">
        <v>68000.0</v>
      </c>
    </row>
    <row r="805">
      <c r="A805" s="1">
        <v>288.0</v>
      </c>
      <c r="B805" s="1" t="s">
        <v>806</v>
      </c>
      <c r="C805" s="1" t="s">
        <v>810</v>
      </c>
      <c r="D805" s="1" t="s">
        <v>812</v>
      </c>
      <c r="E805" s="1">
        <v>0.75</v>
      </c>
      <c r="F805" s="1">
        <v>0.0</v>
      </c>
      <c r="G805" s="1" t="s">
        <v>809</v>
      </c>
      <c r="H805" s="1" t="s">
        <v>809</v>
      </c>
      <c r="I805" s="1" t="s">
        <v>809</v>
      </c>
      <c r="J805" s="1" t="s">
        <v>809</v>
      </c>
      <c r="K805" s="1">
        <v>1.0</v>
      </c>
      <c r="L805" s="1">
        <v>0.0</v>
      </c>
    </row>
    <row r="806">
      <c r="A806" s="1">
        <v>288.0</v>
      </c>
      <c r="B806" s="1" t="s">
        <v>806</v>
      </c>
      <c r="C806" s="1" t="s">
        <v>809</v>
      </c>
      <c r="D806" s="1" t="s">
        <v>968</v>
      </c>
      <c r="E806" s="1" t="s">
        <v>809</v>
      </c>
      <c r="F806" s="1" t="s">
        <v>809</v>
      </c>
      <c r="G806" s="1" t="s">
        <v>809</v>
      </c>
      <c r="H806" s="1" t="s">
        <v>809</v>
      </c>
      <c r="I806" s="1" t="s">
        <v>809</v>
      </c>
      <c r="J806" s="1" t="s">
        <v>809</v>
      </c>
      <c r="K806" s="1">
        <v>1.0</v>
      </c>
      <c r="L806" s="1">
        <v>127847.16</v>
      </c>
    </row>
    <row r="807">
      <c r="A807" s="1">
        <v>289.0</v>
      </c>
      <c r="B807" s="1" t="s">
        <v>806</v>
      </c>
      <c r="C807" s="1" t="s">
        <v>807</v>
      </c>
      <c r="D807" s="1" t="s">
        <v>882</v>
      </c>
      <c r="E807" s="1">
        <v>0.0</v>
      </c>
      <c r="F807" s="1">
        <v>0.0</v>
      </c>
      <c r="G807" s="1" t="s">
        <v>809</v>
      </c>
      <c r="H807" s="1" t="s">
        <v>809</v>
      </c>
      <c r="I807" s="1" t="s">
        <v>809</v>
      </c>
      <c r="J807" s="1" t="s">
        <v>809</v>
      </c>
      <c r="K807" s="1">
        <v>1.0</v>
      </c>
      <c r="L807" s="1">
        <v>195000.0</v>
      </c>
    </row>
    <row r="808">
      <c r="A808" s="1">
        <v>289.0</v>
      </c>
      <c r="B808" s="1" t="s">
        <v>806</v>
      </c>
      <c r="C808" s="1" t="s">
        <v>810</v>
      </c>
      <c r="D808" s="1" t="s">
        <v>882</v>
      </c>
      <c r="E808" s="1">
        <v>0.0</v>
      </c>
      <c r="F808" s="1">
        <v>0.0</v>
      </c>
      <c r="G808" s="1" t="s">
        <v>809</v>
      </c>
      <c r="H808" s="1" t="s">
        <v>809</v>
      </c>
      <c r="I808" s="1" t="s">
        <v>809</v>
      </c>
      <c r="J808" s="1" t="s">
        <v>809</v>
      </c>
      <c r="K808" s="1">
        <v>1.0</v>
      </c>
      <c r="L808" s="1">
        <v>0.0</v>
      </c>
    </row>
    <row r="809">
      <c r="A809" s="1">
        <v>289.0</v>
      </c>
      <c r="B809" s="1" t="s">
        <v>806</v>
      </c>
      <c r="C809" s="1" t="s">
        <v>809</v>
      </c>
      <c r="D809" s="1" t="s">
        <v>969</v>
      </c>
      <c r="E809" s="1" t="s">
        <v>809</v>
      </c>
      <c r="F809" s="1" t="s">
        <v>809</v>
      </c>
      <c r="G809" s="1" t="s">
        <v>809</v>
      </c>
      <c r="H809" s="1" t="s">
        <v>809</v>
      </c>
      <c r="I809" s="1" t="s">
        <v>809</v>
      </c>
      <c r="J809" s="1" t="s">
        <v>809</v>
      </c>
      <c r="K809" s="1">
        <v>1.0</v>
      </c>
      <c r="L809" s="1">
        <v>147000.0</v>
      </c>
    </row>
    <row r="810">
      <c r="A810" s="1">
        <v>290.0</v>
      </c>
      <c r="B810" s="1" t="s">
        <v>806</v>
      </c>
      <c r="C810" s="1" t="s">
        <v>807</v>
      </c>
      <c r="D810" s="1" t="s">
        <v>808</v>
      </c>
      <c r="E810" s="1">
        <v>3.0</v>
      </c>
      <c r="F810" s="1">
        <v>0.0</v>
      </c>
      <c r="G810" s="1" t="s">
        <v>809</v>
      </c>
      <c r="H810" s="1">
        <v>2.0</v>
      </c>
      <c r="I810" s="1" t="s">
        <v>809</v>
      </c>
      <c r="J810" s="1" t="s">
        <v>809</v>
      </c>
      <c r="K810" s="1">
        <v>1.0</v>
      </c>
      <c r="L810" s="1">
        <v>92000.0</v>
      </c>
    </row>
    <row r="811">
      <c r="A811" s="1">
        <v>290.0</v>
      </c>
      <c r="B811" s="1" t="s">
        <v>806</v>
      </c>
      <c r="C811" s="1" t="s">
        <v>810</v>
      </c>
      <c r="D811" s="1" t="s">
        <v>808</v>
      </c>
      <c r="E811" s="1">
        <v>3.0</v>
      </c>
      <c r="F811" s="1">
        <v>0.0</v>
      </c>
      <c r="G811" s="1" t="s">
        <v>809</v>
      </c>
      <c r="H811" s="1">
        <v>2.0</v>
      </c>
      <c r="I811" s="1" t="s">
        <v>809</v>
      </c>
      <c r="J811" s="1" t="s">
        <v>809</v>
      </c>
      <c r="K811" s="1">
        <v>1.0</v>
      </c>
      <c r="L811" s="1">
        <v>0.0</v>
      </c>
    </row>
    <row r="812">
      <c r="A812" s="1">
        <v>291.0</v>
      </c>
      <c r="B812" s="1" t="s">
        <v>806</v>
      </c>
      <c r="C812" s="1" t="s">
        <v>807</v>
      </c>
      <c r="D812" s="1" t="s">
        <v>826</v>
      </c>
      <c r="E812" s="1">
        <v>2.0</v>
      </c>
      <c r="F812" s="1">
        <v>0.0</v>
      </c>
      <c r="G812" s="1" t="s">
        <v>809</v>
      </c>
      <c r="H812" s="1" t="s">
        <v>809</v>
      </c>
      <c r="I812" s="1" t="s">
        <v>809</v>
      </c>
      <c r="J812" s="1" t="s">
        <v>809</v>
      </c>
      <c r="K812" s="1">
        <v>1.0</v>
      </c>
      <c r="L812" s="1">
        <v>22464.98</v>
      </c>
    </row>
    <row r="813">
      <c r="A813" s="1">
        <v>291.0</v>
      </c>
      <c r="B813" s="1" t="s">
        <v>806</v>
      </c>
      <c r="C813" s="1" t="s">
        <v>810</v>
      </c>
      <c r="D813" s="1" t="s">
        <v>826</v>
      </c>
      <c r="E813" s="1">
        <v>1.75</v>
      </c>
      <c r="F813" s="1">
        <v>0.0</v>
      </c>
      <c r="G813" s="1" t="s">
        <v>809</v>
      </c>
      <c r="H813" s="1" t="s">
        <v>809</v>
      </c>
      <c r="I813" s="1" t="s">
        <v>809</v>
      </c>
      <c r="J813" s="1" t="s">
        <v>809</v>
      </c>
      <c r="K813" s="1">
        <v>1.0</v>
      </c>
      <c r="L813" s="1">
        <v>22464.98</v>
      </c>
    </row>
    <row r="814">
      <c r="A814" s="1">
        <v>291.0</v>
      </c>
      <c r="B814" s="1" t="s">
        <v>825</v>
      </c>
      <c r="C814" s="1" t="s">
        <v>807</v>
      </c>
      <c r="D814" s="1" t="s">
        <v>836</v>
      </c>
      <c r="E814" s="1">
        <v>4.5</v>
      </c>
      <c r="F814" s="1">
        <v>0.0</v>
      </c>
      <c r="G814" s="1" t="s">
        <v>809</v>
      </c>
      <c r="H814" s="1" t="s">
        <v>809</v>
      </c>
      <c r="I814" s="1" t="s">
        <v>809</v>
      </c>
      <c r="J814" s="1" t="s">
        <v>809</v>
      </c>
      <c r="K814" s="1">
        <v>1.0</v>
      </c>
      <c r="L814" s="1">
        <v>56500.0</v>
      </c>
    </row>
    <row r="815">
      <c r="A815" s="1">
        <v>291.0</v>
      </c>
      <c r="B815" s="1" t="s">
        <v>825</v>
      </c>
      <c r="C815" s="1" t="s">
        <v>810</v>
      </c>
      <c r="D815" s="1" t="s">
        <v>836</v>
      </c>
      <c r="E815" s="1">
        <v>4.25</v>
      </c>
      <c r="F815" s="1">
        <v>0.0</v>
      </c>
      <c r="G815" s="1" t="s">
        <v>809</v>
      </c>
      <c r="H815" s="1" t="s">
        <v>809</v>
      </c>
      <c r="I815" s="1" t="s">
        <v>809</v>
      </c>
      <c r="J815" s="1" t="s">
        <v>809</v>
      </c>
      <c r="K815" s="1">
        <v>1.0</v>
      </c>
      <c r="L815" s="1">
        <v>56500.0</v>
      </c>
    </row>
    <row r="816">
      <c r="A816" s="1">
        <v>292.0</v>
      </c>
      <c r="B816" s="1" t="s">
        <v>806</v>
      </c>
      <c r="C816" s="1" t="s">
        <v>807</v>
      </c>
      <c r="D816" s="1" t="s">
        <v>864</v>
      </c>
      <c r="E816" s="1">
        <v>0.5</v>
      </c>
      <c r="F816" s="1">
        <v>-0.5</v>
      </c>
      <c r="G816" s="1">
        <v>136.0</v>
      </c>
      <c r="H816" s="1">
        <v>2.5</v>
      </c>
      <c r="I816" s="1" t="s">
        <v>809</v>
      </c>
      <c r="J816" s="1" t="s">
        <v>809</v>
      </c>
      <c r="K816" s="1">
        <v>1.0</v>
      </c>
      <c r="L816" s="1">
        <v>750000.0</v>
      </c>
    </row>
    <row r="817">
      <c r="A817" s="1">
        <v>292.0</v>
      </c>
      <c r="B817" s="1" t="s">
        <v>806</v>
      </c>
      <c r="C817" s="1" t="s">
        <v>810</v>
      </c>
      <c r="D817" s="1" t="s">
        <v>864</v>
      </c>
      <c r="E817" s="1">
        <v>0.5</v>
      </c>
      <c r="F817" s="1">
        <v>-0.5</v>
      </c>
      <c r="G817" s="1">
        <v>41.0</v>
      </c>
      <c r="H817" s="1">
        <v>2.5</v>
      </c>
      <c r="I817" s="1" t="s">
        <v>809</v>
      </c>
      <c r="J817" s="1" t="s">
        <v>809</v>
      </c>
      <c r="K817" s="1">
        <v>1.0</v>
      </c>
      <c r="L817" s="1">
        <v>750000.0</v>
      </c>
    </row>
    <row r="818">
      <c r="A818" s="1">
        <v>292.0</v>
      </c>
      <c r="B818" s="1" t="s">
        <v>806</v>
      </c>
      <c r="C818" s="1" t="s">
        <v>809</v>
      </c>
      <c r="D818" s="1" t="s">
        <v>970</v>
      </c>
      <c r="E818" s="1" t="s">
        <v>809</v>
      </c>
      <c r="F818" s="1" t="s">
        <v>809</v>
      </c>
      <c r="G818" s="1" t="s">
        <v>809</v>
      </c>
      <c r="H818" s="1" t="s">
        <v>809</v>
      </c>
      <c r="I818" s="1" t="s">
        <v>809</v>
      </c>
      <c r="J818" s="1" t="s">
        <v>809</v>
      </c>
      <c r="K818" s="1">
        <v>1.0</v>
      </c>
      <c r="L818" s="1">
        <v>223200.0</v>
      </c>
    </row>
    <row r="819">
      <c r="A819" s="1">
        <v>293.0</v>
      </c>
      <c r="B819" s="1" t="s">
        <v>806</v>
      </c>
      <c r="C819" s="1" t="s">
        <v>807</v>
      </c>
      <c r="D819" s="1" t="s">
        <v>812</v>
      </c>
      <c r="E819" s="1">
        <v>1.0</v>
      </c>
      <c r="F819" s="1">
        <v>-1.75</v>
      </c>
      <c r="G819" s="1">
        <v>55.0</v>
      </c>
      <c r="H819" s="1" t="s">
        <v>809</v>
      </c>
      <c r="I819" s="1" t="s">
        <v>809</v>
      </c>
      <c r="J819" s="1" t="s">
        <v>809</v>
      </c>
      <c r="K819" s="1">
        <v>1.0</v>
      </c>
      <c r="L819" s="1">
        <v>30615.9</v>
      </c>
    </row>
    <row r="820">
      <c r="A820" s="1">
        <v>293.0</v>
      </c>
      <c r="B820" s="1" t="s">
        <v>806</v>
      </c>
      <c r="C820" s="1" t="s">
        <v>810</v>
      </c>
      <c r="D820" s="1" t="s">
        <v>812</v>
      </c>
      <c r="E820" s="1">
        <v>-3.5</v>
      </c>
      <c r="F820" s="1">
        <v>-0.75</v>
      </c>
      <c r="G820" s="1">
        <v>10.0</v>
      </c>
      <c r="H820" s="1" t="s">
        <v>809</v>
      </c>
      <c r="I820" s="1" t="s">
        <v>809</v>
      </c>
      <c r="J820" s="1" t="s">
        <v>809</v>
      </c>
      <c r="K820" s="1">
        <v>1.0</v>
      </c>
      <c r="L820" s="1">
        <v>30615.9</v>
      </c>
    </row>
    <row r="821">
      <c r="A821" s="1">
        <v>294.0</v>
      </c>
      <c r="B821" s="1" t="s">
        <v>806</v>
      </c>
      <c r="C821" s="1" t="s">
        <v>807</v>
      </c>
      <c r="D821" s="1" t="s">
        <v>812</v>
      </c>
      <c r="E821" s="1">
        <v>-2.5</v>
      </c>
      <c r="F821" s="1">
        <v>-1.25</v>
      </c>
      <c r="G821" s="1">
        <v>80.0</v>
      </c>
      <c r="H821" s="1" t="s">
        <v>809</v>
      </c>
      <c r="I821" s="1" t="s">
        <v>809</v>
      </c>
      <c r="J821" s="1" t="s">
        <v>809</v>
      </c>
      <c r="K821" s="1">
        <v>1.0</v>
      </c>
      <c r="L821" s="1">
        <v>34615.9</v>
      </c>
    </row>
    <row r="822">
      <c r="A822" s="1">
        <v>294.0</v>
      </c>
      <c r="B822" s="1" t="s">
        <v>806</v>
      </c>
      <c r="C822" s="1" t="s">
        <v>810</v>
      </c>
      <c r="D822" s="1" t="s">
        <v>812</v>
      </c>
      <c r="E822" s="1">
        <v>-2.25</v>
      </c>
      <c r="F822" s="1">
        <v>-0.5</v>
      </c>
      <c r="G822" s="1">
        <v>20.0</v>
      </c>
      <c r="H822" s="1" t="s">
        <v>809</v>
      </c>
      <c r="I822" s="1" t="s">
        <v>809</v>
      </c>
      <c r="J822" s="1" t="s">
        <v>809</v>
      </c>
      <c r="K822" s="1">
        <v>1.0</v>
      </c>
      <c r="L822" s="1">
        <v>34615.9</v>
      </c>
    </row>
    <row r="823">
      <c r="A823" s="1">
        <v>294.0</v>
      </c>
      <c r="B823" s="1" t="s">
        <v>806</v>
      </c>
      <c r="C823" s="1" t="s">
        <v>809</v>
      </c>
      <c r="D823" s="1" t="s">
        <v>915</v>
      </c>
      <c r="E823" s="1" t="s">
        <v>809</v>
      </c>
      <c r="F823" s="1" t="s">
        <v>809</v>
      </c>
      <c r="G823" s="1" t="s">
        <v>809</v>
      </c>
      <c r="H823" s="1" t="s">
        <v>809</v>
      </c>
      <c r="I823" s="1" t="s">
        <v>809</v>
      </c>
      <c r="J823" s="1" t="s">
        <v>809</v>
      </c>
      <c r="K823" s="1">
        <v>1.0</v>
      </c>
      <c r="L823" s="1">
        <v>121000.0</v>
      </c>
    </row>
    <row r="824">
      <c r="A824" s="1">
        <v>295.0</v>
      </c>
      <c r="B824" s="1" t="s">
        <v>806</v>
      </c>
      <c r="C824" s="1" t="s">
        <v>807</v>
      </c>
      <c r="D824" s="1" t="s">
        <v>823</v>
      </c>
      <c r="E824" s="1">
        <v>0.75</v>
      </c>
      <c r="F824" s="1">
        <v>0.0</v>
      </c>
      <c r="G824" s="1" t="s">
        <v>809</v>
      </c>
      <c r="H824" s="1">
        <v>1.75</v>
      </c>
      <c r="I824" s="1" t="s">
        <v>809</v>
      </c>
      <c r="J824" s="1" t="s">
        <v>809</v>
      </c>
      <c r="K824" s="1">
        <v>1.0</v>
      </c>
      <c r="L824" s="1">
        <v>258520.68</v>
      </c>
    </row>
    <row r="825">
      <c r="A825" s="1">
        <v>295.0</v>
      </c>
      <c r="B825" s="1" t="s">
        <v>806</v>
      </c>
      <c r="C825" s="1" t="s">
        <v>810</v>
      </c>
      <c r="D825" s="1" t="s">
        <v>823</v>
      </c>
      <c r="E825" s="1">
        <v>1.25</v>
      </c>
      <c r="F825" s="1">
        <v>0.0</v>
      </c>
      <c r="G825" s="1" t="s">
        <v>809</v>
      </c>
      <c r="H825" s="1">
        <v>1.75</v>
      </c>
      <c r="I825" s="1" t="s">
        <v>809</v>
      </c>
      <c r="J825" s="1" t="s">
        <v>809</v>
      </c>
      <c r="K825" s="1">
        <v>1.0</v>
      </c>
      <c r="L825" s="1">
        <v>258520.68</v>
      </c>
    </row>
    <row r="826">
      <c r="A826" s="1">
        <v>295.0</v>
      </c>
      <c r="B826" s="1" t="s">
        <v>806</v>
      </c>
      <c r="C826" s="1" t="s">
        <v>809</v>
      </c>
      <c r="D826" s="1" t="s">
        <v>971</v>
      </c>
      <c r="E826" s="1" t="s">
        <v>809</v>
      </c>
      <c r="F826" s="1" t="s">
        <v>809</v>
      </c>
      <c r="G826" s="1" t="s">
        <v>809</v>
      </c>
      <c r="H826" s="1" t="s">
        <v>809</v>
      </c>
      <c r="I826" s="1" t="s">
        <v>809</v>
      </c>
      <c r="J826" s="1" t="s">
        <v>809</v>
      </c>
      <c r="K826" s="1">
        <v>1.0</v>
      </c>
      <c r="L826" s="1">
        <v>136800.0</v>
      </c>
    </row>
    <row r="827">
      <c r="A827" s="1">
        <v>296.0</v>
      </c>
      <c r="B827" s="1" t="s">
        <v>806</v>
      </c>
      <c r="C827" s="1" t="s">
        <v>807</v>
      </c>
      <c r="D827" s="1" t="s">
        <v>841</v>
      </c>
      <c r="E827" s="1">
        <v>0.75</v>
      </c>
      <c r="F827" s="1">
        <v>0.0</v>
      </c>
      <c r="G827" s="1" t="s">
        <v>809</v>
      </c>
      <c r="H827" s="1">
        <v>1.75</v>
      </c>
      <c r="I827" s="1" t="s">
        <v>809</v>
      </c>
      <c r="J827" s="1" t="s">
        <v>809</v>
      </c>
      <c r="K827" s="1">
        <v>1.0</v>
      </c>
      <c r="L827" s="1">
        <v>54579.0</v>
      </c>
    </row>
    <row r="828">
      <c r="A828" s="1">
        <v>296.0</v>
      </c>
      <c r="B828" s="1" t="s">
        <v>806</v>
      </c>
      <c r="C828" s="1" t="s">
        <v>810</v>
      </c>
      <c r="D828" s="1" t="s">
        <v>841</v>
      </c>
      <c r="E828" s="1">
        <v>1.25</v>
      </c>
      <c r="F828" s="1">
        <v>0.0</v>
      </c>
      <c r="G828" s="1" t="s">
        <v>809</v>
      </c>
      <c r="H828" s="1">
        <v>1.75</v>
      </c>
      <c r="I828" s="1" t="s">
        <v>809</v>
      </c>
      <c r="J828" s="1" t="s">
        <v>809</v>
      </c>
      <c r="K828" s="1">
        <v>1.0</v>
      </c>
      <c r="L828" s="1">
        <v>54579.0</v>
      </c>
    </row>
    <row r="829">
      <c r="A829" s="1">
        <v>296.0</v>
      </c>
      <c r="B829" s="1" t="s">
        <v>806</v>
      </c>
      <c r="C829" s="1" t="s">
        <v>809</v>
      </c>
      <c r="D829" s="1" t="s">
        <v>949</v>
      </c>
      <c r="E829" s="1" t="s">
        <v>809</v>
      </c>
      <c r="F829" s="1" t="s">
        <v>809</v>
      </c>
      <c r="G829" s="1" t="s">
        <v>809</v>
      </c>
      <c r="H829" s="1" t="s">
        <v>809</v>
      </c>
      <c r="I829" s="1" t="s">
        <v>809</v>
      </c>
      <c r="J829" s="1" t="s">
        <v>809</v>
      </c>
      <c r="K829" s="1">
        <v>1.0</v>
      </c>
      <c r="L829" s="1">
        <v>0.0</v>
      </c>
    </row>
    <row r="830">
      <c r="A830" s="1">
        <v>297.0</v>
      </c>
      <c r="B830" s="1" t="s">
        <v>806</v>
      </c>
      <c r="C830" s="1" t="s">
        <v>807</v>
      </c>
      <c r="D830" s="1" t="s">
        <v>812</v>
      </c>
      <c r="E830" s="1">
        <v>-0.25</v>
      </c>
      <c r="F830" s="1">
        <v>-1.0</v>
      </c>
      <c r="G830" s="1">
        <v>88.0</v>
      </c>
      <c r="H830" s="1" t="s">
        <v>809</v>
      </c>
      <c r="I830" s="1" t="s">
        <v>809</v>
      </c>
      <c r="J830" s="1" t="s">
        <v>809</v>
      </c>
      <c r="K830" s="1">
        <v>1.0</v>
      </c>
      <c r="L830" s="1">
        <v>30615.9</v>
      </c>
    </row>
    <row r="831">
      <c r="A831" s="1">
        <v>297.0</v>
      </c>
      <c r="B831" s="1" t="s">
        <v>806</v>
      </c>
      <c r="C831" s="1" t="s">
        <v>810</v>
      </c>
      <c r="D831" s="1" t="s">
        <v>812</v>
      </c>
      <c r="E831" s="1">
        <v>-0.5</v>
      </c>
      <c r="F831" s="1">
        <v>-1.0</v>
      </c>
      <c r="G831" s="1">
        <v>80.0</v>
      </c>
      <c r="H831" s="1" t="s">
        <v>809</v>
      </c>
      <c r="I831" s="1" t="s">
        <v>809</v>
      </c>
      <c r="J831" s="1" t="s">
        <v>809</v>
      </c>
      <c r="K831" s="1">
        <v>1.0</v>
      </c>
      <c r="L831" s="1">
        <v>30615.9</v>
      </c>
    </row>
    <row r="832">
      <c r="A832" s="1">
        <v>297.0</v>
      </c>
      <c r="B832" s="1" t="s">
        <v>806</v>
      </c>
      <c r="C832" s="1" t="s">
        <v>809</v>
      </c>
      <c r="D832" s="1" t="s">
        <v>972</v>
      </c>
      <c r="E832" s="1" t="s">
        <v>809</v>
      </c>
      <c r="F832" s="1" t="s">
        <v>809</v>
      </c>
      <c r="G832" s="1" t="s">
        <v>809</v>
      </c>
      <c r="H832" s="1" t="s">
        <v>809</v>
      </c>
      <c r="I832" s="1" t="s">
        <v>809</v>
      </c>
      <c r="J832" s="1" t="s">
        <v>809</v>
      </c>
      <c r="K832" s="1">
        <v>1.0</v>
      </c>
      <c r="L832" s="1">
        <v>127847.16</v>
      </c>
    </row>
    <row r="833">
      <c r="A833" s="1">
        <v>298.0</v>
      </c>
      <c r="B833" s="1" t="s">
        <v>806</v>
      </c>
      <c r="C833" s="1" t="s">
        <v>807</v>
      </c>
      <c r="D833" s="1" t="s">
        <v>812</v>
      </c>
      <c r="E833" s="1">
        <v>-0.75</v>
      </c>
      <c r="F833" s="1">
        <v>0.0</v>
      </c>
      <c r="G833" s="1" t="s">
        <v>809</v>
      </c>
      <c r="H833" s="1" t="s">
        <v>809</v>
      </c>
      <c r="I833" s="1">
        <v>30.0</v>
      </c>
      <c r="J833" s="1">
        <v>27.0</v>
      </c>
      <c r="K833" s="1">
        <v>1.0</v>
      </c>
      <c r="L833" s="1">
        <v>30615.9</v>
      </c>
    </row>
    <row r="834">
      <c r="A834" s="1">
        <v>298.0</v>
      </c>
      <c r="B834" s="1" t="s">
        <v>806</v>
      </c>
      <c r="C834" s="1" t="s">
        <v>810</v>
      </c>
      <c r="D834" s="1" t="s">
        <v>812</v>
      </c>
      <c r="E834" s="1">
        <v>-0.75</v>
      </c>
      <c r="F834" s="1">
        <v>0.0</v>
      </c>
      <c r="G834" s="1" t="s">
        <v>809</v>
      </c>
      <c r="H834" s="1" t="s">
        <v>809</v>
      </c>
      <c r="I834" s="1">
        <v>30.0</v>
      </c>
      <c r="J834" s="1">
        <v>27.0</v>
      </c>
      <c r="K834" s="1">
        <v>1.0</v>
      </c>
      <c r="L834" s="1">
        <v>30615.9</v>
      </c>
    </row>
    <row r="835">
      <c r="A835" s="1">
        <v>298.0</v>
      </c>
      <c r="B835" s="1" t="s">
        <v>806</v>
      </c>
      <c r="C835" s="1" t="s">
        <v>809</v>
      </c>
      <c r="D835" s="1" t="s">
        <v>938</v>
      </c>
      <c r="E835" s="1" t="s">
        <v>809</v>
      </c>
      <c r="F835" s="1" t="s">
        <v>809</v>
      </c>
      <c r="G835" s="1" t="s">
        <v>809</v>
      </c>
      <c r="H835" s="1" t="s">
        <v>809</v>
      </c>
      <c r="I835" s="1" t="s">
        <v>809</v>
      </c>
      <c r="J835" s="1" t="s">
        <v>809</v>
      </c>
      <c r="K835" s="1">
        <v>1.0</v>
      </c>
      <c r="L835" s="1">
        <v>142018.0</v>
      </c>
    </row>
    <row r="836">
      <c r="A836" s="1">
        <v>299.0</v>
      </c>
      <c r="B836" s="1" t="s">
        <v>806</v>
      </c>
      <c r="C836" s="1" t="s">
        <v>807</v>
      </c>
      <c r="D836" s="1" t="s">
        <v>812</v>
      </c>
      <c r="E836" s="1">
        <v>-0.75</v>
      </c>
      <c r="F836" s="1">
        <v>0.0</v>
      </c>
      <c r="G836" s="1" t="s">
        <v>809</v>
      </c>
      <c r="H836" s="1" t="s">
        <v>809</v>
      </c>
      <c r="I836" s="1" t="s">
        <v>809</v>
      </c>
      <c r="J836" s="1" t="s">
        <v>809</v>
      </c>
      <c r="K836" s="1">
        <v>1.0</v>
      </c>
      <c r="L836" s="1">
        <v>30615.9</v>
      </c>
    </row>
    <row r="837">
      <c r="A837" s="1">
        <v>299.0</v>
      </c>
      <c r="B837" s="1" t="s">
        <v>806</v>
      </c>
      <c r="C837" s="1" t="s">
        <v>810</v>
      </c>
      <c r="D837" s="1" t="s">
        <v>812</v>
      </c>
      <c r="E837" s="1">
        <v>-0.75</v>
      </c>
      <c r="F837" s="1">
        <v>0.0</v>
      </c>
      <c r="G837" s="1" t="s">
        <v>809</v>
      </c>
      <c r="H837" s="1" t="s">
        <v>809</v>
      </c>
      <c r="I837" s="1" t="s">
        <v>809</v>
      </c>
      <c r="J837" s="1" t="s">
        <v>809</v>
      </c>
      <c r="K837" s="1">
        <v>1.0</v>
      </c>
      <c r="L837" s="1">
        <v>30615.9</v>
      </c>
    </row>
    <row r="838">
      <c r="A838" s="1">
        <v>299.0</v>
      </c>
      <c r="B838" s="1" t="s">
        <v>806</v>
      </c>
      <c r="C838" s="1" t="s">
        <v>809</v>
      </c>
      <c r="D838" s="1" t="s">
        <v>938</v>
      </c>
      <c r="E838" s="1" t="s">
        <v>809</v>
      </c>
      <c r="F838" s="1" t="s">
        <v>809</v>
      </c>
      <c r="G838" s="1" t="s">
        <v>809</v>
      </c>
      <c r="H838" s="1" t="s">
        <v>809</v>
      </c>
      <c r="I838" s="1" t="s">
        <v>809</v>
      </c>
      <c r="J838" s="1" t="s">
        <v>809</v>
      </c>
      <c r="K838" s="1">
        <v>1.0</v>
      </c>
      <c r="L838" s="1">
        <v>142018.0</v>
      </c>
    </row>
    <row r="839">
      <c r="A839" s="1">
        <v>300.0</v>
      </c>
      <c r="B839" s="1" t="s">
        <v>806</v>
      </c>
      <c r="C839" s="1" t="s">
        <v>807</v>
      </c>
      <c r="D839" s="1" t="s">
        <v>836</v>
      </c>
      <c r="E839" s="1">
        <v>-1.75</v>
      </c>
      <c r="F839" s="1">
        <v>-1.75</v>
      </c>
      <c r="G839" s="1">
        <v>100.0</v>
      </c>
      <c r="H839" s="1" t="s">
        <v>809</v>
      </c>
      <c r="I839" s="1">
        <v>30.0</v>
      </c>
      <c r="J839" s="1">
        <v>27.0</v>
      </c>
      <c r="K839" s="1">
        <v>1.0</v>
      </c>
      <c r="L839" s="1">
        <v>95200.0</v>
      </c>
    </row>
    <row r="840">
      <c r="A840" s="1">
        <v>300.0</v>
      </c>
      <c r="B840" s="1" t="s">
        <v>806</v>
      </c>
      <c r="C840" s="1" t="s">
        <v>810</v>
      </c>
      <c r="D840" s="1" t="s">
        <v>836</v>
      </c>
      <c r="E840" s="1">
        <v>-1.0</v>
      </c>
      <c r="F840" s="1">
        <v>-3.0</v>
      </c>
      <c r="G840" s="1">
        <v>90.0</v>
      </c>
      <c r="H840" s="1" t="s">
        <v>809</v>
      </c>
      <c r="I840" s="1">
        <v>30.0</v>
      </c>
      <c r="J840" s="1">
        <v>27.0</v>
      </c>
      <c r="K840" s="1">
        <v>1.0</v>
      </c>
      <c r="L840" s="1">
        <v>0.0</v>
      </c>
    </row>
    <row r="841">
      <c r="A841" s="1">
        <v>300.0</v>
      </c>
      <c r="B841" s="1" t="s">
        <v>806</v>
      </c>
      <c r="C841" s="1" t="s">
        <v>809</v>
      </c>
      <c r="D841" s="1" t="s">
        <v>973</v>
      </c>
      <c r="E841" s="1" t="s">
        <v>809</v>
      </c>
      <c r="F841" s="1" t="s">
        <v>809</v>
      </c>
      <c r="G841" s="1" t="s">
        <v>809</v>
      </c>
      <c r="H841" s="1" t="s">
        <v>809</v>
      </c>
      <c r="I841" s="1" t="s">
        <v>809</v>
      </c>
      <c r="J841" s="1" t="s">
        <v>809</v>
      </c>
      <c r="K841" s="1">
        <v>1.0</v>
      </c>
      <c r="L841" s="1">
        <v>157800.0</v>
      </c>
    </row>
    <row r="842">
      <c r="A842" s="1">
        <v>301.0</v>
      </c>
      <c r="B842" s="1" t="s">
        <v>806</v>
      </c>
      <c r="C842" s="1" t="s">
        <v>807</v>
      </c>
      <c r="D842" s="1" t="s">
        <v>812</v>
      </c>
      <c r="E842" s="1">
        <v>0.75</v>
      </c>
      <c r="F842" s="1">
        <v>0.0</v>
      </c>
      <c r="G842" s="1" t="s">
        <v>809</v>
      </c>
      <c r="H842" s="1" t="s">
        <v>809</v>
      </c>
      <c r="I842" s="1">
        <v>30.0</v>
      </c>
      <c r="J842" s="1">
        <v>26.0</v>
      </c>
      <c r="K842" s="1">
        <v>1.0</v>
      </c>
      <c r="L842" s="1">
        <v>30615.9</v>
      </c>
    </row>
    <row r="843">
      <c r="A843" s="1">
        <v>301.0</v>
      </c>
      <c r="B843" s="1" t="s">
        <v>806</v>
      </c>
      <c r="C843" s="1" t="s">
        <v>810</v>
      </c>
      <c r="D843" s="1" t="s">
        <v>812</v>
      </c>
      <c r="E843" s="1">
        <v>0.75</v>
      </c>
      <c r="F843" s="1">
        <v>0.0</v>
      </c>
      <c r="G843" s="1" t="s">
        <v>809</v>
      </c>
      <c r="H843" s="1" t="s">
        <v>809</v>
      </c>
      <c r="I843" s="1">
        <v>30.0</v>
      </c>
      <c r="J843" s="1">
        <v>26.0</v>
      </c>
      <c r="K843" s="1">
        <v>1.0</v>
      </c>
      <c r="L843" s="1">
        <v>30615.9</v>
      </c>
    </row>
    <row r="844">
      <c r="A844" s="1">
        <v>301.0</v>
      </c>
      <c r="B844" s="1" t="s">
        <v>806</v>
      </c>
      <c r="C844" s="1" t="s">
        <v>809</v>
      </c>
      <c r="D844" s="1" t="s">
        <v>814</v>
      </c>
      <c r="E844" s="1" t="s">
        <v>809</v>
      </c>
      <c r="F844" s="1" t="s">
        <v>809</v>
      </c>
      <c r="G844" s="1" t="s">
        <v>809</v>
      </c>
      <c r="H844" s="1" t="s">
        <v>809</v>
      </c>
      <c r="I844" s="1" t="s">
        <v>809</v>
      </c>
      <c r="J844" s="1" t="s">
        <v>809</v>
      </c>
      <c r="K844" s="1">
        <v>1.0</v>
      </c>
      <c r="L844" s="1">
        <v>102000.0</v>
      </c>
    </row>
    <row r="845">
      <c r="A845" s="1">
        <v>302.0</v>
      </c>
      <c r="B845" s="1" t="s">
        <v>806</v>
      </c>
      <c r="C845" s="1" t="s">
        <v>807</v>
      </c>
      <c r="D845" s="1" t="s">
        <v>812</v>
      </c>
      <c r="E845" s="1">
        <v>0.75</v>
      </c>
      <c r="F845" s="1">
        <v>0.0</v>
      </c>
      <c r="G845" s="1" t="s">
        <v>809</v>
      </c>
      <c r="H845" s="1" t="s">
        <v>809</v>
      </c>
      <c r="I845" s="1" t="s">
        <v>809</v>
      </c>
      <c r="J845" s="1" t="s">
        <v>809</v>
      </c>
      <c r="K845" s="1">
        <v>1.0</v>
      </c>
      <c r="L845" s="1">
        <v>27000.0</v>
      </c>
    </row>
    <row r="846">
      <c r="A846" s="1">
        <v>302.0</v>
      </c>
      <c r="B846" s="1" t="s">
        <v>806</v>
      </c>
      <c r="C846" s="1" t="s">
        <v>810</v>
      </c>
      <c r="D846" s="1" t="s">
        <v>812</v>
      </c>
      <c r="E846" s="1">
        <v>0.75</v>
      </c>
      <c r="F846" s="1">
        <v>0.0</v>
      </c>
      <c r="G846" s="1" t="s">
        <v>809</v>
      </c>
      <c r="H846" s="1" t="s">
        <v>809</v>
      </c>
      <c r="I846" s="1" t="s">
        <v>809</v>
      </c>
      <c r="J846" s="1" t="s">
        <v>809</v>
      </c>
      <c r="K846" s="1">
        <v>1.0</v>
      </c>
      <c r="L846" s="1">
        <v>27000.0</v>
      </c>
    </row>
    <row r="847">
      <c r="A847" s="1">
        <v>302.0</v>
      </c>
      <c r="B847" s="1" t="s">
        <v>806</v>
      </c>
      <c r="C847" s="1" t="s">
        <v>809</v>
      </c>
      <c r="D847" s="1" t="s">
        <v>974</v>
      </c>
      <c r="E847" s="1" t="s">
        <v>809</v>
      </c>
      <c r="F847" s="1" t="s">
        <v>809</v>
      </c>
      <c r="G847" s="1" t="s">
        <v>809</v>
      </c>
      <c r="H847" s="1" t="s">
        <v>809</v>
      </c>
      <c r="I847" s="1" t="s">
        <v>809</v>
      </c>
      <c r="J847" s="1" t="s">
        <v>809</v>
      </c>
      <c r="K847" s="1">
        <v>1.0</v>
      </c>
      <c r="L847" s="1">
        <v>148000.0</v>
      </c>
    </row>
    <row r="848">
      <c r="A848" s="1">
        <v>303.0</v>
      </c>
      <c r="B848" s="1" t="s">
        <v>806</v>
      </c>
      <c r="C848" s="1" t="s">
        <v>807</v>
      </c>
      <c r="D848" s="1" t="s">
        <v>812</v>
      </c>
      <c r="E848" s="1">
        <v>0.75</v>
      </c>
      <c r="F848" s="1">
        <v>0.0</v>
      </c>
      <c r="G848" s="1" t="s">
        <v>809</v>
      </c>
      <c r="H848" s="1" t="s">
        <v>809</v>
      </c>
      <c r="I848" s="1" t="s">
        <v>809</v>
      </c>
      <c r="J848" s="1" t="s">
        <v>809</v>
      </c>
      <c r="K848" s="1">
        <v>1.0</v>
      </c>
      <c r="L848" s="1">
        <v>30000.0</v>
      </c>
    </row>
    <row r="849">
      <c r="A849" s="1">
        <v>303.0</v>
      </c>
      <c r="B849" s="1" t="s">
        <v>806</v>
      </c>
      <c r="C849" s="1" t="s">
        <v>810</v>
      </c>
      <c r="D849" s="1" t="s">
        <v>812</v>
      </c>
      <c r="E849" s="1">
        <v>1.25</v>
      </c>
      <c r="F849" s="1">
        <v>0.0</v>
      </c>
      <c r="G849" s="1" t="s">
        <v>809</v>
      </c>
      <c r="H849" s="1" t="s">
        <v>809</v>
      </c>
      <c r="I849" s="1" t="s">
        <v>809</v>
      </c>
      <c r="J849" s="1" t="s">
        <v>809</v>
      </c>
      <c r="K849" s="1">
        <v>1.0</v>
      </c>
      <c r="L849" s="1">
        <v>31000.0</v>
      </c>
    </row>
    <row r="850">
      <c r="A850" s="1">
        <v>303.0</v>
      </c>
      <c r="B850" s="1" t="s">
        <v>806</v>
      </c>
      <c r="C850" s="1" t="s">
        <v>809</v>
      </c>
      <c r="D850" s="1" t="s">
        <v>975</v>
      </c>
      <c r="E850" s="1" t="s">
        <v>809</v>
      </c>
      <c r="F850" s="1" t="s">
        <v>809</v>
      </c>
      <c r="G850" s="1" t="s">
        <v>809</v>
      </c>
      <c r="H850" s="1" t="s">
        <v>809</v>
      </c>
      <c r="I850" s="1" t="s">
        <v>809</v>
      </c>
      <c r="J850" s="1" t="s">
        <v>809</v>
      </c>
      <c r="K850" s="1">
        <v>1.0</v>
      </c>
      <c r="L850" s="1">
        <v>170000.0</v>
      </c>
    </row>
    <row r="851">
      <c r="A851" s="1">
        <v>304.0</v>
      </c>
      <c r="B851" s="1" t="s">
        <v>806</v>
      </c>
      <c r="C851" s="1" t="s">
        <v>807</v>
      </c>
      <c r="D851" s="1" t="s">
        <v>836</v>
      </c>
      <c r="E851" s="1">
        <v>-0.25</v>
      </c>
      <c r="F851" s="1">
        <v>-0.25</v>
      </c>
      <c r="G851" s="1">
        <v>120.0</v>
      </c>
      <c r="H851" s="1" t="s">
        <v>809</v>
      </c>
      <c r="I851" s="1">
        <v>30.0</v>
      </c>
      <c r="J851" s="1" t="s">
        <v>809</v>
      </c>
      <c r="K851" s="1">
        <v>1.0</v>
      </c>
      <c r="L851" s="1">
        <v>47500.0</v>
      </c>
    </row>
    <row r="852">
      <c r="A852" s="1">
        <v>304.0</v>
      </c>
      <c r="B852" s="1" t="s">
        <v>806</v>
      </c>
      <c r="C852" s="1" t="s">
        <v>810</v>
      </c>
      <c r="D852" s="1" t="s">
        <v>836</v>
      </c>
      <c r="E852" s="1">
        <v>-0.25</v>
      </c>
      <c r="F852" s="1">
        <v>-0.25</v>
      </c>
      <c r="G852" s="1">
        <v>35.0</v>
      </c>
      <c r="H852" s="1" t="s">
        <v>809</v>
      </c>
      <c r="I852" s="1">
        <v>30.0</v>
      </c>
      <c r="J852" s="1" t="s">
        <v>809</v>
      </c>
      <c r="K852" s="1">
        <v>1.0</v>
      </c>
      <c r="L852" s="1">
        <v>47500.0</v>
      </c>
    </row>
    <row r="853">
      <c r="A853" s="1">
        <v>304.0</v>
      </c>
      <c r="B853" s="1" t="s">
        <v>806</v>
      </c>
      <c r="C853" s="1" t="s">
        <v>809</v>
      </c>
      <c r="D853" s="1" t="s">
        <v>929</v>
      </c>
      <c r="E853" s="1" t="s">
        <v>809</v>
      </c>
      <c r="F853" s="1" t="s">
        <v>809</v>
      </c>
      <c r="G853" s="1" t="s">
        <v>809</v>
      </c>
      <c r="H853" s="1" t="s">
        <v>809</v>
      </c>
      <c r="I853" s="1" t="s">
        <v>809</v>
      </c>
      <c r="J853" s="1" t="s">
        <v>809</v>
      </c>
      <c r="K853" s="1">
        <v>1.0</v>
      </c>
      <c r="L853" s="1">
        <v>89000.0</v>
      </c>
    </row>
    <row r="854">
      <c r="A854" s="1">
        <v>305.0</v>
      </c>
      <c r="B854" s="1" t="s">
        <v>806</v>
      </c>
      <c r="C854" s="1" t="s">
        <v>807</v>
      </c>
      <c r="D854" s="1" t="s">
        <v>826</v>
      </c>
      <c r="E854" s="1">
        <v>0.0</v>
      </c>
      <c r="F854" s="1">
        <v>0.0</v>
      </c>
      <c r="G854" s="1" t="s">
        <v>809</v>
      </c>
      <c r="H854" s="1" t="s">
        <v>809</v>
      </c>
      <c r="I854" s="1" t="s">
        <v>809</v>
      </c>
      <c r="J854" s="1" t="s">
        <v>809</v>
      </c>
      <c r="K854" s="1">
        <v>1.0</v>
      </c>
      <c r="L854" s="1">
        <v>20000.0</v>
      </c>
    </row>
    <row r="855">
      <c r="A855" s="1">
        <v>305.0</v>
      </c>
      <c r="B855" s="1" t="s">
        <v>806</v>
      </c>
      <c r="C855" s="1" t="s">
        <v>810</v>
      </c>
      <c r="D855" s="1" t="s">
        <v>826</v>
      </c>
      <c r="E855" s="1">
        <v>0.0</v>
      </c>
      <c r="F855" s="1">
        <v>0.0</v>
      </c>
      <c r="G855" s="1" t="s">
        <v>809</v>
      </c>
      <c r="H855" s="1" t="s">
        <v>809</v>
      </c>
      <c r="I855" s="1" t="s">
        <v>809</v>
      </c>
      <c r="J855" s="1" t="s">
        <v>809</v>
      </c>
      <c r="K855" s="1">
        <v>1.0</v>
      </c>
      <c r="L855" s="1">
        <v>20000.0</v>
      </c>
    </row>
    <row r="856">
      <c r="A856" s="1">
        <v>305.0</v>
      </c>
      <c r="B856" s="1" t="s">
        <v>806</v>
      </c>
      <c r="C856" s="1" t="s">
        <v>809</v>
      </c>
      <c r="D856" s="1" t="s">
        <v>929</v>
      </c>
      <c r="E856" s="1" t="s">
        <v>809</v>
      </c>
      <c r="F856" s="1" t="s">
        <v>809</v>
      </c>
      <c r="G856" s="1" t="s">
        <v>809</v>
      </c>
      <c r="H856" s="1" t="s">
        <v>809</v>
      </c>
      <c r="I856" s="1" t="s">
        <v>809</v>
      </c>
      <c r="J856" s="1" t="s">
        <v>809</v>
      </c>
      <c r="K856" s="1">
        <v>1.0</v>
      </c>
      <c r="L856" s="1">
        <v>80000.0</v>
      </c>
    </row>
    <row r="857">
      <c r="A857" s="1">
        <v>305.0</v>
      </c>
      <c r="B857" s="1" t="s">
        <v>825</v>
      </c>
      <c r="C857" s="1" t="s">
        <v>807</v>
      </c>
      <c r="D857" s="1" t="s">
        <v>826</v>
      </c>
      <c r="E857" s="1">
        <v>0.0</v>
      </c>
      <c r="F857" s="1">
        <v>0.0</v>
      </c>
      <c r="G857" s="1" t="s">
        <v>809</v>
      </c>
      <c r="H857" s="1" t="s">
        <v>809</v>
      </c>
      <c r="I857" s="1" t="s">
        <v>809</v>
      </c>
      <c r="J857" s="1" t="s">
        <v>809</v>
      </c>
      <c r="K857" s="1">
        <v>1.0</v>
      </c>
      <c r="L857" s="1">
        <v>20000.0</v>
      </c>
    </row>
    <row r="858">
      <c r="A858" s="1">
        <v>305.0</v>
      </c>
      <c r="B858" s="1" t="s">
        <v>825</v>
      </c>
      <c r="C858" s="1" t="s">
        <v>810</v>
      </c>
      <c r="D858" s="1" t="s">
        <v>826</v>
      </c>
      <c r="E858" s="1">
        <v>0.0</v>
      </c>
      <c r="F858" s="1">
        <v>0.0</v>
      </c>
      <c r="G858" s="1" t="s">
        <v>809</v>
      </c>
      <c r="H858" s="1" t="s">
        <v>809</v>
      </c>
      <c r="I858" s="1" t="s">
        <v>809</v>
      </c>
      <c r="J858" s="1" t="s">
        <v>809</v>
      </c>
      <c r="K858" s="1">
        <v>1.0</v>
      </c>
      <c r="L858" s="1">
        <v>20000.0</v>
      </c>
    </row>
    <row r="859">
      <c r="A859" s="1">
        <v>305.0</v>
      </c>
      <c r="B859" s="1" t="s">
        <v>825</v>
      </c>
      <c r="C859" s="1" t="s">
        <v>809</v>
      </c>
      <c r="D859" s="1" t="s">
        <v>929</v>
      </c>
      <c r="E859" s="1" t="s">
        <v>809</v>
      </c>
      <c r="F859" s="1" t="s">
        <v>809</v>
      </c>
      <c r="G859" s="1" t="s">
        <v>809</v>
      </c>
      <c r="H859" s="1" t="s">
        <v>809</v>
      </c>
      <c r="I859" s="1" t="s">
        <v>809</v>
      </c>
      <c r="J859" s="1" t="s">
        <v>809</v>
      </c>
      <c r="K859" s="1">
        <v>1.0</v>
      </c>
      <c r="L859" s="1">
        <v>80000.0</v>
      </c>
    </row>
    <row r="860">
      <c r="A860" s="1">
        <v>306.0</v>
      </c>
      <c r="B860" s="1" t="s">
        <v>825</v>
      </c>
      <c r="C860" s="1" t="s">
        <v>807</v>
      </c>
      <c r="D860" s="1" t="s">
        <v>826</v>
      </c>
      <c r="E860" s="1">
        <v>2.25</v>
      </c>
      <c r="F860" s="1">
        <v>0.0</v>
      </c>
      <c r="G860" s="1" t="s">
        <v>809</v>
      </c>
      <c r="H860" s="1" t="s">
        <v>809</v>
      </c>
      <c r="I860" s="1" t="s">
        <v>809</v>
      </c>
      <c r="J860" s="1" t="s">
        <v>809</v>
      </c>
      <c r="K860" s="1">
        <v>1.0</v>
      </c>
      <c r="L860" s="1">
        <v>20000.0</v>
      </c>
    </row>
    <row r="861">
      <c r="A861" s="1">
        <v>306.0</v>
      </c>
      <c r="B861" s="1" t="s">
        <v>825</v>
      </c>
      <c r="C861" s="1" t="s">
        <v>810</v>
      </c>
      <c r="D861" s="1" t="s">
        <v>826</v>
      </c>
      <c r="E861" s="1">
        <v>2.25</v>
      </c>
      <c r="F861" s="1">
        <v>-0.5</v>
      </c>
      <c r="G861" s="1">
        <v>160.0</v>
      </c>
      <c r="H861" s="1" t="s">
        <v>809</v>
      </c>
      <c r="I861" s="1" t="s">
        <v>809</v>
      </c>
      <c r="J861" s="1" t="s">
        <v>809</v>
      </c>
      <c r="K861" s="1">
        <v>1.0</v>
      </c>
      <c r="L861" s="1">
        <v>20000.0</v>
      </c>
    </row>
    <row r="862">
      <c r="A862" s="1">
        <v>306.0</v>
      </c>
      <c r="B862" s="1" t="s">
        <v>825</v>
      </c>
      <c r="C862" s="1" t="s">
        <v>809</v>
      </c>
      <c r="D862" s="1" t="s">
        <v>929</v>
      </c>
      <c r="E862" s="1" t="s">
        <v>809</v>
      </c>
      <c r="F862" s="1" t="s">
        <v>809</v>
      </c>
      <c r="G862" s="1" t="s">
        <v>809</v>
      </c>
      <c r="H862" s="1" t="s">
        <v>809</v>
      </c>
      <c r="I862" s="1" t="s">
        <v>809</v>
      </c>
      <c r="J862" s="1" t="s">
        <v>809</v>
      </c>
      <c r="K862" s="1">
        <v>1.0</v>
      </c>
      <c r="L862" s="1">
        <v>80000.0</v>
      </c>
    </row>
    <row r="863">
      <c r="A863" s="1">
        <v>307.0</v>
      </c>
      <c r="B863" s="1" t="s">
        <v>809</v>
      </c>
      <c r="C863" s="1" t="s">
        <v>809</v>
      </c>
      <c r="D863" s="1" t="s">
        <v>976</v>
      </c>
      <c r="E863" s="1" t="s">
        <v>809</v>
      </c>
      <c r="F863" s="1" t="s">
        <v>809</v>
      </c>
      <c r="G863" s="1" t="s">
        <v>809</v>
      </c>
      <c r="H863" s="1" t="s">
        <v>809</v>
      </c>
      <c r="I863" s="1" t="s">
        <v>809</v>
      </c>
      <c r="J863" s="1" t="s">
        <v>809</v>
      </c>
      <c r="K863" s="1">
        <v>1.0</v>
      </c>
      <c r="L863" s="1">
        <v>136800.0</v>
      </c>
    </row>
    <row r="864">
      <c r="A864" s="1">
        <v>308.0</v>
      </c>
      <c r="B864" s="1" t="s">
        <v>809</v>
      </c>
      <c r="C864" s="1" t="s">
        <v>809</v>
      </c>
      <c r="D864" s="1" t="s">
        <v>977</v>
      </c>
      <c r="E864" s="1" t="s">
        <v>809</v>
      </c>
      <c r="F864" s="1" t="s">
        <v>809</v>
      </c>
      <c r="G864" s="1" t="s">
        <v>809</v>
      </c>
      <c r="H864" s="1" t="s">
        <v>809</v>
      </c>
      <c r="I864" s="1" t="s">
        <v>809</v>
      </c>
      <c r="J864" s="1" t="s">
        <v>809</v>
      </c>
      <c r="K864" s="1">
        <v>1.0</v>
      </c>
      <c r="L864" s="1">
        <v>136800.0</v>
      </c>
    </row>
    <row r="865">
      <c r="A865" s="1">
        <v>309.0</v>
      </c>
      <c r="B865" s="1" t="s">
        <v>806</v>
      </c>
      <c r="C865" s="1" t="s">
        <v>807</v>
      </c>
      <c r="D865" s="1" t="s">
        <v>823</v>
      </c>
      <c r="E865" s="1">
        <v>-0.5</v>
      </c>
      <c r="F865" s="1">
        <v>-0.25</v>
      </c>
      <c r="G865" s="1">
        <v>10.0</v>
      </c>
      <c r="H865" s="1">
        <v>1.0</v>
      </c>
      <c r="I865" s="1" t="s">
        <v>809</v>
      </c>
      <c r="J865" s="1" t="s">
        <v>809</v>
      </c>
      <c r="K865" s="1">
        <v>1.0</v>
      </c>
      <c r="L865" s="1">
        <v>318500.0</v>
      </c>
    </row>
    <row r="866">
      <c r="A866" s="1">
        <v>309.0</v>
      </c>
      <c r="B866" s="1" t="s">
        <v>806</v>
      </c>
      <c r="C866" s="1" t="s">
        <v>810</v>
      </c>
      <c r="D866" s="1" t="s">
        <v>823</v>
      </c>
      <c r="E866" s="1">
        <v>-0.25</v>
      </c>
      <c r="F866" s="1">
        <v>0.0</v>
      </c>
      <c r="G866" s="1">
        <v>100.0</v>
      </c>
      <c r="H866" s="1">
        <v>1.0</v>
      </c>
      <c r="I866" s="1" t="s">
        <v>809</v>
      </c>
      <c r="J866" s="1" t="s">
        <v>809</v>
      </c>
      <c r="K866" s="1">
        <v>1.0</v>
      </c>
      <c r="L866" s="1">
        <v>318500.0</v>
      </c>
    </row>
    <row r="867">
      <c r="A867" s="1">
        <v>309.0</v>
      </c>
      <c r="B867" s="1" t="s">
        <v>806</v>
      </c>
      <c r="C867" s="1" t="s">
        <v>809</v>
      </c>
      <c r="D867" s="1" t="s">
        <v>915</v>
      </c>
      <c r="E867" s="1" t="s">
        <v>809</v>
      </c>
      <c r="F867" s="1" t="s">
        <v>809</v>
      </c>
      <c r="G867" s="1" t="s">
        <v>809</v>
      </c>
      <c r="H867" s="1" t="s">
        <v>809</v>
      </c>
      <c r="I867" s="1" t="s">
        <v>809</v>
      </c>
      <c r="J867" s="1" t="s">
        <v>809</v>
      </c>
      <c r="K867" s="1">
        <v>1.0</v>
      </c>
      <c r="L867" s="1">
        <v>120000.0</v>
      </c>
    </row>
    <row r="868">
      <c r="A868" s="1">
        <v>310.0</v>
      </c>
      <c r="B868" s="1" t="s">
        <v>806</v>
      </c>
      <c r="C868" s="1" t="s">
        <v>807</v>
      </c>
      <c r="D868" s="1" t="s">
        <v>978</v>
      </c>
      <c r="E868" s="1">
        <v>-0.5</v>
      </c>
      <c r="F868" s="1">
        <v>-0.25</v>
      </c>
      <c r="G868" s="1">
        <v>10.0</v>
      </c>
      <c r="H868" s="1">
        <v>1.0</v>
      </c>
      <c r="I868" s="1" t="s">
        <v>809</v>
      </c>
      <c r="J868" s="1" t="s">
        <v>809</v>
      </c>
      <c r="K868" s="1">
        <v>1.0</v>
      </c>
      <c r="L868" s="1">
        <v>0.0</v>
      </c>
    </row>
    <row r="869">
      <c r="A869" s="1">
        <v>310.0</v>
      </c>
      <c r="B869" s="1" t="s">
        <v>806</v>
      </c>
      <c r="C869" s="1" t="s">
        <v>810</v>
      </c>
      <c r="D869" s="1" t="s">
        <v>978</v>
      </c>
      <c r="E869" s="1">
        <v>-0.25</v>
      </c>
      <c r="F869" s="1">
        <v>0.0</v>
      </c>
      <c r="G869" s="1">
        <v>100.0</v>
      </c>
      <c r="H869" s="1">
        <v>1.0</v>
      </c>
      <c r="I869" s="1" t="s">
        <v>809</v>
      </c>
      <c r="J869" s="1" t="s">
        <v>809</v>
      </c>
      <c r="K869" s="1">
        <v>1.0</v>
      </c>
      <c r="L869" s="1">
        <v>0.0</v>
      </c>
    </row>
    <row r="870">
      <c r="A870" s="1">
        <v>310.0</v>
      </c>
      <c r="B870" s="1" t="s">
        <v>806</v>
      </c>
      <c r="C870" s="1" t="s">
        <v>809</v>
      </c>
      <c r="D870" s="1" t="s">
        <v>929</v>
      </c>
      <c r="E870" s="1" t="s">
        <v>809</v>
      </c>
      <c r="F870" s="1" t="s">
        <v>809</v>
      </c>
      <c r="G870" s="1" t="s">
        <v>809</v>
      </c>
      <c r="H870" s="1" t="s">
        <v>809</v>
      </c>
      <c r="I870" s="1" t="s">
        <v>809</v>
      </c>
      <c r="J870" s="1" t="s">
        <v>809</v>
      </c>
      <c r="K870" s="1">
        <v>1.0</v>
      </c>
      <c r="L870" s="1">
        <v>0.0</v>
      </c>
    </row>
    <row r="871">
      <c r="A871" s="1">
        <v>311.0</v>
      </c>
      <c r="B871" s="1" t="s">
        <v>806</v>
      </c>
      <c r="C871" s="1" t="s">
        <v>807</v>
      </c>
      <c r="D871" s="1" t="s">
        <v>826</v>
      </c>
      <c r="E871" s="1">
        <v>0.0</v>
      </c>
      <c r="F871" s="1">
        <v>0.0</v>
      </c>
      <c r="G871" s="1" t="s">
        <v>809</v>
      </c>
      <c r="H871" s="1" t="s">
        <v>809</v>
      </c>
      <c r="I871" s="1" t="s">
        <v>809</v>
      </c>
      <c r="J871" s="1" t="s">
        <v>809</v>
      </c>
      <c r="K871" s="1">
        <v>1.0</v>
      </c>
      <c r="L871" s="1">
        <v>100000.0</v>
      </c>
    </row>
    <row r="872">
      <c r="A872" s="1">
        <v>311.0</v>
      </c>
      <c r="B872" s="1" t="s">
        <v>806</v>
      </c>
      <c r="C872" s="1" t="s">
        <v>810</v>
      </c>
      <c r="D872" s="1" t="s">
        <v>826</v>
      </c>
      <c r="E872" s="1">
        <v>0.0</v>
      </c>
      <c r="F872" s="1">
        <v>0.0</v>
      </c>
      <c r="G872" s="1" t="s">
        <v>809</v>
      </c>
      <c r="H872" s="1" t="s">
        <v>809</v>
      </c>
      <c r="I872" s="1" t="s">
        <v>809</v>
      </c>
      <c r="J872" s="1" t="s">
        <v>809</v>
      </c>
      <c r="K872" s="1">
        <v>1.0</v>
      </c>
      <c r="L872" s="1">
        <v>100000.0</v>
      </c>
    </row>
    <row r="873">
      <c r="A873" s="1">
        <v>311.0</v>
      </c>
      <c r="B873" s="1" t="s">
        <v>806</v>
      </c>
      <c r="C873" s="1" t="s">
        <v>809</v>
      </c>
      <c r="D873" s="1" t="s">
        <v>915</v>
      </c>
      <c r="E873" s="1" t="s">
        <v>809</v>
      </c>
      <c r="F873" s="1" t="s">
        <v>809</v>
      </c>
      <c r="G873" s="1" t="s">
        <v>809</v>
      </c>
      <c r="H873" s="1" t="s">
        <v>809</v>
      </c>
      <c r="I873" s="1" t="s">
        <v>809</v>
      </c>
      <c r="J873" s="1" t="s">
        <v>809</v>
      </c>
      <c r="K873" s="1">
        <v>1.0</v>
      </c>
      <c r="L873" s="1">
        <v>100000.0</v>
      </c>
    </row>
    <row r="874">
      <c r="A874" s="1">
        <v>311.0</v>
      </c>
      <c r="B874" s="1" t="s">
        <v>825</v>
      </c>
      <c r="C874" s="1" t="s">
        <v>807</v>
      </c>
      <c r="D874" s="1" t="s">
        <v>812</v>
      </c>
      <c r="E874" s="1">
        <v>0.0</v>
      </c>
      <c r="F874" s="1">
        <v>0.0</v>
      </c>
      <c r="G874" s="1" t="s">
        <v>809</v>
      </c>
      <c r="H874" s="1" t="s">
        <v>809</v>
      </c>
      <c r="I874" s="1" t="s">
        <v>809</v>
      </c>
      <c r="J874" s="1" t="s">
        <v>809</v>
      </c>
      <c r="K874" s="1">
        <v>1.0</v>
      </c>
      <c r="L874" s="1">
        <v>153000.0</v>
      </c>
    </row>
    <row r="875">
      <c r="A875" s="1">
        <v>311.0</v>
      </c>
      <c r="B875" s="1" t="s">
        <v>825</v>
      </c>
      <c r="C875" s="1" t="s">
        <v>810</v>
      </c>
      <c r="D875" s="1" t="s">
        <v>812</v>
      </c>
      <c r="E875" s="1">
        <v>0.0</v>
      </c>
      <c r="F875" s="1">
        <v>0.0</v>
      </c>
      <c r="G875" s="1" t="s">
        <v>809</v>
      </c>
      <c r="H875" s="1" t="s">
        <v>809</v>
      </c>
      <c r="I875" s="1" t="s">
        <v>809</v>
      </c>
      <c r="J875" s="1" t="s">
        <v>809</v>
      </c>
      <c r="K875" s="1">
        <v>1.0</v>
      </c>
      <c r="L875" s="1">
        <v>0.0</v>
      </c>
    </row>
    <row r="876">
      <c r="A876" s="1">
        <v>311.0</v>
      </c>
      <c r="B876" s="1" t="s">
        <v>825</v>
      </c>
      <c r="C876" s="1" t="s">
        <v>809</v>
      </c>
      <c r="D876" s="1" t="s">
        <v>979</v>
      </c>
      <c r="E876" s="1" t="s">
        <v>809</v>
      </c>
      <c r="F876" s="1" t="s">
        <v>809</v>
      </c>
      <c r="G876" s="1" t="s">
        <v>809</v>
      </c>
      <c r="H876" s="1" t="s">
        <v>809</v>
      </c>
      <c r="I876" s="1" t="s">
        <v>809</v>
      </c>
      <c r="J876" s="1" t="s">
        <v>809</v>
      </c>
      <c r="K876" s="1">
        <v>1.0</v>
      </c>
      <c r="L876" s="1">
        <v>0.0</v>
      </c>
    </row>
    <row r="877">
      <c r="A877" s="1">
        <v>312.0</v>
      </c>
      <c r="B877" s="1" t="s">
        <v>806</v>
      </c>
      <c r="C877" s="1" t="s">
        <v>807</v>
      </c>
      <c r="D877" s="1" t="s">
        <v>812</v>
      </c>
      <c r="E877" s="1">
        <v>0.0</v>
      </c>
      <c r="F877" s="1">
        <v>0.0</v>
      </c>
      <c r="G877" s="1" t="s">
        <v>809</v>
      </c>
      <c r="H877" s="1" t="s">
        <v>809</v>
      </c>
      <c r="I877" s="1" t="s">
        <v>809</v>
      </c>
      <c r="J877" s="1" t="s">
        <v>809</v>
      </c>
      <c r="K877" s="1">
        <v>1.0</v>
      </c>
      <c r="L877" s="1">
        <v>0.0</v>
      </c>
    </row>
    <row r="878">
      <c r="A878" s="1">
        <v>312.0</v>
      </c>
      <c r="B878" s="1" t="s">
        <v>806</v>
      </c>
      <c r="C878" s="1" t="s">
        <v>810</v>
      </c>
      <c r="D878" s="1" t="s">
        <v>812</v>
      </c>
      <c r="E878" s="1">
        <v>0.0</v>
      </c>
      <c r="F878" s="1">
        <v>0.0</v>
      </c>
      <c r="G878" s="1" t="s">
        <v>809</v>
      </c>
      <c r="H878" s="1" t="s">
        <v>809</v>
      </c>
      <c r="I878" s="1" t="s">
        <v>809</v>
      </c>
      <c r="J878" s="1" t="s">
        <v>809</v>
      </c>
      <c r="K878" s="1">
        <v>1.0</v>
      </c>
      <c r="L878" s="1">
        <v>0.0</v>
      </c>
    </row>
    <row r="879">
      <c r="A879" s="1">
        <v>312.0</v>
      </c>
      <c r="B879" s="1" t="s">
        <v>806</v>
      </c>
      <c r="C879" s="1" t="s">
        <v>809</v>
      </c>
      <c r="D879" s="1" t="s">
        <v>980</v>
      </c>
      <c r="E879" s="1" t="s">
        <v>809</v>
      </c>
      <c r="F879" s="1" t="s">
        <v>809</v>
      </c>
      <c r="G879" s="1" t="s">
        <v>809</v>
      </c>
      <c r="H879" s="1" t="s">
        <v>809</v>
      </c>
      <c r="I879" s="1" t="s">
        <v>809</v>
      </c>
      <c r="J879" s="1" t="s">
        <v>809</v>
      </c>
      <c r="K879" s="1">
        <v>1.0</v>
      </c>
      <c r="L879" s="1">
        <v>223200.0</v>
      </c>
    </row>
    <row r="880">
      <c r="A880" s="1">
        <v>313.0</v>
      </c>
      <c r="B880" s="1" t="s">
        <v>806</v>
      </c>
      <c r="C880" s="1" t="s">
        <v>807</v>
      </c>
      <c r="D880" s="1" t="s">
        <v>812</v>
      </c>
      <c r="E880" s="1">
        <v>0.75</v>
      </c>
      <c r="F880" s="1">
        <v>0.0</v>
      </c>
      <c r="G880" s="1" t="s">
        <v>809</v>
      </c>
      <c r="H880" s="1" t="s">
        <v>809</v>
      </c>
      <c r="I880" s="1" t="s">
        <v>809</v>
      </c>
      <c r="J880" s="1" t="s">
        <v>809</v>
      </c>
      <c r="K880" s="1">
        <v>1.0</v>
      </c>
      <c r="L880" s="1">
        <v>63000.0</v>
      </c>
    </row>
    <row r="881">
      <c r="A881" s="1">
        <v>313.0</v>
      </c>
      <c r="B881" s="1" t="s">
        <v>806</v>
      </c>
      <c r="C881" s="1" t="s">
        <v>810</v>
      </c>
      <c r="D881" s="1" t="s">
        <v>812</v>
      </c>
      <c r="E881" s="1">
        <v>1.0</v>
      </c>
      <c r="F881" s="1">
        <v>0.0</v>
      </c>
      <c r="G881" s="1" t="s">
        <v>809</v>
      </c>
      <c r="H881" s="1" t="s">
        <v>809</v>
      </c>
      <c r="I881" s="1" t="s">
        <v>809</v>
      </c>
      <c r="J881" s="1" t="s">
        <v>809</v>
      </c>
      <c r="K881" s="1">
        <v>1.0</v>
      </c>
      <c r="L881" s="1">
        <v>0.0</v>
      </c>
    </row>
    <row r="882">
      <c r="A882" s="1">
        <v>314.0</v>
      </c>
      <c r="B882" s="1" t="s">
        <v>806</v>
      </c>
      <c r="C882" s="1" t="s">
        <v>807</v>
      </c>
      <c r="D882" s="1" t="s">
        <v>808</v>
      </c>
      <c r="E882" s="1">
        <v>2.75</v>
      </c>
      <c r="F882" s="1">
        <v>-2.25</v>
      </c>
      <c r="G882" s="1">
        <v>3.0</v>
      </c>
      <c r="H882" s="1" t="s">
        <v>809</v>
      </c>
      <c r="I882" s="1" t="s">
        <v>809</v>
      </c>
      <c r="J882" s="1" t="s">
        <v>809</v>
      </c>
      <c r="K882" s="1">
        <v>1.0</v>
      </c>
      <c r="L882" s="1">
        <v>0.0</v>
      </c>
    </row>
    <row r="883">
      <c r="A883" s="1">
        <v>314.0</v>
      </c>
      <c r="B883" s="1" t="s">
        <v>806</v>
      </c>
      <c r="C883" s="1" t="s">
        <v>810</v>
      </c>
      <c r="D883" s="1" t="s">
        <v>808</v>
      </c>
      <c r="E883" s="1">
        <v>3.0</v>
      </c>
      <c r="F883" s="1">
        <v>-2.0</v>
      </c>
      <c r="G883" s="1">
        <v>10.0</v>
      </c>
      <c r="H883" s="1" t="s">
        <v>809</v>
      </c>
      <c r="I883" s="1" t="s">
        <v>809</v>
      </c>
      <c r="J883" s="1" t="s">
        <v>809</v>
      </c>
      <c r="K883" s="1">
        <v>1.0</v>
      </c>
      <c r="L883" s="1">
        <v>0.0</v>
      </c>
    </row>
    <row r="884">
      <c r="A884" s="1">
        <v>314.0</v>
      </c>
      <c r="B884" s="1" t="s">
        <v>825</v>
      </c>
      <c r="C884" s="1" t="s">
        <v>807</v>
      </c>
      <c r="D884" s="1" t="s">
        <v>808</v>
      </c>
      <c r="E884" s="1">
        <v>5.0</v>
      </c>
      <c r="F884" s="1">
        <v>0.0</v>
      </c>
      <c r="G884" s="1" t="s">
        <v>809</v>
      </c>
      <c r="H884" s="1" t="s">
        <v>809</v>
      </c>
      <c r="I884" s="1" t="s">
        <v>809</v>
      </c>
      <c r="J884" s="1" t="s">
        <v>809</v>
      </c>
      <c r="K884" s="1">
        <v>1.0</v>
      </c>
      <c r="L884" s="1">
        <v>0.0</v>
      </c>
    </row>
    <row r="885">
      <c r="A885" s="1">
        <v>314.0</v>
      </c>
      <c r="B885" s="1" t="s">
        <v>825</v>
      </c>
      <c r="C885" s="1" t="s">
        <v>810</v>
      </c>
      <c r="D885" s="1" t="s">
        <v>808</v>
      </c>
      <c r="E885" s="1">
        <v>5.0</v>
      </c>
      <c r="F885" s="1">
        <v>0.0</v>
      </c>
      <c r="G885" s="1" t="s">
        <v>809</v>
      </c>
      <c r="H885" s="1" t="s">
        <v>809</v>
      </c>
      <c r="I885" s="1" t="s">
        <v>809</v>
      </c>
      <c r="J885" s="1" t="s">
        <v>809</v>
      </c>
      <c r="K885" s="1">
        <v>1.0</v>
      </c>
      <c r="L885" s="1">
        <v>0.0</v>
      </c>
    </row>
    <row r="886">
      <c r="A886" s="1">
        <v>315.0</v>
      </c>
      <c r="B886" s="1" t="s">
        <v>806</v>
      </c>
      <c r="C886" s="1" t="s">
        <v>807</v>
      </c>
      <c r="D886" s="1" t="s">
        <v>812</v>
      </c>
      <c r="E886" s="1">
        <v>-2.0</v>
      </c>
      <c r="F886" s="1">
        <v>0.0</v>
      </c>
      <c r="G886" s="1" t="s">
        <v>809</v>
      </c>
      <c r="H886" s="1" t="s">
        <v>809</v>
      </c>
      <c r="I886" s="1" t="s">
        <v>809</v>
      </c>
      <c r="J886" s="1" t="s">
        <v>809</v>
      </c>
      <c r="K886" s="1">
        <v>1.0</v>
      </c>
      <c r="L886" s="1">
        <v>35000.0</v>
      </c>
    </row>
    <row r="887">
      <c r="A887" s="1">
        <v>315.0</v>
      </c>
      <c r="B887" s="1" t="s">
        <v>806</v>
      </c>
      <c r="C887" s="1" t="s">
        <v>810</v>
      </c>
      <c r="D887" s="1" t="s">
        <v>812</v>
      </c>
      <c r="E887" s="1">
        <v>-1.75</v>
      </c>
      <c r="F887" s="1">
        <v>0.0</v>
      </c>
      <c r="G887" s="1" t="s">
        <v>809</v>
      </c>
      <c r="H887" s="1" t="s">
        <v>809</v>
      </c>
      <c r="I887" s="1" t="s">
        <v>809</v>
      </c>
      <c r="J887" s="1" t="s">
        <v>809</v>
      </c>
      <c r="K887" s="1">
        <v>1.0</v>
      </c>
      <c r="L887" s="1">
        <v>0.0</v>
      </c>
    </row>
    <row r="888">
      <c r="A888" s="1">
        <v>315.0</v>
      </c>
      <c r="B888" s="1" t="s">
        <v>806</v>
      </c>
      <c r="C888" s="1" t="s">
        <v>809</v>
      </c>
      <c r="D888" s="1" t="s">
        <v>981</v>
      </c>
      <c r="E888" s="1" t="s">
        <v>809</v>
      </c>
      <c r="F888" s="1" t="s">
        <v>809</v>
      </c>
      <c r="G888" s="1" t="s">
        <v>809</v>
      </c>
      <c r="H888" s="1" t="s">
        <v>809</v>
      </c>
      <c r="I888" s="1" t="s">
        <v>809</v>
      </c>
      <c r="J888" s="1" t="s">
        <v>809</v>
      </c>
      <c r="K888" s="1">
        <v>1.0</v>
      </c>
      <c r="L888" s="1">
        <v>120000.0</v>
      </c>
    </row>
    <row r="889">
      <c r="A889" s="1">
        <v>316.0</v>
      </c>
      <c r="B889" s="1" t="s">
        <v>809</v>
      </c>
      <c r="C889" s="1">
        <v>2.0</v>
      </c>
      <c r="D889" s="1" t="s">
        <v>982</v>
      </c>
      <c r="E889" s="1">
        <v>0.0</v>
      </c>
      <c r="F889" s="1">
        <v>0.0</v>
      </c>
      <c r="G889" s="1" t="s">
        <v>809</v>
      </c>
      <c r="H889" s="1" t="s">
        <v>809</v>
      </c>
      <c r="I889" s="1" t="s">
        <v>809</v>
      </c>
      <c r="J889" s="1" t="s">
        <v>809</v>
      </c>
      <c r="K889" s="1">
        <v>1.0</v>
      </c>
      <c r="L889" s="1">
        <v>73600.0</v>
      </c>
    </row>
    <row r="890">
      <c r="A890" s="1">
        <v>317.0</v>
      </c>
      <c r="B890" s="1" t="s">
        <v>806</v>
      </c>
      <c r="C890" s="1" t="s">
        <v>807</v>
      </c>
      <c r="D890" s="1" t="s">
        <v>836</v>
      </c>
      <c r="E890" s="1">
        <v>-1.75</v>
      </c>
      <c r="F890" s="1">
        <v>0.0</v>
      </c>
      <c r="G890" s="1" t="s">
        <v>809</v>
      </c>
      <c r="H890" s="1" t="s">
        <v>809</v>
      </c>
      <c r="I890" s="1" t="s">
        <v>809</v>
      </c>
      <c r="J890" s="1" t="s">
        <v>809</v>
      </c>
      <c r="K890" s="1">
        <v>1.0</v>
      </c>
      <c r="L890" s="1">
        <v>47500.0</v>
      </c>
    </row>
    <row r="891">
      <c r="A891" s="1">
        <v>317.0</v>
      </c>
      <c r="B891" s="1" t="s">
        <v>806</v>
      </c>
      <c r="C891" s="1" t="s">
        <v>810</v>
      </c>
      <c r="D891" s="1" t="s">
        <v>836</v>
      </c>
      <c r="E891" s="1">
        <v>-1.0</v>
      </c>
      <c r="F891" s="1">
        <v>-0.25</v>
      </c>
      <c r="G891" s="1">
        <v>30.0</v>
      </c>
      <c r="H891" s="1" t="s">
        <v>809</v>
      </c>
      <c r="I891" s="1" t="s">
        <v>809</v>
      </c>
      <c r="J891" s="1" t="s">
        <v>809</v>
      </c>
      <c r="K891" s="1">
        <v>1.0</v>
      </c>
      <c r="L891" s="1">
        <v>47500.0</v>
      </c>
    </row>
    <row r="892">
      <c r="A892" s="1">
        <v>317.0</v>
      </c>
      <c r="B892" s="1" t="s">
        <v>806</v>
      </c>
      <c r="C892" s="1" t="s">
        <v>809</v>
      </c>
      <c r="D892" s="1" t="s">
        <v>915</v>
      </c>
      <c r="E892" s="1" t="s">
        <v>809</v>
      </c>
      <c r="F892" s="1" t="s">
        <v>809</v>
      </c>
      <c r="G892" s="1" t="s">
        <v>809</v>
      </c>
      <c r="H892" s="1" t="s">
        <v>809</v>
      </c>
      <c r="I892" s="1" t="s">
        <v>809</v>
      </c>
      <c r="J892" s="1" t="s">
        <v>809</v>
      </c>
      <c r="K892" s="1">
        <v>1.0</v>
      </c>
      <c r="L892" s="1">
        <v>120000.0</v>
      </c>
    </row>
    <row r="893">
      <c r="A893" s="1">
        <v>318.0</v>
      </c>
      <c r="B893" s="1" t="s">
        <v>825</v>
      </c>
      <c r="C893" s="1" t="s">
        <v>807</v>
      </c>
      <c r="D893" s="1" t="s">
        <v>812</v>
      </c>
      <c r="E893" s="1">
        <v>1.25</v>
      </c>
      <c r="F893" s="1">
        <v>0.0</v>
      </c>
      <c r="G893" s="1" t="s">
        <v>809</v>
      </c>
      <c r="H893" s="1" t="s">
        <v>809</v>
      </c>
      <c r="I893" s="1" t="s">
        <v>809</v>
      </c>
      <c r="J893" s="1" t="s">
        <v>809</v>
      </c>
      <c r="K893" s="1">
        <v>1.0</v>
      </c>
      <c r="L893" s="1">
        <v>15000.0</v>
      </c>
    </row>
    <row r="894">
      <c r="A894" s="1">
        <v>318.0</v>
      </c>
      <c r="B894" s="1" t="s">
        <v>825</v>
      </c>
      <c r="C894" s="1" t="s">
        <v>810</v>
      </c>
      <c r="D894" s="1" t="s">
        <v>812</v>
      </c>
      <c r="E894" s="1">
        <v>1.25</v>
      </c>
      <c r="F894" s="1">
        <v>0.0</v>
      </c>
      <c r="G894" s="1" t="s">
        <v>809</v>
      </c>
      <c r="H894" s="1" t="s">
        <v>809</v>
      </c>
      <c r="I894" s="1" t="s">
        <v>809</v>
      </c>
      <c r="J894" s="1" t="s">
        <v>809</v>
      </c>
      <c r="K894" s="1">
        <v>1.0</v>
      </c>
      <c r="L894" s="1">
        <v>15000.0</v>
      </c>
    </row>
    <row r="895">
      <c r="A895" s="1">
        <v>318.0</v>
      </c>
      <c r="B895" s="1" t="s">
        <v>825</v>
      </c>
      <c r="C895" s="1" t="s">
        <v>809</v>
      </c>
      <c r="D895" s="1" t="s">
        <v>983</v>
      </c>
      <c r="E895" s="1" t="s">
        <v>809</v>
      </c>
      <c r="F895" s="1" t="s">
        <v>809</v>
      </c>
      <c r="G895" s="1" t="s">
        <v>809</v>
      </c>
      <c r="H895" s="1" t="s">
        <v>809</v>
      </c>
      <c r="I895" s="1" t="s">
        <v>809</v>
      </c>
      <c r="J895" s="1" t="s">
        <v>809</v>
      </c>
      <c r="K895" s="1">
        <v>1.0</v>
      </c>
      <c r="L895" s="1">
        <v>225000.0</v>
      </c>
    </row>
    <row r="896">
      <c r="A896" s="1">
        <v>319.0</v>
      </c>
      <c r="B896" s="1" t="s">
        <v>809</v>
      </c>
      <c r="C896" s="1" t="s">
        <v>809</v>
      </c>
      <c r="D896" s="1" t="s">
        <v>984</v>
      </c>
      <c r="E896" s="1" t="s">
        <v>809</v>
      </c>
      <c r="F896" s="1" t="s">
        <v>809</v>
      </c>
      <c r="G896" s="1" t="s">
        <v>809</v>
      </c>
      <c r="H896" s="1" t="s">
        <v>809</v>
      </c>
      <c r="I896" s="1" t="s">
        <v>809</v>
      </c>
      <c r="J896" s="1" t="s">
        <v>809</v>
      </c>
      <c r="K896" s="1">
        <v>1.0</v>
      </c>
      <c r="L896" s="1">
        <v>239000.0</v>
      </c>
    </row>
    <row r="897">
      <c r="A897" s="1">
        <v>320.0</v>
      </c>
      <c r="B897" s="1" t="s">
        <v>806</v>
      </c>
      <c r="C897" s="1" t="s">
        <v>807</v>
      </c>
      <c r="D897" s="1" t="s">
        <v>836</v>
      </c>
      <c r="E897" s="1">
        <v>0.0</v>
      </c>
      <c r="F897" s="1">
        <v>-1.0</v>
      </c>
      <c r="G897" s="1">
        <v>170.0</v>
      </c>
      <c r="H897" s="1" t="s">
        <v>809</v>
      </c>
      <c r="I897" s="1" t="s">
        <v>809</v>
      </c>
      <c r="J897" s="1" t="s">
        <v>809</v>
      </c>
      <c r="K897" s="1">
        <v>1.0</v>
      </c>
      <c r="L897" s="1">
        <v>45500.0</v>
      </c>
    </row>
    <row r="898">
      <c r="A898" s="1">
        <v>320.0</v>
      </c>
      <c r="B898" s="1" t="s">
        <v>806</v>
      </c>
      <c r="C898" s="1" t="s">
        <v>810</v>
      </c>
      <c r="D898" s="1" t="s">
        <v>836</v>
      </c>
      <c r="E898" s="1">
        <v>0.0</v>
      </c>
      <c r="F898" s="1">
        <v>-1.0</v>
      </c>
      <c r="G898" s="1">
        <v>0.0</v>
      </c>
      <c r="H898" s="1" t="s">
        <v>809</v>
      </c>
      <c r="I898" s="1" t="s">
        <v>809</v>
      </c>
      <c r="J898" s="1" t="s">
        <v>809</v>
      </c>
      <c r="K898" s="1">
        <v>1.0</v>
      </c>
      <c r="L898" s="1">
        <v>45500.0</v>
      </c>
    </row>
    <row r="899">
      <c r="A899" s="1">
        <v>320.0</v>
      </c>
      <c r="B899" s="1" t="s">
        <v>806</v>
      </c>
      <c r="C899" s="1" t="s">
        <v>809</v>
      </c>
      <c r="D899" s="1" t="s">
        <v>929</v>
      </c>
      <c r="E899" s="1" t="s">
        <v>809</v>
      </c>
      <c r="F899" s="1" t="s">
        <v>809</v>
      </c>
      <c r="G899" s="1" t="s">
        <v>809</v>
      </c>
      <c r="H899" s="1" t="s">
        <v>809</v>
      </c>
      <c r="I899" s="1" t="s">
        <v>809</v>
      </c>
      <c r="J899" s="1" t="s">
        <v>809</v>
      </c>
      <c r="K899" s="1">
        <v>1.0</v>
      </c>
      <c r="L899" s="1">
        <v>94000.0</v>
      </c>
    </row>
    <row r="900">
      <c r="A900" s="1">
        <v>321.0</v>
      </c>
      <c r="B900" s="1" t="s">
        <v>806</v>
      </c>
      <c r="C900" s="1" t="s">
        <v>807</v>
      </c>
      <c r="D900" s="1" t="s">
        <v>808</v>
      </c>
      <c r="E900" s="1">
        <v>0.0</v>
      </c>
      <c r="F900" s="1">
        <v>0.0</v>
      </c>
      <c r="G900" s="1" t="s">
        <v>809</v>
      </c>
      <c r="H900" s="1" t="s">
        <v>809</v>
      </c>
      <c r="I900" s="1" t="s">
        <v>809</v>
      </c>
      <c r="J900" s="1" t="s">
        <v>809</v>
      </c>
      <c r="K900" s="1">
        <v>1.0</v>
      </c>
      <c r="L900" s="1">
        <v>9722.9</v>
      </c>
    </row>
    <row r="901">
      <c r="A901" s="1">
        <v>321.0</v>
      </c>
      <c r="B901" s="1" t="s">
        <v>806</v>
      </c>
      <c r="C901" s="1" t="s">
        <v>810</v>
      </c>
      <c r="D901" s="1" t="s">
        <v>808</v>
      </c>
      <c r="E901" s="1">
        <v>-0.25</v>
      </c>
      <c r="F901" s="1">
        <v>-0.5</v>
      </c>
      <c r="G901" s="1">
        <v>175.0</v>
      </c>
      <c r="H901" s="1" t="s">
        <v>809</v>
      </c>
      <c r="I901" s="1" t="s">
        <v>809</v>
      </c>
      <c r="J901" s="1" t="s">
        <v>809</v>
      </c>
      <c r="K901" s="1">
        <v>1.0</v>
      </c>
      <c r="L901" s="1">
        <v>9722.9</v>
      </c>
    </row>
    <row r="902">
      <c r="A902" s="1">
        <v>321.0</v>
      </c>
      <c r="B902" s="1" t="s">
        <v>806</v>
      </c>
      <c r="C902" s="1" t="s">
        <v>809</v>
      </c>
      <c r="D902" s="1" t="s">
        <v>910</v>
      </c>
      <c r="E902" s="1" t="s">
        <v>809</v>
      </c>
      <c r="F902" s="1" t="s">
        <v>809</v>
      </c>
      <c r="G902" s="1" t="s">
        <v>809</v>
      </c>
      <c r="H902" s="1" t="s">
        <v>809</v>
      </c>
      <c r="I902" s="1" t="s">
        <v>809</v>
      </c>
      <c r="J902" s="1" t="s">
        <v>809</v>
      </c>
      <c r="K902" s="1">
        <v>1.0</v>
      </c>
      <c r="L902" s="1">
        <v>80000.0</v>
      </c>
    </row>
    <row r="903">
      <c r="A903" s="1">
        <v>321.0</v>
      </c>
      <c r="B903" s="1" t="s">
        <v>825</v>
      </c>
      <c r="C903" s="1" t="s">
        <v>807</v>
      </c>
      <c r="D903" s="1" t="s">
        <v>812</v>
      </c>
      <c r="E903" s="1">
        <v>0.0</v>
      </c>
      <c r="F903" s="1">
        <v>0.0</v>
      </c>
      <c r="G903" s="1" t="s">
        <v>809</v>
      </c>
      <c r="H903" s="1" t="s">
        <v>809</v>
      </c>
      <c r="I903" s="1" t="s">
        <v>809</v>
      </c>
      <c r="J903" s="1" t="s">
        <v>809</v>
      </c>
      <c r="K903" s="1">
        <v>1.0</v>
      </c>
      <c r="L903" s="1">
        <v>20000.0</v>
      </c>
    </row>
    <row r="904">
      <c r="A904" s="1">
        <v>321.0</v>
      </c>
      <c r="B904" s="1" t="s">
        <v>825</v>
      </c>
      <c r="C904" s="1" t="s">
        <v>810</v>
      </c>
      <c r="D904" s="1" t="s">
        <v>812</v>
      </c>
      <c r="E904" s="1">
        <v>-0.25</v>
      </c>
      <c r="F904" s="1">
        <v>-0.5</v>
      </c>
      <c r="G904" s="1">
        <v>175.0</v>
      </c>
      <c r="H904" s="1" t="s">
        <v>809</v>
      </c>
      <c r="I904" s="1" t="s">
        <v>809</v>
      </c>
      <c r="J904" s="1" t="s">
        <v>809</v>
      </c>
      <c r="K904" s="1">
        <v>1.0</v>
      </c>
      <c r="L904" s="1">
        <v>20000.0</v>
      </c>
    </row>
    <row r="905">
      <c r="A905" s="1">
        <v>321.0</v>
      </c>
      <c r="B905" s="1" t="s">
        <v>825</v>
      </c>
      <c r="C905" s="1" t="s">
        <v>809</v>
      </c>
      <c r="D905" s="1" t="s">
        <v>929</v>
      </c>
      <c r="E905" s="1" t="s">
        <v>809</v>
      </c>
      <c r="F905" s="1" t="s">
        <v>809</v>
      </c>
      <c r="G905" s="1" t="s">
        <v>809</v>
      </c>
      <c r="H905" s="1" t="s">
        <v>809</v>
      </c>
      <c r="I905" s="1" t="s">
        <v>809</v>
      </c>
      <c r="J905" s="1" t="s">
        <v>809</v>
      </c>
      <c r="K905" s="1">
        <v>1.0</v>
      </c>
      <c r="L905" s="1">
        <v>80000.0</v>
      </c>
    </row>
    <row r="906">
      <c r="A906" s="1">
        <v>322.0</v>
      </c>
      <c r="B906" s="1" t="s">
        <v>806</v>
      </c>
      <c r="C906" s="1" t="s">
        <v>807</v>
      </c>
      <c r="D906" s="1" t="s">
        <v>836</v>
      </c>
      <c r="E906" s="1">
        <v>0.75</v>
      </c>
      <c r="F906" s="1">
        <v>0.0</v>
      </c>
      <c r="G906" s="1" t="s">
        <v>809</v>
      </c>
      <c r="H906" s="1" t="s">
        <v>809</v>
      </c>
      <c r="I906" s="1">
        <v>30.0</v>
      </c>
      <c r="J906" s="1" t="s">
        <v>809</v>
      </c>
      <c r="K906" s="1">
        <v>1.0</v>
      </c>
      <c r="L906" s="1">
        <v>55853.0</v>
      </c>
    </row>
    <row r="907">
      <c r="A907" s="1">
        <v>322.0</v>
      </c>
      <c r="B907" s="1" t="s">
        <v>806</v>
      </c>
      <c r="C907" s="1" t="s">
        <v>810</v>
      </c>
      <c r="D907" s="1" t="s">
        <v>836</v>
      </c>
      <c r="E907" s="1">
        <v>1.0</v>
      </c>
      <c r="F907" s="1">
        <v>0.0</v>
      </c>
      <c r="G907" s="1" t="s">
        <v>809</v>
      </c>
      <c r="H907" s="1" t="s">
        <v>809</v>
      </c>
      <c r="I907" s="1">
        <v>30.0</v>
      </c>
      <c r="J907" s="1" t="s">
        <v>809</v>
      </c>
      <c r="K907" s="1">
        <v>1.0</v>
      </c>
      <c r="L907" s="1">
        <v>55853.0</v>
      </c>
    </row>
    <row r="908">
      <c r="A908" s="1">
        <v>322.0</v>
      </c>
      <c r="B908" s="1" t="s">
        <v>806</v>
      </c>
      <c r="C908" s="1" t="s">
        <v>809</v>
      </c>
      <c r="D908" s="1" t="s">
        <v>915</v>
      </c>
      <c r="E908" s="1" t="s">
        <v>809</v>
      </c>
      <c r="F908" s="1" t="s">
        <v>809</v>
      </c>
      <c r="G908" s="1" t="s">
        <v>809</v>
      </c>
      <c r="H908" s="1" t="s">
        <v>809</v>
      </c>
      <c r="I908" s="1" t="s">
        <v>809</v>
      </c>
      <c r="J908" s="1" t="s">
        <v>809</v>
      </c>
      <c r="K908" s="1">
        <v>1.0</v>
      </c>
      <c r="L908" s="1">
        <v>116000.0</v>
      </c>
    </row>
    <row r="909">
      <c r="A909" s="1">
        <v>323.0</v>
      </c>
      <c r="B909" s="1" t="s">
        <v>806</v>
      </c>
      <c r="C909" s="1" t="s">
        <v>807</v>
      </c>
      <c r="D909" s="1" t="s">
        <v>812</v>
      </c>
      <c r="E909" s="1">
        <v>0.0</v>
      </c>
      <c r="F909" s="1">
        <v>0.0</v>
      </c>
      <c r="G909" s="1" t="s">
        <v>809</v>
      </c>
      <c r="H909" s="1" t="s">
        <v>809</v>
      </c>
      <c r="I909" s="1" t="s">
        <v>809</v>
      </c>
      <c r="J909" s="1" t="s">
        <v>809</v>
      </c>
      <c r="K909" s="1">
        <v>1.0</v>
      </c>
      <c r="L909" s="1">
        <v>30000.0</v>
      </c>
    </row>
    <row r="910">
      <c r="A910" s="1">
        <v>323.0</v>
      </c>
      <c r="B910" s="1" t="s">
        <v>806</v>
      </c>
      <c r="C910" s="1" t="s">
        <v>810</v>
      </c>
      <c r="D910" s="1" t="s">
        <v>812</v>
      </c>
      <c r="E910" s="1">
        <v>0.0</v>
      </c>
      <c r="F910" s="1">
        <v>0.0</v>
      </c>
      <c r="G910" s="1" t="s">
        <v>809</v>
      </c>
      <c r="H910" s="1" t="s">
        <v>809</v>
      </c>
      <c r="I910" s="1" t="s">
        <v>809</v>
      </c>
      <c r="J910" s="1" t="s">
        <v>809</v>
      </c>
      <c r="K910" s="1">
        <v>1.0</v>
      </c>
      <c r="L910" s="1">
        <v>30000.0</v>
      </c>
    </row>
    <row r="911">
      <c r="A911" s="1">
        <v>323.0</v>
      </c>
      <c r="B911" s="1" t="s">
        <v>806</v>
      </c>
      <c r="C911" s="1" t="s">
        <v>809</v>
      </c>
      <c r="D911" s="1" t="s">
        <v>929</v>
      </c>
      <c r="E911" s="1" t="s">
        <v>809</v>
      </c>
      <c r="F911" s="1" t="s">
        <v>809</v>
      </c>
      <c r="G911" s="1" t="s">
        <v>809</v>
      </c>
      <c r="H911" s="1" t="s">
        <v>809</v>
      </c>
      <c r="I911" s="1" t="s">
        <v>809</v>
      </c>
      <c r="J911" s="1" t="s">
        <v>809</v>
      </c>
      <c r="K911" s="1">
        <v>1.0</v>
      </c>
      <c r="L911" s="1">
        <v>125000.0</v>
      </c>
    </row>
    <row r="912">
      <c r="A912" s="1">
        <v>324.0</v>
      </c>
      <c r="B912" s="1" t="s">
        <v>809</v>
      </c>
      <c r="C912" s="1" t="s">
        <v>809</v>
      </c>
      <c r="D912" s="1" t="s">
        <v>985</v>
      </c>
      <c r="E912" s="1" t="s">
        <v>809</v>
      </c>
      <c r="F912" s="1" t="s">
        <v>809</v>
      </c>
      <c r="G912" s="1" t="s">
        <v>809</v>
      </c>
      <c r="H912" s="1" t="s">
        <v>809</v>
      </c>
      <c r="I912" s="1" t="s">
        <v>809</v>
      </c>
      <c r="J912" s="1" t="s">
        <v>809</v>
      </c>
      <c r="K912" s="1">
        <v>1.0</v>
      </c>
      <c r="L912" s="1">
        <v>212400.0</v>
      </c>
    </row>
    <row r="913">
      <c r="A913" s="1">
        <v>325.0</v>
      </c>
      <c r="B913" s="1" t="s">
        <v>806</v>
      </c>
      <c r="C913" s="1" t="s">
        <v>807</v>
      </c>
      <c r="D913" s="1" t="s">
        <v>812</v>
      </c>
      <c r="E913" s="1">
        <v>0.5</v>
      </c>
      <c r="F913" s="1">
        <v>-0.5</v>
      </c>
      <c r="G913" s="1">
        <v>180.0</v>
      </c>
      <c r="H913" s="1" t="s">
        <v>809</v>
      </c>
      <c r="I913" s="1">
        <v>30.0</v>
      </c>
      <c r="J913" s="1">
        <v>26.0</v>
      </c>
      <c r="K913" s="1">
        <v>1.0</v>
      </c>
      <c r="L913" s="1">
        <v>15000.0</v>
      </c>
    </row>
    <row r="914">
      <c r="A914" s="1">
        <v>325.0</v>
      </c>
      <c r="B914" s="1" t="s">
        <v>806</v>
      </c>
      <c r="C914" s="1" t="s">
        <v>810</v>
      </c>
      <c r="D914" s="1" t="s">
        <v>812</v>
      </c>
      <c r="E914" s="1">
        <v>0.5</v>
      </c>
      <c r="F914" s="1">
        <v>-0.5</v>
      </c>
      <c r="G914" s="1">
        <v>15.0</v>
      </c>
      <c r="H914" s="1" t="s">
        <v>809</v>
      </c>
      <c r="I914" s="1">
        <v>30.0</v>
      </c>
      <c r="J914" s="1">
        <v>26.0</v>
      </c>
      <c r="K914" s="1">
        <v>1.0</v>
      </c>
      <c r="L914" s="1">
        <v>15000.0</v>
      </c>
    </row>
    <row r="915">
      <c r="A915" s="1">
        <v>325.0</v>
      </c>
      <c r="B915" s="1" t="s">
        <v>806</v>
      </c>
      <c r="C915" s="1" t="s">
        <v>809</v>
      </c>
      <c r="D915" s="1" t="s">
        <v>986</v>
      </c>
      <c r="E915" s="1" t="s">
        <v>809</v>
      </c>
      <c r="F915" s="1" t="s">
        <v>809</v>
      </c>
      <c r="G915" s="1" t="s">
        <v>809</v>
      </c>
      <c r="H915" s="1" t="s">
        <v>809</v>
      </c>
      <c r="I915" s="1" t="s">
        <v>809</v>
      </c>
      <c r="J915" s="1" t="s">
        <v>809</v>
      </c>
      <c r="K915" s="1">
        <v>1.0</v>
      </c>
      <c r="L915" s="1">
        <v>158000.0</v>
      </c>
    </row>
    <row r="916">
      <c r="A916" s="1">
        <v>326.0</v>
      </c>
      <c r="B916" s="1" t="s">
        <v>806</v>
      </c>
      <c r="C916" s="1" t="s">
        <v>807</v>
      </c>
      <c r="D916" s="1" t="s">
        <v>812</v>
      </c>
      <c r="E916" s="1">
        <v>-2.0</v>
      </c>
      <c r="F916" s="1">
        <v>-0.75</v>
      </c>
      <c r="G916" s="1">
        <v>1000.0</v>
      </c>
      <c r="H916" s="1" t="s">
        <v>809</v>
      </c>
      <c r="I916" s="1">
        <v>30.0</v>
      </c>
      <c r="J916" s="1" t="s">
        <v>809</v>
      </c>
      <c r="K916" s="1">
        <v>1.0</v>
      </c>
      <c r="L916" s="1">
        <v>30613.0</v>
      </c>
    </row>
    <row r="917">
      <c r="A917" s="1">
        <v>326.0</v>
      </c>
      <c r="B917" s="1" t="s">
        <v>806</v>
      </c>
      <c r="C917" s="1" t="s">
        <v>810</v>
      </c>
      <c r="D917" s="1" t="s">
        <v>812</v>
      </c>
      <c r="E917" s="1">
        <v>-2.5</v>
      </c>
      <c r="F917" s="1">
        <v>0.0</v>
      </c>
      <c r="G917" s="1" t="s">
        <v>809</v>
      </c>
      <c r="H917" s="1" t="s">
        <v>809</v>
      </c>
      <c r="I917" s="1">
        <v>30.0</v>
      </c>
      <c r="J917" s="1" t="s">
        <v>809</v>
      </c>
      <c r="K917" s="1">
        <v>1.0</v>
      </c>
      <c r="L917" s="1">
        <v>30613.0</v>
      </c>
    </row>
    <row r="918">
      <c r="A918" s="1">
        <v>326.0</v>
      </c>
      <c r="B918" s="1" t="s">
        <v>806</v>
      </c>
      <c r="C918" s="1" t="s">
        <v>809</v>
      </c>
      <c r="D918" s="1" t="s">
        <v>929</v>
      </c>
      <c r="E918" s="1" t="s">
        <v>809</v>
      </c>
      <c r="F918" s="1" t="s">
        <v>809</v>
      </c>
      <c r="G918" s="1" t="s">
        <v>809</v>
      </c>
      <c r="H918" s="1" t="s">
        <v>809</v>
      </c>
      <c r="I918" s="1" t="s">
        <v>809</v>
      </c>
      <c r="J918" s="1" t="s">
        <v>809</v>
      </c>
      <c r="K918" s="1">
        <v>1.0</v>
      </c>
      <c r="L918" s="1">
        <v>94000.0</v>
      </c>
    </row>
    <row r="919">
      <c r="A919" s="1">
        <v>327.0</v>
      </c>
      <c r="B919" s="1" t="s">
        <v>806</v>
      </c>
      <c r="C919" s="1" t="s">
        <v>807</v>
      </c>
      <c r="D919" s="1" t="s">
        <v>812</v>
      </c>
      <c r="E919" s="1">
        <v>0.0</v>
      </c>
      <c r="F919" s="1">
        <v>0.0</v>
      </c>
      <c r="G919" s="1" t="s">
        <v>809</v>
      </c>
      <c r="H919" s="1" t="s">
        <v>809</v>
      </c>
      <c r="I919" s="1" t="s">
        <v>809</v>
      </c>
      <c r="J919" s="1" t="s">
        <v>809</v>
      </c>
      <c r="K919" s="1">
        <v>1.0</v>
      </c>
      <c r="L919" s="1">
        <v>20000.0</v>
      </c>
    </row>
    <row r="920">
      <c r="A920" s="1">
        <v>327.0</v>
      </c>
      <c r="B920" s="1" t="s">
        <v>806</v>
      </c>
      <c r="C920" s="1" t="s">
        <v>810</v>
      </c>
      <c r="D920" s="1" t="s">
        <v>812</v>
      </c>
      <c r="E920" s="1">
        <v>0.0</v>
      </c>
      <c r="F920" s="1">
        <v>0.0</v>
      </c>
      <c r="G920" s="1" t="s">
        <v>809</v>
      </c>
      <c r="H920" s="1" t="s">
        <v>809</v>
      </c>
      <c r="I920" s="1" t="s">
        <v>809</v>
      </c>
      <c r="J920" s="1" t="s">
        <v>809</v>
      </c>
      <c r="K920" s="1">
        <v>1.0</v>
      </c>
      <c r="L920" s="1">
        <v>20000.0</v>
      </c>
    </row>
    <row r="921">
      <c r="A921" s="1">
        <v>327.0</v>
      </c>
      <c r="B921" s="1" t="s">
        <v>806</v>
      </c>
      <c r="C921" s="1" t="s">
        <v>809</v>
      </c>
      <c r="D921" s="1" t="s">
        <v>915</v>
      </c>
      <c r="E921" s="1" t="s">
        <v>809</v>
      </c>
      <c r="F921" s="1" t="s">
        <v>809</v>
      </c>
      <c r="G921" s="1" t="s">
        <v>809</v>
      </c>
      <c r="H921" s="1" t="s">
        <v>809</v>
      </c>
      <c r="I921" s="1" t="s">
        <v>809</v>
      </c>
      <c r="J921" s="1" t="s">
        <v>809</v>
      </c>
      <c r="K921" s="1">
        <v>1.0</v>
      </c>
      <c r="L921" s="1">
        <v>100000.0</v>
      </c>
    </row>
    <row r="922">
      <c r="A922" s="1">
        <v>328.0</v>
      </c>
      <c r="B922" s="1" t="s">
        <v>806</v>
      </c>
      <c r="C922" s="1" t="s">
        <v>807</v>
      </c>
      <c r="D922" s="1" t="s">
        <v>836</v>
      </c>
      <c r="E922" s="1">
        <v>0.0</v>
      </c>
      <c r="F922" s="1">
        <v>0.0</v>
      </c>
      <c r="G922" s="1" t="s">
        <v>809</v>
      </c>
      <c r="H922" s="1" t="s">
        <v>809</v>
      </c>
      <c r="I922" s="1" t="s">
        <v>809</v>
      </c>
      <c r="J922" s="1" t="s">
        <v>809</v>
      </c>
      <c r="K922" s="1">
        <v>1.0</v>
      </c>
      <c r="L922" s="1">
        <v>55853.0</v>
      </c>
    </row>
    <row r="923">
      <c r="A923" s="1">
        <v>328.0</v>
      </c>
      <c r="B923" s="1" t="s">
        <v>806</v>
      </c>
      <c r="C923" s="1" t="s">
        <v>810</v>
      </c>
      <c r="D923" s="1" t="s">
        <v>836</v>
      </c>
      <c r="E923" s="1">
        <v>0.0</v>
      </c>
      <c r="F923" s="1">
        <v>0.0</v>
      </c>
      <c r="G923" s="1" t="s">
        <v>809</v>
      </c>
      <c r="H923" s="1" t="s">
        <v>809</v>
      </c>
      <c r="I923" s="1" t="s">
        <v>809</v>
      </c>
      <c r="J923" s="1" t="s">
        <v>809</v>
      </c>
      <c r="K923" s="1">
        <v>1.0</v>
      </c>
      <c r="L923" s="1">
        <v>55853.0</v>
      </c>
    </row>
    <row r="924">
      <c r="A924" s="1">
        <v>328.0</v>
      </c>
      <c r="B924" s="1" t="s">
        <v>806</v>
      </c>
      <c r="C924" s="1" t="s">
        <v>809</v>
      </c>
      <c r="D924" s="1" t="s">
        <v>839</v>
      </c>
      <c r="E924" s="1" t="s">
        <v>809</v>
      </c>
      <c r="F924" s="1" t="s">
        <v>809</v>
      </c>
      <c r="G924" s="1" t="s">
        <v>809</v>
      </c>
      <c r="H924" s="1" t="s">
        <v>809</v>
      </c>
      <c r="I924" s="1" t="s">
        <v>809</v>
      </c>
      <c r="J924" s="1" t="s">
        <v>809</v>
      </c>
      <c r="K924" s="1">
        <v>1.0</v>
      </c>
      <c r="L924" s="1">
        <v>125000.0</v>
      </c>
    </row>
    <row r="925">
      <c r="A925" s="1">
        <v>329.0</v>
      </c>
      <c r="B925" s="1" t="s">
        <v>806</v>
      </c>
      <c r="C925" s="1" t="s">
        <v>807</v>
      </c>
      <c r="D925" s="1" t="s">
        <v>812</v>
      </c>
      <c r="E925" s="1">
        <v>0.0</v>
      </c>
      <c r="F925" s="1">
        <v>0.0</v>
      </c>
      <c r="G925" s="1" t="s">
        <v>809</v>
      </c>
      <c r="H925" s="1" t="s">
        <v>809</v>
      </c>
      <c r="I925" s="1" t="s">
        <v>809</v>
      </c>
      <c r="J925" s="1" t="s">
        <v>809</v>
      </c>
      <c r="K925" s="1">
        <v>1.0</v>
      </c>
      <c r="L925" s="1">
        <v>15000.0</v>
      </c>
    </row>
    <row r="926">
      <c r="A926" s="1">
        <v>329.0</v>
      </c>
      <c r="B926" s="1" t="s">
        <v>806</v>
      </c>
      <c r="C926" s="1" t="s">
        <v>810</v>
      </c>
      <c r="D926" s="1" t="s">
        <v>812</v>
      </c>
      <c r="E926" s="1">
        <v>0.0</v>
      </c>
      <c r="F926" s="1">
        <v>0.0</v>
      </c>
      <c r="G926" s="1" t="s">
        <v>809</v>
      </c>
      <c r="H926" s="1" t="s">
        <v>809</v>
      </c>
      <c r="I926" s="1" t="s">
        <v>809</v>
      </c>
      <c r="J926" s="1" t="s">
        <v>809</v>
      </c>
      <c r="K926" s="1">
        <v>1.0</v>
      </c>
      <c r="L926" s="1">
        <v>15000.0</v>
      </c>
    </row>
    <row r="927">
      <c r="A927" s="1">
        <v>329.0</v>
      </c>
      <c r="B927" s="1" t="s">
        <v>806</v>
      </c>
      <c r="C927" s="1" t="s">
        <v>809</v>
      </c>
      <c r="D927" s="1" t="s">
        <v>929</v>
      </c>
      <c r="E927" s="1" t="s">
        <v>809</v>
      </c>
      <c r="F927" s="1" t="s">
        <v>809</v>
      </c>
      <c r="G927" s="1" t="s">
        <v>809</v>
      </c>
      <c r="H927" s="1" t="s">
        <v>809</v>
      </c>
      <c r="I927" s="1" t="s">
        <v>809</v>
      </c>
      <c r="J927" s="1" t="s">
        <v>809</v>
      </c>
      <c r="K927" s="1">
        <v>1.0</v>
      </c>
      <c r="L927" s="1">
        <v>90000.0</v>
      </c>
    </row>
    <row r="928">
      <c r="A928" s="1">
        <v>330.0</v>
      </c>
      <c r="B928" s="1" t="s">
        <v>806</v>
      </c>
      <c r="C928" s="1" t="s">
        <v>807</v>
      </c>
      <c r="D928" s="1" t="s">
        <v>836</v>
      </c>
      <c r="E928" s="1">
        <v>0.25</v>
      </c>
      <c r="F928" s="1">
        <v>-1.5</v>
      </c>
      <c r="G928" s="1">
        <v>140.0</v>
      </c>
      <c r="H928" s="1" t="s">
        <v>809</v>
      </c>
      <c r="I928" s="1">
        <v>30.0</v>
      </c>
      <c r="J928" s="1">
        <v>27.0</v>
      </c>
      <c r="K928" s="1">
        <v>1.0</v>
      </c>
      <c r="L928" s="1">
        <v>40000.0</v>
      </c>
    </row>
    <row r="929">
      <c r="A929" s="1">
        <v>330.0</v>
      </c>
      <c r="B929" s="1" t="s">
        <v>806</v>
      </c>
      <c r="C929" s="1" t="s">
        <v>810</v>
      </c>
      <c r="D929" s="1" t="s">
        <v>836</v>
      </c>
      <c r="E929" s="1">
        <v>0.25</v>
      </c>
      <c r="F929" s="1">
        <v>-1.5</v>
      </c>
      <c r="G929" s="1">
        <v>30.0</v>
      </c>
      <c r="H929" s="1" t="s">
        <v>809</v>
      </c>
      <c r="I929" s="1">
        <v>30.0</v>
      </c>
      <c r="J929" s="1">
        <v>27.0</v>
      </c>
      <c r="K929" s="1">
        <v>1.0</v>
      </c>
      <c r="L929" s="1">
        <v>40000.0</v>
      </c>
    </row>
    <row r="930">
      <c r="A930" s="1">
        <v>330.0</v>
      </c>
      <c r="B930" s="1" t="s">
        <v>806</v>
      </c>
      <c r="C930" s="1" t="s">
        <v>809</v>
      </c>
      <c r="D930" s="1" t="s">
        <v>915</v>
      </c>
      <c r="E930" s="1" t="s">
        <v>809</v>
      </c>
      <c r="F930" s="1" t="s">
        <v>809</v>
      </c>
      <c r="G930" s="1" t="s">
        <v>809</v>
      </c>
      <c r="H930" s="1" t="s">
        <v>809</v>
      </c>
      <c r="I930" s="1" t="s">
        <v>809</v>
      </c>
      <c r="J930" s="1" t="s">
        <v>809</v>
      </c>
      <c r="K930" s="1">
        <v>1.0</v>
      </c>
      <c r="L930" s="1">
        <v>100000.0</v>
      </c>
    </row>
    <row r="931">
      <c r="A931" s="1">
        <v>331.0</v>
      </c>
      <c r="B931" s="1" t="s">
        <v>806</v>
      </c>
      <c r="C931" s="1" t="s">
        <v>807</v>
      </c>
      <c r="D931" s="1" t="s">
        <v>812</v>
      </c>
      <c r="E931" s="1">
        <v>0.0</v>
      </c>
      <c r="F931" s="1">
        <v>-2.25</v>
      </c>
      <c r="G931" s="1">
        <v>170.0</v>
      </c>
      <c r="H931" s="1" t="s">
        <v>809</v>
      </c>
      <c r="I931" s="1">
        <v>30.0</v>
      </c>
      <c r="J931" s="1" t="s">
        <v>809</v>
      </c>
      <c r="K931" s="1">
        <v>1.0</v>
      </c>
      <c r="L931" s="1">
        <v>15000.0</v>
      </c>
    </row>
    <row r="932">
      <c r="A932" s="1">
        <v>331.0</v>
      </c>
      <c r="B932" s="1" t="s">
        <v>806</v>
      </c>
      <c r="C932" s="1" t="s">
        <v>810</v>
      </c>
      <c r="D932" s="1" t="s">
        <v>812</v>
      </c>
      <c r="E932" s="1">
        <v>0.0</v>
      </c>
      <c r="F932" s="1">
        <v>-2.25</v>
      </c>
      <c r="G932" s="1">
        <v>165.0</v>
      </c>
      <c r="H932" s="1" t="s">
        <v>809</v>
      </c>
      <c r="I932" s="1">
        <v>30.0</v>
      </c>
      <c r="J932" s="1" t="s">
        <v>809</v>
      </c>
      <c r="K932" s="1">
        <v>1.0</v>
      </c>
      <c r="L932" s="1">
        <v>15000.0</v>
      </c>
    </row>
    <row r="933">
      <c r="A933" s="1">
        <v>331.0</v>
      </c>
      <c r="B933" s="1" t="s">
        <v>806</v>
      </c>
      <c r="C933" s="1" t="s">
        <v>809</v>
      </c>
      <c r="D933" s="1" t="s">
        <v>910</v>
      </c>
      <c r="E933" s="1" t="s">
        <v>809</v>
      </c>
      <c r="F933" s="1" t="s">
        <v>809</v>
      </c>
      <c r="G933" s="1" t="s">
        <v>809</v>
      </c>
      <c r="H933" s="1" t="s">
        <v>809</v>
      </c>
      <c r="I933" s="1" t="s">
        <v>809</v>
      </c>
      <c r="J933" s="1" t="s">
        <v>809</v>
      </c>
      <c r="K933" s="1">
        <v>1.0</v>
      </c>
      <c r="L933" s="1">
        <v>65000.0</v>
      </c>
    </row>
    <row r="934">
      <c r="A934" s="1">
        <v>331.0</v>
      </c>
      <c r="B934" s="1" t="s">
        <v>825</v>
      </c>
      <c r="C934" s="1" t="s">
        <v>807</v>
      </c>
      <c r="D934" s="1" t="s">
        <v>808</v>
      </c>
      <c r="E934" s="1">
        <v>0.0</v>
      </c>
      <c r="F934" s="1">
        <v>-2.25</v>
      </c>
      <c r="G934" s="1">
        <v>170.0</v>
      </c>
      <c r="H934" s="1" t="s">
        <v>809</v>
      </c>
      <c r="I934" s="1" t="s">
        <v>809</v>
      </c>
      <c r="J934" s="1" t="s">
        <v>809</v>
      </c>
      <c r="K934" s="1">
        <v>1.0</v>
      </c>
      <c r="L934" s="1">
        <v>0.0</v>
      </c>
    </row>
    <row r="935">
      <c r="A935" s="1">
        <v>331.0</v>
      </c>
      <c r="B935" s="1" t="s">
        <v>825</v>
      </c>
      <c r="C935" s="1" t="s">
        <v>810</v>
      </c>
      <c r="D935" s="1" t="s">
        <v>808</v>
      </c>
      <c r="E935" s="1">
        <v>0.0</v>
      </c>
      <c r="F935" s="1">
        <v>-2.25</v>
      </c>
      <c r="G935" s="1">
        <v>165.0</v>
      </c>
      <c r="H935" s="1" t="s">
        <v>809</v>
      </c>
      <c r="I935" s="1" t="s">
        <v>809</v>
      </c>
      <c r="J935" s="1" t="s">
        <v>809</v>
      </c>
      <c r="K935" s="1">
        <v>1.0</v>
      </c>
      <c r="L935" s="1">
        <v>0.0</v>
      </c>
    </row>
    <row r="936">
      <c r="A936" s="1">
        <v>331.0</v>
      </c>
      <c r="B936" s="1" t="s">
        <v>825</v>
      </c>
      <c r="C936" s="1" t="s">
        <v>809</v>
      </c>
      <c r="D936" s="1" t="s">
        <v>910</v>
      </c>
      <c r="E936" s="1" t="s">
        <v>809</v>
      </c>
      <c r="F936" s="1" t="s">
        <v>809</v>
      </c>
      <c r="G936" s="1" t="s">
        <v>809</v>
      </c>
      <c r="H936" s="1" t="s">
        <v>809</v>
      </c>
      <c r="I936" s="1" t="s">
        <v>809</v>
      </c>
      <c r="J936" s="1" t="s">
        <v>809</v>
      </c>
      <c r="K936" s="1">
        <v>1.0</v>
      </c>
      <c r="L936" s="1">
        <v>55000.0</v>
      </c>
    </row>
    <row r="937">
      <c r="A937" s="1">
        <v>332.0</v>
      </c>
      <c r="B937" s="1" t="s">
        <v>806</v>
      </c>
      <c r="C937" s="1" t="s">
        <v>807</v>
      </c>
      <c r="D937" s="1" t="s">
        <v>808</v>
      </c>
      <c r="E937" s="1">
        <v>0.0</v>
      </c>
      <c r="F937" s="1">
        <v>0.0</v>
      </c>
      <c r="G937" s="1" t="s">
        <v>809</v>
      </c>
      <c r="H937" s="1" t="s">
        <v>809</v>
      </c>
      <c r="I937" s="1" t="s">
        <v>809</v>
      </c>
      <c r="J937" s="1" t="s">
        <v>809</v>
      </c>
      <c r="K937" s="1">
        <v>1.0</v>
      </c>
      <c r="L937" s="1">
        <v>10000.0</v>
      </c>
    </row>
    <row r="938">
      <c r="A938" s="1">
        <v>332.0</v>
      </c>
      <c r="B938" s="1" t="s">
        <v>806</v>
      </c>
      <c r="C938" s="1" t="s">
        <v>810</v>
      </c>
      <c r="D938" s="1" t="s">
        <v>808</v>
      </c>
      <c r="E938" s="1">
        <v>0.0</v>
      </c>
      <c r="F938" s="1">
        <v>0.0</v>
      </c>
      <c r="G938" s="1" t="s">
        <v>809</v>
      </c>
      <c r="H938" s="1" t="s">
        <v>809</v>
      </c>
      <c r="I938" s="1" t="s">
        <v>809</v>
      </c>
      <c r="J938" s="1" t="s">
        <v>809</v>
      </c>
      <c r="K938" s="1">
        <v>1.0</v>
      </c>
      <c r="L938" s="1">
        <v>10000.0</v>
      </c>
    </row>
    <row r="939">
      <c r="A939" s="1">
        <v>332.0</v>
      </c>
      <c r="B939" s="1" t="s">
        <v>806</v>
      </c>
      <c r="C939" s="1" t="s">
        <v>809</v>
      </c>
      <c r="D939" s="1" t="s">
        <v>912</v>
      </c>
      <c r="E939" s="1" t="s">
        <v>809</v>
      </c>
      <c r="F939" s="1" t="s">
        <v>809</v>
      </c>
      <c r="G939" s="1" t="s">
        <v>809</v>
      </c>
      <c r="H939" s="1" t="s">
        <v>809</v>
      </c>
      <c r="I939" s="1" t="s">
        <v>809</v>
      </c>
      <c r="J939" s="1" t="s">
        <v>809</v>
      </c>
      <c r="K939" s="1">
        <v>1.0</v>
      </c>
      <c r="L939" s="1">
        <v>83000.0</v>
      </c>
    </row>
    <row r="940">
      <c r="A940" s="1">
        <v>333.0</v>
      </c>
      <c r="B940" s="1" t="s">
        <v>806</v>
      </c>
      <c r="C940" s="1" t="s">
        <v>807</v>
      </c>
      <c r="D940" s="1" t="s">
        <v>885</v>
      </c>
      <c r="E940" s="1">
        <v>1.75</v>
      </c>
      <c r="F940" s="1">
        <v>0.0</v>
      </c>
      <c r="G940" s="1" t="s">
        <v>809</v>
      </c>
      <c r="H940" s="1" t="s">
        <v>809</v>
      </c>
      <c r="I940" s="1" t="s">
        <v>809</v>
      </c>
      <c r="J940" s="1" t="s">
        <v>809</v>
      </c>
      <c r="K940" s="1">
        <v>1.0</v>
      </c>
      <c r="L940" s="1">
        <v>43500.0</v>
      </c>
    </row>
    <row r="941">
      <c r="A941" s="1">
        <v>333.0</v>
      </c>
      <c r="B941" s="1" t="s">
        <v>806</v>
      </c>
      <c r="C941" s="1" t="s">
        <v>810</v>
      </c>
      <c r="D941" s="1" t="s">
        <v>885</v>
      </c>
      <c r="E941" s="1">
        <v>1.75</v>
      </c>
      <c r="F941" s="1">
        <v>0.0</v>
      </c>
      <c r="G941" s="1" t="s">
        <v>809</v>
      </c>
      <c r="H941" s="1" t="s">
        <v>809</v>
      </c>
      <c r="I941" s="1" t="s">
        <v>809</v>
      </c>
      <c r="J941" s="1" t="s">
        <v>809</v>
      </c>
      <c r="K941" s="1">
        <v>1.0</v>
      </c>
      <c r="L941" s="1">
        <v>43500.0</v>
      </c>
    </row>
    <row r="942">
      <c r="A942" s="1">
        <v>333.0</v>
      </c>
      <c r="B942" s="1" t="s">
        <v>806</v>
      </c>
      <c r="C942" s="1" t="s">
        <v>809</v>
      </c>
      <c r="D942" s="1" t="s">
        <v>912</v>
      </c>
      <c r="E942" s="1" t="s">
        <v>809</v>
      </c>
      <c r="F942" s="1" t="s">
        <v>809</v>
      </c>
      <c r="G942" s="1" t="s">
        <v>809</v>
      </c>
      <c r="H942" s="1" t="s">
        <v>809</v>
      </c>
      <c r="I942" s="1" t="s">
        <v>809</v>
      </c>
      <c r="J942" s="1" t="s">
        <v>809</v>
      </c>
      <c r="K942" s="1">
        <v>1.0</v>
      </c>
      <c r="L942" s="1">
        <v>90000.0</v>
      </c>
    </row>
    <row r="943">
      <c r="A943" s="1">
        <v>334.0</v>
      </c>
      <c r="B943" s="1" t="s">
        <v>806</v>
      </c>
      <c r="C943" s="1" t="s">
        <v>807</v>
      </c>
      <c r="D943" s="1" t="s">
        <v>812</v>
      </c>
      <c r="E943" s="1">
        <v>0.0</v>
      </c>
      <c r="F943" s="1">
        <v>0.0</v>
      </c>
      <c r="G943" s="1" t="s">
        <v>809</v>
      </c>
      <c r="H943" s="1" t="s">
        <v>809</v>
      </c>
      <c r="I943" s="1" t="s">
        <v>809</v>
      </c>
      <c r="J943" s="1" t="s">
        <v>809</v>
      </c>
      <c r="K943" s="1">
        <v>1.0</v>
      </c>
      <c r="L943" s="1">
        <v>25000.0</v>
      </c>
    </row>
    <row r="944">
      <c r="A944" s="1">
        <v>334.0</v>
      </c>
      <c r="B944" s="1" t="s">
        <v>806</v>
      </c>
      <c r="C944" s="1" t="s">
        <v>810</v>
      </c>
      <c r="D944" s="1" t="s">
        <v>812</v>
      </c>
      <c r="E944" s="1">
        <v>0.0</v>
      </c>
      <c r="F944" s="1">
        <v>0.0</v>
      </c>
      <c r="G944" s="1" t="s">
        <v>809</v>
      </c>
      <c r="H944" s="1" t="s">
        <v>809</v>
      </c>
      <c r="I944" s="1" t="s">
        <v>809</v>
      </c>
      <c r="J944" s="1" t="s">
        <v>809</v>
      </c>
      <c r="K944" s="1">
        <v>1.0</v>
      </c>
      <c r="L944" s="1">
        <v>25000.0</v>
      </c>
    </row>
    <row r="945">
      <c r="A945" s="1">
        <v>334.0</v>
      </c>
      <c r="B945" s="1" t="s">
        <v>806</v>
      </c>
      <c r="C945" s="1" t="s">
        <v>809</v>
      </c>
      <c r="D945" s="1" t="s">
        <v>987</v>
      </c>
      <c r="E945" s="1" t="s">
        <v>809</v>
      </c>
      <c r="F945" s="1" t="s">
        <v>809</v>
      </c>
      <c r="G945" s="1" t="s">
        <v>809</v>
      </c>
      <c r="H945" s="1" t="s">
        <v>809</v>
      </c>
      <c r="I945" s="1" t="s">
        <v>809</v>
      </c>
      <c r="J945" s="1" t="s">
        <v>809</v>
      </c>
      <c r="K945" s="1">
        <v>1.0</v>
      </c>
      <c r="L945" s="1">
        <v>175250.0</v>
      </c>
    </row>
    <row r="946">
      <c r="A946" s="1">
        <v>335.0</v>
      </c>
      <c r="B946" s="1" t="s">
        <v>806</v>
      </c>
      <c r="C946" s="1" t="s">
        <v>807</v>
      </c>
      <c r="D946" s="1" t="s">
        <v>988</v>
      </c>
      <c r="E946" s="1">
        <v>0.5</v>
      </c>
      <c r="F946" s="1">
        <v>-0.5</v>
      </c>
      <c r="G946" s="1">
        <v>136.0</v>
      </c>
      <c r="H946" s="1">
        <v>2.5</v>
      </c>
      <c r="I946" s="1" t="s">
        <v>809</v>
      </c>
      <c r="J946" s="1" t="s">
        <v>809</v>
      </c>
      <c r="K946" s="1">
        <v>1.0</v>
      </c>
      <c r="L946" s="1">
        <v>180000.0</v>
      </c>
    </row>
    <row r="947">
      <c r="A947" s="1">
        <v>335.0</v>
      </c>
      <c r="B947" s="1" t="s">
        <v>806</v>
      </c>
      <c r="C947" s="1" t="s">
        <v>810</v>
      </c>
      <c r="D947" s="1" t="s">
        <v>988</v>
      </c>
      <c r="E947" s="1">
        <v>0.5</v>
      </c>
      <c r="F947" s="1">
        <v>-0.5</v>
      </c>
      <c r="G947" s="1">
        <v>41.0</v>
      </c>
      <c r="H947" s="1">
        <v>2.5</v>
      </c>
      <c r="I947" s="1" t="s">
        <v>809</v>
      </c>
      <c r="J947" s="1" t="s">
        <v>809</v>
      </c>
      <c r="K947" s="1">
        <v>1.0</v>
      </c>
      <c r="L947" s="1">
        <v>180000.0</v>
      </c>
    </row>
    <row r="948">
      <c r="A948" s="1">
        <v>335.0</v>
      </c>
      <c r="B948" s="1" t="s">
        <v>806</v>
      </c>
      <c r="C948" s="1" t="s">
        <v>809</v>
      </c>
      <c r="D948" s="1" t="s">
        <v>929</v>
      </c>
      <c r="E948" s="1" t="s">
        <v>809</v>
      </c>
      <c r="F948" s="1" t="s">
        <v>809</v>
      </c>
      <c r="G948" s="1" t="s">
        <v>809</v>
      </c>
      <c r="H948" s="1" t="s">
        <v>809</v>
      </c>
      <c r="I948" s="1" t="s">
        <v>809</v>
      </c>
      <c r="J948" s="1" t="s">
        <v>809</v>
      </c>
      <c r="K948" s="1">
        <v>1.0</v>
      </c>
      <c r="L948" s="1">
        <v>80000.0</v>
      </c>
    </row>
    <row r="949">
      <c r="A949" s="1">
        <v>336.0</v>
      </c>
      <c r="B949" s="1" t="s">
        <v>809</v>
      </c>
      <c r="C949" s="1" t="s">
        <v>809</v>
      </c>
      <c r="D949" s="1" t="s">
        <v>910</v>
      </c>
      <c r="E949" s="1" t="s">
        <v>809</v>
      </c>
      <c r="F949" s="1" t="s">
        <v>809</v>
      </c>
      <c r="G949" s="1" t="s">
        <v>809</v>
      </c>
      <c r="H949" s="1" t="s">
        <v>809</v>
      </c>
      <c r="I949" s="1" t="s">
        <v>809</v>
      </c>
      <c r="J949" s="1" t="s">
        <v>809</v>
      </c>
      <c r="K949" s="1">
        <v>1.0</v>
      </c>
      <c r="L949" s="1">
        <v>75000.0</v>
      </c>
    </row>
    <row r="950">
      <c r="A950" s="1">
        <v>337.0</v>
      </c>
      <c r="B950" s="1" t="s">
        <v>806</v>
      </c>
      <c r="C950" s="1" t="s">
        <v>807</v>
      </c>
      <c r="D950" s="1" t="s">
        <v>946</v>
      </c>
      <c r="E950" s="1">
        <v>-2.0</v>
      </c>
      <c r="F950" s="1">
        <v>-4.5</v>
      </c>
      <c r="G950" s="1">
        <v>18.0</v>
      </c>
      <c r="H950" s="1" t="s">
        <v>809</v>
      </c>
      <c r="I950" s="1" t="s">
        <v>809</v>
      </c>
      <c r="J950" s="1" t="s">
        <v>809</v>
      </c>
      <c r="K950" s="1">
        <v>1.0</v>
      </c>
      <c r="L950" s="1">
        <v>160236.69</v>
      </c>
    </row>
    <row r="951">
      <c r="A951" s="1">
        <v>337.0</v>
      </c>
      <c r="B951" s="1" t="s">
        <v>806</v>
      </c>
      <c r="C951" s="1" t="s">
        <v>810</v>
      </c>
      <c r="D951" s="1" t="s">
        <v>946</v>
      </c>
      <c r="E951" s="1">
        <v>-0.75</v>
      </c>
      <c r="F951" s="1">
        <v>-4.0</v>
      </c>
      <c r="G951" s="1">
        <v>126.0</v>
      </c>
      <c r="H951" s="1" t="s">
        <v>809</v>
      </c>
      <c r="I951" s="1" t="s">
        <v>809</v>
      </c>
      <c r="J951" s="1" t="s">
        <v>809</v>
      </c>
      <c r="K951" s="1">
        <v>1.0</v>
      </c>
      <c r="L951" s="1">
        <v>160236.69</v>
      </c>
    </row>
    <row r="952">
      <c r="A952" s="1">
        <v>337.0</v>
      </c>
      <c r="B952" s="1" t="s">
        <v>806</v>
      </c>
      <c r="C952" s="1" t="s">
        <v>809</v>
      </c>
      <c r="D952" s="1" t="s">
        <v>915</v>
      </c>
      <c r="E952" s="1" t="s">
        <v>809</v>
      </c>
      <c r="F952" s="1" t="s">
        <v>809</v>
      </c>
      <c r="G952" s="1" t="s">
        <v>809</v>
      </c>
      <c r="H952" s="1" t="s">
        <v>809</v>
      </c>
      <c r="I952" s="1" t="s">
        <v>809</v>
      </c>
      <c r="J952" s="1" t="s">
        <v>809</v>
      </c>
      <c r="K952" s="1">
        <v>1.0</v>
      </c>
      <c r="L952" s="1">
        <v>100000.0</v>
      </c>
    </row>
    <row r="953">
      <c r="A953" s="1">
        <v>338.0</v>
      </c>
      <c r="B953" s="1" t="s">
        <v>806</v>
      </c>
      <c r="C953" s="1" t="s">
        <v>807</v>
      </c>
      <c r="D953" s="1" t="s">
        <v>812</v>
      </c>
      <c r="E953" s="1">
        <v>0.25</v>
      </c>
      <c r="F953" s="1">
        <v>-0.25</v>
      </c>
      <c r="G953" s="1">
        <v>150.0</v>
      </c>
      <c r="H953" s="1" t="s">
        <v>809</v>
      </c>
      <c r="I953" s="1">
        <v>30.0</v>
      </c>
      <c r="J953" s="1">
        <v>26.0</v>
      </c>
      <c r="K953" s="1">
        <v>1.0</v>
      </c>
      <c r="L953" s="1">
        <v>30613.0</v>
      </c>
    </row>
    <row r="954">
      <c r="A954" s="1">
        <v>338.0</v>
      </c>
      <c r="B954" s="1" t="s">
        <v>806</v>
      </c>
      <c r="C954" s="1" t="s">
        <v>810</v>
      </c>
      <c r="D954" s="1" t="s">
        <v>812</v>
      </c>
      <c r="E954" s="1">
        <v>0.5</v>
      </c>
      <c r="F954" s="1">
        <v>-0.25</v>
      </c>
      <c r="G954" s="1">
        <v>50.0</v>
      </c>
      <c r="H954" s="1" t="s">
        <v>809</v>
      </c>
      <c r="I954" s="1">
        <v>30.0</v>
      </c>
      <c r="J954" s="1">
        <v>26.0</v>
      </c>
      <c r="K954" s="1">
        <v>1.0</v>
      </c>
      <c r="L954" s="1">
        <v>30613.0</v>
      </c>
    </row>
    <row r="955">
      <c r="A955" s="1">
        <v>338.0</v>
      </c>
      <c r="B955" s="1" t="s">
        <v>806</v>
      </c>
      <c r="C955" s="1" t="s">
        <v>809</v>
      </c>
      <c r="D955" s="1" t="s">
        <v>989</v>
      </c>
      <c r="E955" s="1" t="s">
        <v>809</v>
      </c>
      <c r="F955" s="1" t="s">
        <v>809</v>
      </c>
      <c r="G955" s="1" t="s">
        <v>809</v>
      </c>
      <c r="H955" s="1" t="s">
        <v>809</v>
      </c>
      <c r="I955" s="1" t="s">
        <v>809</v>
      </c>
      <c r="J955" s="1" t="s">
        <v>809</v>
      </c>
      <c r="K955" s="1">
        <v>1.0</v>
      </c>
      <c r="L955" s="1">
        <v>154000.0</v>
      </c>
    </row>
    <row r="956">
      <c r="A956" s="1">
        <v>339.0</v>
      </c>
      <c r="B956" s="1" t="s">
        <v>806</v>
      </c>
      <c r="C956" s="1" t="s">
        <v>807</v>
      </c>
      <c r="D956" s="1" t="s">
        <v>815</v>
      </c>
      <c r="E956" s="1">
        <v>2.25</v>
      </c>
      <c r="F956" s="1">
        <v>-1.25</v>
      </c>
      <c r="G956" s="1">
        <v>110.0</v>
      </c>
      <c r="H956" s="1">
        <v>2.75</v>
      </c>
      <c r="I956" s="1" t="s">
        <v>809</v>
      </c>
      <c r="J956" s="1" t="s">
        <v>809</v>
      </c>
      <c r="K956" s="1">
        <v>1.0</v>
      </c>
      <c r="L956" s="1">
        <v>570000.0</v>
      </c>
    </row>
    <row r="957">
      <c r="A957" s="1">
        <v>339.0</v>
      </c>
      <c r="B957" s="1" t="s">
        <v>806</v>
      </c>
      <c r="C957" s="1" t="s">
        <v>810</v>
      </c>
      <c r="D957" s="1" t="s">
        <v>815</v>
      </c>
      <c r="E957" s="1">
        <v>1.75</v>
      </c>
      <c r="F957" s="1">
        <v>-0.75</v>
      </c>
      <c r="G957" s="1">
        <v>75.0</v>
      </c>
      <c r="H957" s="1">
        <v>2.75</v>
      </c>
      <c r="I957" s="1" t="s">
        <v>809</v>
      </c>
      <c r="J957" s="1" t="s">
        <v>809</v>
      </c>
      <c r="K957" s="1">
        <v>1.0</v>
      </c>
      <c r="L957" s="1">
        <v>570000.0</v>
      </c>
    </row>
    <row r="958">
      <c r="A958" s="1">
        <v>339.0</v>
      </c>
      <c r="B958" s="1" t="s">
        <v>806</v>
      </c>
      <c r="C958" s="1" t="s">
        <v>809</v>
      </c>
      <c r="D958" s="1" t="s">
        <v>915</v>
      </c>
      <c r="E958" s="1" t="s">
        <v>809</v>
      </c>
      <c r="F958" s="1" t="s">
        <v>809</v>
      </c>
      <c r="G958" s="1" t="s">
        <v>809</v>
      </c>
      <c r="H958" s="1" t="s">
        <v>809</v>
      </c>
      <c r="I958" s="1" t="s">
        <v>809</v>
      </c>
      <c r="J958" s="1" t="s">
        <v>809</v>
      </c>
      <c r="K958" s="1">
        <v>1.0</v>
      </c>
      <c r="L958" s="1">
        <v>96000.0</v>
      </c>
    </row>
    <row r="959">
      <c r="A959" s="1">
        <v>340.0</v>
      </c>
      <c r="B959" s="1" t="s">
        <v>825</v>
      </c>
      <c r="C959" s="1" t="s">
        <v>807</v>
      </c>
      <c r="D959" s="1" t="s">
        <v>812</v>
      </c>
      <c r="E959" s="1">
        <v>1.5</v>
      </c>
      <c r="F959" s="1">
        <v>0.0</v>
      </c>
      <c r="G959" s="1" t="s">
        <v>809</v>
      </c>
      <c r="H959" s="1" t="s">
        <v>809</v>
      </c>
      <c r="I959" s="1" t="s">
        <v>809</v>
      </c>
      <c r="J959" s="1" t="s">
        <v>809</v>
      </c>
      <c r="K959" s="1">
        <v>1.0</v>
      </c>
      <c r="L959" s="1">
        <v>25500.0</v>
      </c>
    </row>
    <row r="960">
      <c r="A960" s="1">
        <v>340.0</v>
      </c>
      <c r="B960" s="1" t="s">
        <v>825</v>
      </c>
      <c r="C960" s="1" t="s">
        <v>810</v>
      </c>
      <c r="D960" s="1" t="s">
        <v>812</v>
      </c>
      <c r="E960" s="1">
        <v>0.75</v>
      </c>
      <c r="F960" s="1">
        <v>0.0</v>
      </c>
      <c r="G960" s="1" t="s">
        <v>809</v>
      </c>
      <c r="H960" s="1" t="s">
        <v>809</v>
      </c>
      <c r="I960" s="1" t="s">
        <v>809</v>
      </c>
      <c r="J960" s="1" t="s">
        <v>809</v>
      </c>
      <c r="K960" s="1">
        <v>1.0</v>
      </c>
      <c r="L960" s="1">
        <v>25500.0</v>
      </c>
    </row>
    <row r="961">
      <c r="A961" s="1">
        <v>340.0</v>
      </c>
      <c r="B961" s="1" t="s">
        <v>825</v>
      </c>
      <c r="C961" s="1" t="s">
        <v>809</v>
      </c>
      <c r="D961" s="1" t="s">
        <v>912</v>
      </c>
      <c r="E961" s="1" t="s">
        <v>809</v>
      </c>
      <c r="F961" s="1" t="s">
        <v>809</v>
      </c>
      <c r="G961" s="1" t="s">
        <v>809</v>
      </c>
      <c r="H961" s="1" t="s">
        <v>809</v>
      </c>
      <c r="I961" s="1" t="s">
        <v>809</v>
      </c>
      <c r="J961" s="1" t="s">
        <v>809</v>
      </c>
      <c r="K961" s="1">
        <v>1.0</v>
      </c>
      <c r="L961" s="1">
        <v>75000.0</v>
      </c>
    </row>
    <row r="962">
      <c r="A962" s="1">
        <v>341.0</v>
      </c>
      <c r="B962" s="1" t="s">
        <v>806</v>
      </c>
      <c r="C962" s="1" t="s">
        <v>807</v>
      </c>
      <c r="D962" s="1" t="s">
        <v>812</v>
      </c>
      <c r="E962" s="1">
        <v>-1.0</v>
      </c>
      <c r="F962" s="1">
        <v>-0.5</v>
      </c>
      <c r="G962" s="1">
        <v>105.0</v>
      </c>
      <c r="H962" s="1" t="s">
        <v>809</v>
      </c>
      <c r="I962" s="1" t="s">
        <v>809</v>
      </c>
      <c r="J962" s="1" t="s">
        <v>809</v>
      </c>
      <c r="K962" s="1">
        <v>1.0</v>
      </c>
      <c r="L962" s="1">
        <v>30000.0</v>
      </c>
    </row>
    <row r="963">
      <c r="A963" s="1">
        <v>341.0</v>
      </c>
      <c r="B963" s="1" t="s">
        <v>806</v>
      </c>
      <c r="C963" s="1" t="s">
        <v>810</v>
      </c>
      <c r="D963" s="1" t="s">
        <v>812</v>
      </c>
      <c r="E963" s="1">
        <v>-1.5</v>
      </c>
      <c r="F963" s="1">
        <v>-1.0</v>
      </c>
      <c r="G963" s="1">
        <v>75.0</v>
      </c>
      <c r="H963" s="1" t="s">
        <v>809</v>
      </c>
      <c r="I963" s="1" t="s">
        <v>809</v>
      </c>
      <c r="J963" s="1" t="s">
        <v>809</v>
      </c>
      <c r="K963" s="1">
        <v>1.0</v>
      </c>
      <c r="L963" s="1">
        <v>30000.0</v>
      </c>
    </row>
    <row r="964">
      <c r="A964" s="1">
        <v>341.0</v>
      </c>
      <c r="B964" s="1" t="s">
        <v>806</v>
      </c>
      <c r="C964" s="1" t="s">
        <v>809</v>
      </c>
      <c r="D964" s="1" t="s">
        <v>915</v>
      </c>
      <c r="E964" s="1" t="s">
        <v>809</v>
      </c>
      <c r="F964" s="1" t="s">
        <v>809</v>
      </c>
      <c r="G964" s="1" t="s">
        <v>809</v>
      </c>
      <c r="H964" s="1" t="s">
        <v>809</v>
      </c>
      <c r="I964" s="1" t="s">
        <v>809</v>
      </c>
      <c r="J964" s="1" t="s">
        <v>809</v>
      </c>
      <c r="K964" s="1">
        <v>1.0</v>
      </c>
      <c r="L964" s="1">
        <v>100000.0</v>
      </c>
    </row>
    <row r="965">
      <c r="A965" s="1">
        <v>342.0</v>
      </c>
      <c r="B965" s="1" t="s">
        <v>806</v>
      </c>
      <c r="C965" s="1" t="s">
        <v>807</v>
      </c>
      <c r="D965" s="1" t="s">
        <v>864</v>
      </c>
      <c r="E965" s="1">
        <v>0.0</v>
      </c>
      <c r="F965" s="1">
        <v>0.0</v>
      </c>
      <c r="G965" s="1" t="s">
        <v>809</v>
      </c>
      <c r="H965" s="1" t="s">
        <v>809</v>
      </c>
      <c r="I965" s="1" t="s">
        <v>809</v>
      </c>
      <c r="J965" s="1" t="s">
        <v>809</v>
      </c>
      <c r="K965" s="1">
        <v>1.0</v>
      </c>
      <c r="L965" s="1">
        <v>750000.0</v>
      </c>
    </row>
    <row r="966">
      <c r="A966" s="1">
        <v>342.0</v>
      </c>
      <c r="B966" s="1" t="s">
        <v>806</v>
      </c>
      <c r="C966" s="1" t="s">
        <v>810</v>
      </c>
      <c r="D966" s="1" t="s">
        <v>864</v>
      </c>
      <c r="E966" s="1">
        <v>0.0</v>
      </c>
      <c r="F966" s="1">
        <v>0.0</v>
      </c>
      <c r="G966" s="1" t="s">
        <v>809</v>
      </c>
      <c r="H966" s="1" t="s">
        <v>809</v>
      </c>
      <c r="I966" s="1" t="s">
        <v>809</v>
      </c>
      <c r="J966" s="1" t="s">
        <v>809</v>
      </c>
      <c r="K966" s="1">
        <v>1.0</v>
      </c>
      <c r="L966" s="1">
        <v>750000.0</v>
      </c>
    </row>
    <row r="967">
      <c r="A967" s="1">
        <v>342.0</v>
      </c>
      <c r="B967" s="1" t="s">
        <v>806</v>
      </c>
      <c r="C967" s="1" t="s">
        <v>809</v>
      </c>
      <c r="D967" s="1" t="s">
        <v>990</v>
      </c>
      <c r="E967" s="1" t="s">
        <v>809</v>
      </c>
      <c r="F967" s="1" t="s">
        <v>809</v>
      </c>
      <c r="G967" s="1" t="s">
        <v>809</v>
      </c>
      <c r="H967" s="1" t="s">
        <v>809</v>
      </c>
      <c r="I967" s="1" t="s">
        <v>809</v>
      </c>
      <c r="J967" s="1" t="s">
        <v>809</v>
      </c>
      <c r="K967" s="1">
        <v>1.0</v>
      </c>
      <c r="L967" s="1">
        <v>156000.0</v>
      </c>
    </row>
    <row r="968">
      <c r="A968" s="1">
        <v>343.0</v>
      </c>
      <c r="B968" s="1" t="s">
        <v>806</v>
      </c>
      <c r="C968" s="1" t="s">
        <v>807</v>
      </c>
      <c r="D968" s="1" t="s">
        <v>991</v>
      </c>
      <c r="E968" s="1">
        <v>1.5</v>
      </c>
      <c r="F968" s="1">
        <v>0.0</v>
      </c>
      <c r="G968" s="1" t="s">
        <v>809</v>
      </c>
      <c r="H968" s="1" t="s">
        <v>809</v>
      </c>
      <c r="I968" s="1">
        <v>31.5</v>
      </c>
      <c r="J968" s="1">
        <v>26.0</v>
      </c>
      <c r="K968" s="1">
        <v>1.0</v>
      </c>
      <c r="L968" s="1">
        <v>322000.0</v>
      </c>
    </row>
    <row r="969">
      <c r="A969" s="1">
        <v>343.0</v>
      </c>
      <c r="B969" s="1" t="s">
        <v>806</v>
      </c>
      <c r="C969" s="1" t="s">
        <v>810</v>
      </c>
      <c r="D969" s="1" t="s">
        <v>991</v>
      </c>
      <c r="E969" s="1">
        <v>1.5</v>
      </c>
      <c r="F969" s="1">
        <v>0.0</v>
      </c>
      <c r="G969" s="1" t="s">
        <v>809</v>
      </c>
      <c r="H969" s="1" t="s">
        <v>809</v>
      </c>
      <c r="I969" s="1">
        <v>33.5</v>
      </c>
      <c r="J969" s="1">
        <v>26.0</v>
      </c>
      <c r="K969" s="1">
        <v>1.0</v>
      </c>
      <c r="L969" s="1">
        <v>0.0</v>
      </c>
    </row>
    <row r="970">
      <c r="A970" s="1">
        <v>343.0</v>
      </c>
      <c r="B970" s="1" t="s">
        <v>806</v>
      </c>
      <c r="C970" s="1" t="s">
        <v>809</v>
      </c>
      <c r="D970" s="1" t="s">
        <v>992</v>
      </c>
      <c r="E970" s="1" t="s">
        <v>809</v>
      </c>
      <c r="F970" s="1" t="s">
        <v>809</v>
      </c>
      <c r="G970" s="1" t="s">
        <v>809</v>
      </c>
      <c r="H970" s="1" t="s">
        <v>809</v>
      </c>
      <c r="I970" s="1" t="s">
        <v>809</v>
      </c>
      <c r="J970" s="1" t="s">
        <v>809</v>
      </c>
      <c r="K970" s="1">
        <v>1.0</v>
      </c>
      <c r="L970" s="1">
        <v>145000.0</v>
      </c>
    </row>
    <row r="971">
      <c r="A971" s="1">
        <v>344.0</v>
      </c>
      <c r="B971" s="1" t="s">
        <v>806</v>
      </c>
      <c r="C971" s="1" t="s">
        <v>807</v>
      </c>
      <c r="D971" s="1" t="s">
        <v>812</v>
      </c>
      <c r="E971" s="1">
        <v>0.0</v>
      </c>
      <c r="F971" s="1">
        <v>0.0</v>
      </c>
      <c r="G971" s="1" t="s">
        <v>809</v>
      </c>
      <c r="H971" s="1" t="s">
        <v>809</v>
      </c>
      <c r="I971" s="1" t="s">
        <v>809</v>
      </c>
      <c r="J971" s="1" t="s">
        <v>809</v>
      </c>
      <c r="K971" s="1">
        <v>1.0</v>
      </c>
      <c r="L971" s="1">
        <v>45000.0</v>
      </c>
    </row>
    <row r="972">
      <c r="A972" s="1">
        <v>344.0</v>
      </c>
      <c r="B972" s="1" t="s">
        <v>806</v>
      </c>
      <c r="C972" s="1" t="s">
        <v>810</v>
      </c>
      <c r="D972" s="1" t="s">
        <v>812</v>
      </c>
      <c r="E972" s="1">
        <v>0.0</v>
      </c>
      <c r="F972" s="1">
        <v>0.0</v>
      </c>
      <c r="G972" s="1" t="s">
        <v>809</v>
      </c>
      <c r="H972" s="1" t="s">
        <v>809</v>
      </c>
      <c r="I972" s="1" t="s">
        <v>809</v>
      </c>
      <c r="J972" s="1" t="s">
        <v>809</v>
      </c>
      <c r="K972" s="1">
        <v>1.0</v>
      </c>
      <c r="L972" s="1">
        <v>45000.0</v>
      </c>
    </row>
    <row r="973">
      <c r="A973" s="1">
        <v>344.0</v>
      </c>
      <c r="B973" s="1" t="s">
        <v>806</v>
      </c>
      <c r="C973" s="1" t="s">
        <v>809</v>
      </c>
      <c r="D973" s="1" t="s">
        <v>993</v>
      </c>
      <c r="E973" s="1" t="s">
        <v>809</v>
      </c>
      <c r="F973" s="1" t="s">
        <v>809</v>
      </c>
      <c r="G973" s="1" t="s">
        <v>809</v>
      </c>
      <c r="H973" s="1" t="s">
        <v>809</v>
      </c>
      <c r="I973" s="1" t="s">
        <v>809</v>
      </c>
      <c r="J973" s="1" t="s">
        <v>809</v>
      </c>
      <c r="K973" s="1">
        <v>1.0</v>
      </c>
      <c r="L973" s="1">
        <v>126000.0</v>
      </c>
    </row>
    <row r="974">
      <c r="A974" s="1">
        <v>345.0</v>
      </c>
      <c r="B974" s="1" t="s">
        <v>806</v>
      </c>
      <c r="C974" s="1" t="s">
        <v>807</v>
      </c>
      <c r="D974" s="1" t="s">
        <v>812</v>
      </c>
      <c r="E974" s="1">
        <v>0.0</v>
      </c>
      <c r="F974" s="1">
        <v>0.0</v>
      </c>
      <c r="G974" s="1" t="s">
        <v>809</v>
      </c>
      <c r="H974" s="1" t="s">
        <v>809</v>
      </c>
      <c r="I974" s="1" t="s">
        <v>809</v>
      </c>
      <c r="J974" s="1" t="s">
        <v>809</v>
      </c>
      <c r="K974" s="1">
        <v>1.0</v>
      </c>
      <c r="L974" s="1">
        <v>17000.0</v>
      </c>
    </row>
    <row r="975">
      <c r="A975" s="1">
        <v>345.0</v>
      </c>
      <c r="B975" s="1" t="s">
        <v>806</v>
      </c>
      <c r="C975" s="1" t="s">
        <v>810</v>
      </c>
      <c r="D975" s="1" t="s">
        <v>812</v>
      </c>
      <c r="E975" s="1">
        <v>0.0</v>
      </c>
      <c r="F975" s="1">
        <v>0.0</v>
      </c>
      <c r="G975" s="1" t="s">
        <v>809</v>
      </c>
      <c r="H975" s="1" t="s">
        <v>809</v>
      </c>
      <c r="I975" s="1" t="s">
        <v>809</v>
      </c>
      <c r="J975" s="1" t="s">
        <v>809</v>
      </c>
      <c r="K975" s="1">
        <v>1.0</v>
      </c>
      <c r="L975" s="1">
        <v>17000.0</v>
      </c>
    </row>
    <row r="976">
      <c r="A976" s="1">
        <v>345.0</v>
      </c>
      <c r="B976" s="1" t="s">
        <v>806</v>
      </c>
      <c r="C976" s="1" t="s">
        <v>809</v>
      </c>
      <c r="D976" s="1" t="s">
        <v>910</v>
      </c>
      <c r="E976" s="1" t="s">
        <v>809</v>
      </c>
      <c r="F976" s="1" t="s">
        <v>809</v>
      </c>
      <c r="G976" s="1" t="s">
        <v>809</v>
      </c>
      <c r="H976" s="1" t="s">
        <v>809</v>
      </c>
      <c r="I976" s="1" t="s">
        <v>809</v>
      </c>
      <c r="J976" s="1" t="s">
        <v>809</v>
      </c>
      <c r="K976" s="1">
        <v>1.0</v>
      </c>
      <c r="L976" s="1">
        <v>60000.0</v>
      </c>
    </row>
    <row r="977">
      <c r="A977" s="1">
        <v>346.0</v>
      </c>
      <c r="B977" s="1" t="s">
        <v>806</v>
      </c>
      <c r="C977" s="1" t="s">
        <v>807</v>
      </c>
      <c r="D977" s="1" t="s">
        <v>836</v>
      </c>
      <c r="E977" s="1">
        <v>1.0</v>
      </c>
      <c r="F977" s="1">
        <v>0.0</v>
      </c>
      <c r="G977" s="1" t="s">
        <v>809</v>
      </c>
      <c r="H977" s="1" t="s">
        <v>809</v>
      </c>
      <c r="I977" s="1" t="s">
        <v>809</v>
      </c>
      <c r="J977" s="1" t="s">
        <v>809</v>
      </c>
      <c r="K977" s="1">
        <v>1.0</v>
      </c>
      <c r="L977" s="1">
        <v>45500.0</v>
      </c>
    </row>
    <row r="978">
      <c r="A978" s="1">
        <v>346.0</v>
      </c>
      <c r="B978" s="1" t="s">
        <v>806</v>
      </c>
      <c r="C978" s="1" t="s">
        <v>810</v>
      </c>
      <c r="D978" s="1" t="s">
        <v>836</v>
      </c>
      <c r="E978" s="1">
        <v>1.0</v>
      </c>
      <c r="F978" s="1">
        <v>0.0</v>
      </c>
      <c r="G978" s="1" t="s">
        <v>809</v>
      </c>
      <c r="H978" s="1" t="s">
        <v>809</v>
      </c>
      <c r="I978" s="1" t="s">
        <v>809</v>
      </c>
      <c r="J978" s="1" t="s">
        <v>809</v>
      </c>
      <c r="K978" s="1">
        <v>1.0</v>
      </c>
      <c r="L978" s="1">
        <v>45500.0</v>
      </c>
    </row>
    <row r="979">
      <c r="A979" s="1">
        <v>346.0</v>
      </c>
      <c r="B979" s="1" t="s">
        <v>806</v>
      </c>
      <c r="C979" s="1" t="s">
        <v>809</v>
      </c>
      <c r="D979" s="1" t="s">
        <v>929</v>
      </c>
      <c r="E979" s="1" t="s">
        <v>809</v>
      </c>
      <c r="F979" s="1" t="s">
        <v>809</v>
      </c>
      <c r="G979" s="1" t="s">
        <v>809</v>
      </c>
      <c r="H979" s="1" t="s">
        <v>809</v>
      </c>
      <c r="I979" s="1" t="s">
        <v>809</v>
      </c>
      <c r="J979" s="1" t="s">
        <v>809</v>
      </c>
      <c r="K979" s="1">
        <v>1.0</v>
      </c>
      <c r="L979" s="1">
        <v>82000.0</v>
      </c>
    </row>
    <row r="980">
      <c r="A980" s="1">
        <v>347.0</v>
      </c>
      <c r="B980" s="1" t="s">
        <v>806</v>
      </c>
      <c r="C980" s="1" t="s">
        <v>807</v>
      </c>
      <c r="D980" s="1" t="s">
        <v>812</v>
      </c>
      <c r="E980" s="1">
        <v>0.25</v>
      </c>
      <c r="F980" s="1">
        <v>0.0</v>
      </c>
      <c r="G980" s="1" t="s">
        <v>809</v>
      </c>
      <c r="H980" s="1" t="s">
        <v>809</v>
      </c>
      <c r="I980" s="1" t="s">
        <v>809</v>
      </c>
      <c r="J980" s="1" t="s">
        <v>809</v>
      </c>
      <c r="K980" s="1">
        <v>1.0</v>
      </c>
      <c r="L980" s="1">
        <v>30500.0</v>
      </c>
    </row>
    <row r="981">
      <c r="A981" s="1">
        <v>347.0</v>
      </c>
      <c r="B981" s="1" t="s">
        <v>806</v>
      </c>
      <c r="C981" s="1" t="s">
        <v>810</v>
      </c>
      <c r="D981" s="1" t="s">
        <v>812</v>
      </c>
      <c r="E981" s="1">
        <v>0.25</v>
      </c>
      <c r="F981" s="1">
        <v>0.0</v>
      </c>
      <c r="G981" s="1" t="s">
        <v>809</v>
      </c>
      <c r="H981" s="1" t="s">
        <v>809</v>
      </c>
      <c r="I981" s="1" t="s">
        <v>809</v>
      </c>
      <c r="J981" s="1" t="s">
        <v>809</v>
      </c>
      <c r="K981" s="1">
        <v>1.0</v>
      </c>
      <c r="L981" s="1">
        <v>30500.0</v>
      </c>
    </row>
    <row r="982">
      <c r="A982" s="1">
        <v>347.0</v>
      </c>
      <c r="B982" s="1" t="s">
        <v>806</v>
      </c>
      <c r="C982" s="1" t="s">
        <v>809</v>
      </c>
      <c r="D982" s="1" t="s">
        <v>929</v>
      </c>
      <c r="E982" s="1" t="s">
        <v>809</v>
      </c>
      <c r="F982" s="1" t="s">
        <v>809</v>
      </c>
      <c r="G982" s="1" t="s">
        <v>809</v>
      </c>
      <c r="H982" s="1" t="s">
        <v>809</v>
      </c>
      <c r="I982" s="1" t="s">
        <v>809</v>
      </c>
      <c r="J982" s="1" t="s">
        <v>809</v>
      </c>
      <c r="K982" s="1">
        <v>1.0</v>
      </c>
      <c r="L982" s="1">
        <v>112000.0</v>
      </c>
    </row>
    <row r="983">
      <c r="A983" s="1">
        <v>348.0</v>
      </c>
      <c r="B983" s="1" t="s">
        <v>806</v>
      </c>
      <c r="C983" s="1" t="s">
        <v>807</v>
      </c>
      <c r="D983" s="1" t="s">
        <v>812</v>
      </c>
      <c r="E983" s="1">
        <v>0.0</v>
      </c>
      <c r="F983" s="1">
        <v>-0.25</v>
      </c>
      <c r="G983" s="1">
        <v>140.0</v>
      </c>
      <c r="H983" s="1" t="s">
        <v>809</v>
      </c>
      <c r="I983" s="1">
        <v>30.0</v>
      </c>
      <c r="J983" s="1">
        <v>26.0</v>
      </c>
      <c r="K983" s="1">
        <v>1.0</v>
      </c>
      <c r="L983" s="1">
        <v>30000.0</v>
      </c>
    </row>
    <row r="984">
      <c r="A984" s="1">
        <v>348.0</v>
      </c>
      <c r="B984" s="1" t="s">
        <v>806</v>
      </c>
      <c r="C984" s="1" t="s">
        <v>810</v>
      </c>
      <c r="D984" s="1" t="s">
        <v>812</v>
      </c>
      <c r="E984" s="1">
        <v>-0.25</v>
      </c>
      <c r="F984" s="1">
        <v>0.0</v>
      </c>
      <c r="G984" s="1" t="s">
        <v>809</v>
      </c>
      <c r="H984" s="1" t="s">
        <v>809</v>
      </c>
      <c r="I984" s="1">
        <v>30.0</v>
      </c>
      <c r="J984" s="1">
        <v>26.0</v>
      </c>
      <c r="K984" s="1">
        <v>1.0</v>
      </c>
      <c r="L984" s="1">
        <v>30000.0</v>
      </c>
    </row>
    <row r="985">
      <c r="A985" s="1">
        <v>348.0</v>
      </c>
      <c r="B985" s="1" t="s">
        <v>806</v>
      </c>
      <c r="C985" s="1" t="s">
        <v>809</v>
      </c>
      <c r="D985" s="1" t="s">
        <v>994</v>
      </c>
      <c r="E985" s="1" t="s">
        <v>809</v>
      </c>
      <c r="F985" s="1" t="s">
        <v>809</v>
      </c>
      <c r="G985" s="1" t="s">
        <v>809</v>
      </c>
      <c r="H985" s="1" t="s">
        <v>809</v>
      </c>
      <c r="I985" s="1" t="s">
        <v>809</v>
      </c>
      <c r="J985" s="1" t="s">
        <v>809</v>
      </c>
      <c r="K985" s="1">
        <v>1.0</v>
      </c>
      <c r="L985" s="1">
        <v>202000.0</v>
      </c>
    </row>
    <row r="986">
      <c r="A986" s="1">
        <v>349.0</v>
      </c>
      <c r="B986" s="1" t="s">
        <v>806</v>
      </c>
      <c r="C986" s="1" t="s">
        <v>807</v>
      </c>
      <c r="D986" s="1" t="s">
        <v>836</v>
      </c>
      <c r="E986" s="1">
        <v>1.0</v>
      </c>
      <c r="F986" s="1">
        <v>-1.5</v>
      </c>
      <c r="G986" s="1">
        <v>90.0</v>
      </c>
      <c r="H986" s="1" t="s">
        <v>809</v>
      </c>
      <c r="I986" s="1">
        <v>30.0</v>
      </c>
      <c r="J986" s="1">
        <v>26.0</v>
      </c>
      <c r="K986" s="1">
        <v>1.0</v>
      </c>
      <c r="L986" s="1">
        <v>45000.0</v>
      </c>
    </row>
    <row r="987">
      <c r="A987" s="1">
        <v>349.0</v>
      </c>
      <c r="B987" s="1" t="s">
        <v>806</v>
      </c>
      <c r="C987" s="1" t="s">
        <v>810</v>
      </c>
      <c r="D987" s="1" t="s">
        <v>836</v>
      </c>
      <c r="E987" s="1">
        <v>0.75</v>
      </c>
      <c r="F987" s="1">
        <v>0.0</v>
      </c>
      <c r="G987" s="1" t="s">
        <v>809</v>
      </c>
      <c r="H987" s="1" t="s">
        <v>809</v>
      </c>
      <c r="I987" s="1">
        <v>30.0</v>
      </c>
      <c r="J987" s="1">
        <v>26.0</v>
      </c>
      <c r="K987" s="1">
        <v>1.0</v>
      </c>
      <c r="L987" s="1">
        <v>45000.0</v>
      </c>
    </row>
    <row r="988">
      <c r="A988" s="1">
        <v>349.0</v>
      </c>
      <c r="B988" s="1" t="s">
        <v>806</v>
      </c>
      <c r="C988" s="1" t="s">
        <v>809</v>
      </c>
      <c r="D988" s="1" t="s">
        <v>915</v>
      </c>
      <c r="E988" s="1" t="s">
        <v>809</v>
      </c>
      <c r="F988" s="1" t="s">
        <v>809</v>
      </c>
      <c r="G988" s="1" t="s">
        <v>809</v>
      </c>
      <c r="H988" s="1" t="s">
        <v>809</v>
      </c>
      <c r="I988" s="1" t="s">
        <v>809</v>
      </c>
      <c r="J988" s="1" t="s">
        <v>809</v>
      </c>
      <c r="K988" s="1">
        <v>1.0</v>
      </c>
      <c r="L988" s="1">
        <v>120000.0</v>
      </c>
    </row>
    <row r="989">
      <c r="A989" s="1">
        <v>350.0</v>
      </c>
      <c r="B989" s="1" t="s">
        <v>806</v>
      </c>
      <c r="C989" s="1" t="s">
        <v>807</v>
      </c>
      <c r="D989" s="1" t="s">
        <v>836</v>
      </c>
      <c r="E989" s="1">
        <v>-1.0</v>
      </c>
      <c r="F989" s="1">
        <v>-3.5</v>
      </c>
      <c r="G989" s="1">
        <v>175.0</v>
      </c>
      <c r="H989" s="1" t="s">
        <v>809</v>
      </c>
      <c r="I989" s="1">
        <v>30.0</v>
      </c>
      <c r="J989" s="1">
        <v>26.0</v>
      </c>
      <c r="K989" s="1">
        <v>1.0</v>
      </c>
      <c r="L989" s="1">
        <v>68500.0</v>
      </c>
    </row>
    <row r="990">
      <c r="A990" s="1">
        <v>350.0</v>
      </c>
      <c r="B990" s="1" t="s">
        <v>806</v>
      </c>
      <c r="C990" s="1" t="s">
        <v>810</v>
      </c>
      <c r="D990" s="1" t="s">
        <v>836</v>
      </c>
      <c r="E990" s="1">
        <v>-0.5</v>
      </c>
      <c r="F990" s="1">
        <v>-4.0</v>
      </c>
      <c r="G990" s="1">
        <v>170.0</v>
      </c>
      <c r="H990" s="1" t="s">
        <v>809</v>
      </c>
      <c r="I990" s="1">
        <v>30.0</v>
      </c>
      <c r="J990" s="1">
        <v>26.0</v>
      </c>
      <c r="K990" s="1">
        <v>1.0</v>
      </c>
      <c r="L990" s="1">
        <v>68500.0</v>
      </c>
    </row>
    <row r="991">
      <c r="A991" s="1">
        <v>350.0</v>
      </c>
      <c r="B991" s="1" t="s">
        <v>806</v>
      </c>
      <c r="C991" s="1" t="s">
        <v>809</v>
      </c>
      <c r="D991" s="1" t="s">
        <v>929</v>
      </c>
      <c r="E991" s="1" t="s">
        <v>809</v>
      </c>
      <c r="F991" s="1" t="s">
        <v>809</v>
      </c>
      <c r="G991" s="1" t="s">
        <v>809</v>
      </c>
      <c r="H991" s="1" t="s">
        <v>809</v>
      </c>
      <c r="I991" s="1" t="s">
        <v>809</v>
      </c>
      <c r="J991" s="1" t="s">
        <v>809</v>
      </c>
      <c r="K991" s="1">
        <v>1.0</v>
      </c>
      <c r="L991" s="1">
        <v>120000.0</v>
      </c>
    </row>
    <row r="992">
      <c r="A992" s="1">
        <v>351.0</v>
      </c>
      <c r="B992" s="1" t="s">
        <v>806</v>
      </c>
      <c r="C992" s="1" t="s">
        <v>807</v>
      </c>
      <c r="D992" s="1" t="s">
        <v>812</v>
      </c>
      <c r="E992" s="1">
        <v>0.0</v>
      </c>
      <c r="F992" s="1">
        <v>0.0</v>
      </c>
      <c r="G992" s="1" t="s">
        <v>809</v>
      </c>
      <c r="H992" s="1" t="s">
        <v>809</v>
      </c>
      <c r="I992" s="1" t="s">
        <v>809</v>
      </c>
      <c r="J992" s="1" t="s">
        <v>809</v>
      </c>
      <c r="K992" s="1">
        <v>1.0</v>
      </c>
      <c r="L992" s="1">
        <v>30000.0</v>
      </c>
    </row>
    <row r="993">
      <c r="A993" s="1">
        <v>351.0</v>
      </c>
      <c r="B993" s="1" t="s">
        <v>806</v>
      </c>
      <c r="C993" s="1" t="s">
        <v>810</v>
      </c>
      <c r="D993" s="1" t="s">
        <v>812</v>
      </c>
      <c r="E993" s="1">
        <v>0.0</v>
      </c>
      <c r="F993" s="1">
        <v>0.0</v>
      </c>
      <c r="G993" s="1" t="s">
        <v>809</v>
      </c>
      <c r="H993" s="1" t="s">
        <v>809</v>
      </c>
      <c r="I993" s="1" t="s">
        <v>809</v>
      </c>
      <c r="J993" s="1" t="s">
        <v>809</v>
      </c>
      <c r="K993" s="1">
        <v>1.0</v>
      </c>
      <c r="L993" s="1">
        <v>30000.0</v>
      </c>
    </row>
    <row r="994">
      <c r="A994" s="1">
        <v>351.0</v>
      </c>
      <c r="B994" s="1" t="s">
        <v>806</v>
      </c>
      <c r="C994" s="1" t="s">
        <v>809</v>
      </c>
      <c r="D994" s="1" t="s">
        <v>912</v>
      </c>
      <c r="E994" s="1" t="s">
        <v>809</v>
      </c>
      <c r="F994" s="1" t="s">
        <v>809</v>
      </c>
      <c r="G994" s="1" t="s">
        <v>809</v>
      </c>
      <c r="H994" s="1" t="s">
        <v>809</v>
      </c>
      <c r="I994" s="1" t="s">
        <v>809</v>
      </c>
      <c r="J994" s="1" t="s">
        <v>809</v>
      </c>
      <c r="K994" s="1">
        <v>1.0</v>
      </c>
      <c r="L994" s="1">
        <v>90000.0</v>
      </c>
    </row>
    <row r="995">
      <c r="A995" s="1">
        <v>352.0</v>
      </c>
      <c r="B995" s="1" t="s">
        <v>809</v>
      </c>
      <c r="C995" s="1" t="s">
        <v>809</v>
      </c>
      <c r="D995" s="1" t="s">
        <v>995</v>
      </c>
      <c r="E995" s="1" t="s">
        <v>809</v>
      </c>
      <c r="F995" s="1" t="s">
        <v>809</v>
      </c>
      <c r="G995" s="1" t="s">
        <v>809</v>
      </c>
      <c r="H995" s="1" t="s">
        <v>809</v>
      </c>
      <c r="I995" s="1" t="s">
        <v>809</v>
      </c>
      <c r="J995" s="1" t="s">
        <v>809</v>
      </c>
      <c r="K995" s="1">
        <v>1.0</v>
      </c>
      <c r="L995" s="1">
        <v>146000.0</v>
      </c>
    </row>
    <row r="996">
      <c r="A996" s="1">
        <v>353.0</v>
      </c>
      <c r="B996" s="1" t="s">
        <v>809</v>
      </c>
      <c r="C996" s="1" t="s">
        <v>809</v>
      </c>
      <c r="D996" s="1" t="s">
        <v>996</v>
      </c>
      <c r="E996" s="1" t="s">
        <v>809</v>
      </c>
      <c r="F996" s="1" t="s">
        <v>809</v>
      </c>
      <c r="G996" s="1" t="s">
        <v>809</v>
      </c>
      <c r="H996" s="1" t="s">
        <v>809</v>
      </c>
      <c r="I996" s="1" t="s">
        <v>809</v>
      </c>
      <c r="J996" s="1" t="s">
        <v>809</v>
      </c>
      <c r="K996" s="1">
        <v>1.0</v>
      </c>
      <c r="L996" s="1">
        <v>241990.0</v>
      </c>
    </row>
    <row r="997">
      <c r="A997" s="1">
        <v>354.0</v>
      </c>
      <c r="B997" s="1" t="s">
        <v>806</v>
      </c>
      <c r="C997" s="1" t="s">
        <v>807</v>
      </c>
      <c r="D997" s="1" t="s">
        <v>894</v>
      </c>
      <c r="E997" s="1">
        <v>0.75</v>
      </c>
      <c r="F997" s="1">
        <v>-0.25</v>
      </c>
      <c r="G997" s="1">
        <v>55.0</v>
      </c>
      <c r="H997" s="1">
        <v>2.5</v>
      </c>
      <c r="I997" s="1">
        <v>30.0</v>
      </c>
      <c r="J997" s="1">
        <v>26.0</v>
      </c>
      <c r="K997" s="1">
        <v>1.0</v>
      </c>
      <c r="L997" s="1">
        <v>185500.0</v>
      </c>
    </row>
    <row r="998">
      <c r="A998" s="1">
        <v>354.0</v>
      </c>
      <c r="B998" s="1" t="s">
        <v>806</v>
      </c>
      <c r="C998" s="1" t="s">
        <v>810</v>
      </c>
      <c r="D998" s="1" t="s">
        <v>894</v>
      </c>
      <c r="E998" s="1">
        <v>1.5</v>
      </c>
      <c r="F998" s="1">
        <v>-0.75</v>
      </c>
      <c r="G998" s="1">
        <v>75.0</v>
      </c>
      <c r="H998" s="1">
        <v>2.5</v>
      </c>
      <c r="I998" s="1">
        <v>30.0</v>
      </c>
      <c r="J998" s="1">
        <v>26.0</v>
      </c>
      <c r="K998" s="1">
        <v>1.0</v>
      </c>
      <c r="L998" s="1">
        <v>185500.0</v>
      </c>
    </row>
    <row r="999">
      <c r="A999" s="1">
        <v>354.0</v>
      </c>
      <c r="B999" s="1" t="s">
        <v>806</v>
      </c>
      <c r="C999" s="1" t="s">
        <v>809</v>
      </c>
      <c r="D999" s="1" t="s">
        <v>915</v>
      </c>
      <c r="E999" s="1" t="s">
        <v>809</v>
      </c>
      <c r="F999" s="1" t="s">
        <v>809</v>
      </c>
      <c r="G999" s="1" t="s">
        <v>809</v>
      </c>
      <c r="H999" s="1" t="s">
        <v>809</v>
      </c>
      <c r="I999" s="1" t="s">
        <v>809</v>
      </c>
      <c r="J999" s="1" t="s">
        <v>809</v>
      </c>
      <c r="K999" s="1">
        <v>1.0</v>
      </c>
      <c r="L999" s="1">
        <v>120000.0</v>
      </c>
    </row>
    <row r="1000">
      <c r="A1000" s="1">
        <v>355.0</v>
      </c>
      <c r="B1000" s="1" t="s">
        <v>806</v>
      </c>
      <c r="C1000" s="1" t="s">
        <v>807</v>
      </c>
      <c r="D1000" s="1" t="s">
        <v>836</v>
      </c>
      <c r="E1000" s="1">
        <v>3.5</v>
      </c>
      <c r="F1000" s="1">
        <v>0.0</v>
      </c>
      <c r="G1000" s="1" t="s">
        <v>809</v>
      </c>
      <c r="H1000" s="1" t="s">
        <v>809</v>
      </c>
      <c r="I1000" s="1" t="s">
        <v>809</v>
      </c>
      <c r="J1000" s="1" t="s">
        <v>809</v>
      </c>
      <c r="K1000" s="1">
        <v>1.0</v>
      </c>
      <c r="L1000" s="1">
        <v>40000.0</v>
      </c>
    </row>
    <row r="1001">
      <c r="A1001" s="1">
        <v>355.0</v>
      </c>
      <c r="B1001" s="1" t="s">
        <v>806</v>
      </c>
      <c r="C1001" s="1" t="s">
        <v>810</v>
      </c>
      <c r="D1001" s="1" t="s">
        <v>836</v>
      </c>
      <c r="E1001" s="1">
        <v>3.5</v>
      </c>
      <c r="F1001" s="1">
        <v>0.0</v>
      </c>
      <c r="G1001" s="1" t="s">
        <v>809</v>
      </c>
      <c r="H1001" s="1" t="s">
        <v>809</v>
      </c>
      <c r="I1001" s="1" t="s">
        <v>809</v>
      </c>
      <c r="J1001" s="1" t="s">
        <v>809</v>
      </c>
      <c r="K1001" s="1">
        <v>1.0</v>
      </c>
      <c r="L1001" s="1">
        <v>40000.0</v>
      </c>
    </row>
    <row r="1002">
      <c r="A1002" s="1">
        <v>355.0</v>
      </c>
      <c r="B1002" s="1" t="s">
        <v>806</v>
      </c>
      <c r="C1002" s="1" t="s">
        <v>809</v>
      </c>
      <c r="D1002" s="1" t="s">
        <v>929</v>
      </c>
      <c r="E1002" s="1" t="s">
        <v>809</v>
      </c>
      <c r="F1002" s="1" t="s">
        <v>809</v>
      </c>
      <c r="G1002" s="1" t="s">
        <v>809</v>
      </c>
      <c r="H1002" s="1" t="s">
        <v>809</v>
      </c>
      <c r="I1002" s="1" t="s">
        <v>809</v>
      </c>
      <c r="J1002" s="1" t="s">
        <v>809</v>
      </c>
      <c r="K1002" s="1">
        <v>1.0</v>
      </c>
      <c r="L1002" s="1">
        <v>80000.0</v>
      </c>
    </row>
    <row r="1003">
      <c r="A1003" s="1">
        <v>356.0</v>
      </c>
      <c r="B1003" s="1" t="s">
        <v>806</v>
      </c>
      <c r="C1003" s="1" t="s">
        <v>807</v>
      </c>
      <c r="D1003" s="1" t="s">
        <v>812</v>
      </c>
      <c r="E1003" s="1">
        <v>0.0</v>
      </c>
      <c r="F1003" s="1">
        <v>0.0</v>
      </c>
      <c r="G1003" s="1" t="s">
        <v>809</v>
      </c>
      <c r="H1003" s="1" t="s">
        <v>809</v>
      </c>
      <c r="I1003" s="1" t="s">
        <v>809</v>
      </c>
      <c r="J1003" s="1" t="s">
        <v>809</v>
      </c>
      <c r="K1003" s="1">
        <v>1.0</v>
      </c>
      <c r="L1003" s="1">
        <v>30000.0</v>
      </c>
    </row>
    <row r="1004">
      <c r="A1004" s="1">
        <v>356.0</v>
      </c>
      <c r="B1004" s="1" t="s">
        <v>806</v>
      </c>
      <c r="C1004" s="1" t="s">
        <v>810</v>
      </c>
      <c r="D1004" s="1" t="s">
        <v>812</v>
      </c>
      <c r="E1004" s="1">
        <v>0.0</v>
      </c>
      <c r="F1004" s="1">
        <v>0.0</v>
      </c>
      <c r="G1004" s="1" t="s">
        <v>809</v>
      </c>
      <c r="H1004" s="1" t="s">
        <v>809</v>
      </c>
      <c r="I1004" s="1" t="s">
        <v>809</v>
      </c>
      <c r="J1004" s="1" t="s">
        <v>809</v>
      </c>
      <c r="K1004" s="1">
        <v>1.0</v>
      </c>
      <c r="L1004" s="1">
        <v>30000.0</v>
      </c>
    </row>
    <row r="1005">
      <c r="A1005" s="1">
        <v>356.0</v>
      </c>
      <c r="B1005" s="1" t="s">
        <v>806</v>
      </c>
      <c r="C1005" s="1" t="s">
        <v>809</v>
      </c>
      <c r="D1005" s="1" t="s">
        <v>929</v>
      </c>
      <c r="E1005" s="1" t="s">
        <v>809</v>
      </c>
      <c r="F1005" s="1" t="s">
        <v>809</v>
      </c>
      <c r="G1005" s="1" t="s">
        <v>809</v>
      </c>
      <c r="H1005" s="1" t="s">
        <v>809</v>
      </c>
      <c r="I1005" s="1" t="s">
        <v>809</v>
      </c>
      <c r="J1005" s="1" t="s">
        <v>809</v>
      </c>
      <c r="K1005" s="1">
        <v>1.0</v>
      </c>
      <c r="L1005" s="1">
        <v>90000.0</v>
      </c>
    </row>
    <row r="1006">
      <c r="A1006" s="1">
        <v>357.0</v>
      </c>
      <c r="B1006" s="1" t="s">
        <v>806</v>
      </c>
      <c r="C1006" s="1" t="s">
        <v>807</v>
      </c>
      <c r="D1006" s="1" t="s">
        <v>812</v>
      </c>
      <c r="E1006" s="1">
        <v>0.0</v>
      </c>
      <c r="F1006" s="1">
        <v>-1.25</v>
      </c>
      <c r="G1006" s="1">
        <v>110.0</v>
      </c>
      <c r="H1006" s="1" t="s">
        <v>809</v>
      </c>
      <c r="I1006" s="1" t="s">
        <v>809</v>
      </c>
      <c r="J1006" s="1" t="s">
        <v>809</v>
      </c>
      <c r="K1006" s="1">
        <v>1.0</v>
      </c>
      <c r="L1006" s="1">
        <v>0.0</v>
      </c>
    </row>
    <row r="1007">
      <c r="A1007" s="1">
        <v>357.0</v>
      </c>
      <c r="B1007" s="1" t="s">
        <v>806</v>
      </c>
      <c r="C1007" s="1" t="s">
        <v>810</v>
      </c>
      <c r="D1007" s="1" t="s">
        <v>812</v>
      </c>
      <c r="E1007" s="1">
        <v>-0.25</v>
      </c>
      <c r="F1007" s="1">
        <v>-0.75</v>
      </c>
      <c r="G1007" s="1">
        <v>51.0</v>
      </c>
      <c r="H1007" s="1" t="s">
        <v>809</v>
      </c>
      <c r="I1007" s="1" t="s">
        <v>809</v>
      </c>
      <c r="J1007" s="1" t="s">
        <v>809</v>
      </c>
      <c r="K1007" s="1">
        <v>1.0</v>
      </c>
      <c r="L1007" s="1">
        <v>0.0</v>
      </c>
    </row>
    <row r="1008">
      <c r="A1008" s="1">
        <v>357.0</v>
      </c>
      <c r="B1008" s="1" t="s">
        <v>806</v>
      </c>
      <c r="C1008" s="1" t="s">
        <v>809</v>
      </c>
      <c r="D1008" s="1" t="s">
        <v>997</v>
      </c>
      <c r="E1008" s="1" t="s">
        <v>809</v>
      </c>
      <c r="F1008" s="1" t="s">
        <v>809</v>
      </c>
      <c r="G1008" s="1" t="s">
        <v>809</v>
      </c>
      <c r="H1008" s="1" t="s">
        <v>809</v>
      </c>
      <c r="I1008" s="1" t="s">
        <v>809</v>
      </c>
      <c r="J1008" s="1" t="s">
        <v>809</v>
      </c>
      <c r="K1008" s="1">
        <v>1.0</v>
      </c>
      <c r="L1008" s="1">
        <v>0.0</v>
      </c>
    </row>
    <row r="1009">
      <c r="A1009" s="1">
        <v>358.0</v>
      </c>
      <c r="B1009" s="1" t="s">
        <v>806</v>
      </c>
      <c r="C1009" s="1" t="s">
        <v>807</v>
      </c>
      <c r="D1009" s="1" t="s">
        <v>812</v>
      </c>
      <c r="E1009" s="1">
        <v>0.0</v>
      </c>
      <c r="F1009" s="1">
        <v>-1.25</v>
      </c>
      <c r="G1009" s="1">
        <v>110.0</v>
      </c>
      <c r="H1009" s="1" t="s">
        <v>809</v>
      </c>
      <c r="I1009" s="1" t="s">
        <v>809</v>
      </c>
      <c r="J1009" s="1" t="s">
        <v>809</v>
      </c>
      <c r="K1009" s="1">
        <v>1.0</v>
      </c>
      <c r="L1009" s="1">
        <v>0.0</v>
      </c>
    </row>
    <row r="1010">
      <c r="A1010" s="1">
        <v>358.0</v>
      </c>
      <c r="B1010" s="1" t="s">
        <v>806</v>
      </c>
      <c r="C1010" s="1" t="s">
        <v>810</v>
      </c>
      <c r="D1010" s="1" t="s">
        <v>812</v>
      </c>
      <c r="E1010" s="1">
        <v>-0.25</v>
      </c>
      <c r="F1010" s="1">
        <v>-0.75</v>
      </c>
      <c r="G1010" s="1">
        <v>51.0</v>
      </c>
      <c r="H1010" s="1" t="s">
        <v>809</v>
      </c>
      <c r="I1010" s="1" t="s">
        <v>809</v>
      </c>
      <c r="J1010" s="1" t="s">
        <v>809</v>
      </c>
      <c r="K1010" s="1">
        <v>1.0</v>
      </c>
      <c r="L1010" s="1">
        <v>0.0</v>
      </c>
    </row>
    <row r="1011">
      <c r="A1011" s="1">
        <v>358.0</v>
      </c>
      <c r="B1011" s="1" t="s">
        <v>806</v>
      </c>
      <c r="C1011" s="1" t="s">
        <v>809</v>
      </c>
      <c r="D1011" s="1" t="s">
        <v>998</v>
      </c>
      <c r="E1011" s="1" t="s">
        <v>809</v>
      </c>
      <c r="F1011" s="1" t="s">
        <v>809</v>
      </c>
      <c r="G1011" s="1" t="s">
        <v>809</v>
      </c>
      <c r="H1011" s="1" t="s">
        <v>809</v>
      </c>
      <c r="I1011" s="1" t="s">
        <v>809</v>
      </c>
      <c r="J1011" s="1" t="s">
        <v>809</v>
      </c>
      <c r="K1011" s="1">
        <v>1.0</v>
      </c>
      <c r="L1011" s="1">
        <v>0.0</v>
      </c>
    </row>
    <row r="1012">
      <c r="A1012" s="1">
        <v>359.0</v>
      </c>
      <c r="B1012" s="1" t="s">
        <v>806</v>
      </c>
      <c r="C1012" s="1" t="s">
        <v>807</v>
      </c>
      <c r="D1012" s="1" t="s">
        <v>812</v>
      </c>
      <c r="E1012" s="1">
        <v>0.0</v>
      </c>
      <c r="F1012" s="1">
        <v>-1.25</v>
      </c>
      <c r="G1012" s="1">
        <v>110.0</v>
      </c>
      <c r="H1012" s="1" t="s">
        <v>809</v>
      </c>
      <c r="I1012" s="1" t="s">
        <v>809</v>
      </c>
      <c r="J1012" s="1" t="s">
        <v>809</v>
      </c>
      <c r="K1012" s="1">
        <v>1.0</v>
      </c>
      <c r="L1012" s="1">
        <v>0.0</v>
      </c>
    </row>
    <row r="1013">
      <c r="A1013" s="1">
        <v>359.0</v>
      </c>
      <c r="B1013" s="1" t="s">
        <v>806</v>
      </c>
      <c r="C1013" s="1" t="s">
        <v>810</v>
      </c>
      <c r="D1013" s="1" t="s">
        <v>812</v>
      </c>
      <c r="E1013" s="1">
        <v>-0.25</v>
      </c>
      <c r="F1013" s="1">
        <v>-0.75</v>
      </c>
      <c r="G1013" s="1">
        <v>51.0</v>
      </c>
      <c r="H1013" s="1" t="s">
        <v>809</v>
      </c>
      <c r="I1013" s="1" t="s">
        <v>809</v>
      </c>
      <c r="J1013" s="1" t="s">
        <v>809</v>
      </c>
      <c r="K1013" s="1">
        <v>1.0</v>
      </c>
      <c r="L1013" s="1">
        <v>0.0</v>
      </c>
    </row>
    <row r="1014">
      <c r="A1014" s="1">
        <v>359.0</v>
      </c>
      <c r="B1014" s="1" t="s">
        <v>806</v>
      </c>
      <c r="C1014" s="1" t="s">
        <v>809</v>
      </c>
      <c r="D1014" s="1" t="s">
        <v>929</v>
      </c>
      <c r="E1014" s="1" t="s">
        <v>809</v>
      </c>
      <c r="F1014" s="1" t="s">
        <v>809</v>
      </c>
      <c r="G1014" s="1" t="s">
        <v>809</v>
      </c>
      <c r="H1014" s="1" t="s">
        <v>809</v>
      </c>
      <c r="I1014" s="1" t="s">
        <v>809</v>
      </c>
      <c r="J1014" s="1" t="s">
        <v>809</v>
      </c>
      <c r="K1014" s="1">
        <v>1.0</v>
      </c>
      <c r="L1014" s="1">
        <v>0.0</v>
      </c>
    </row>
    <row r="1015">
      <c r="A1015" s="1">
        <v>360.0</v>
      </c>
      <c r="B1015" s="1" t="s">
        <v>806</v>
      </c>
      <c r="C1015" s="1" t="s">
        <v>807</v>
      </c>
      <c r="D1015" s="1" t="s">
        <v>999</v>
      </c>
      <c r="E1015" s="1">
        <v>-7.25</v>
      </c>
      <c r="F1015" s="1">
        <v>0.0</v>
      </c>
      <c r="G1015" s="1" t="s">
        <v>809</v>
      </c>
      <c r="H1015" s="1" t="s">
        <v>809</v>
      </c>
      <c r="I1015" s="1">
        <v>28.0</v>
      </c>
      <c r="J1015" s="1">
        <v>24.0</v>
      </c>
      <c r="K1015" s="1">
        <v>1.0</v>
      </c>
      <c r="L1015" s="1">
        <v>150000.0</v>
      </c>
    </row>
    <row r="1016">
      <c r="A1016" s="1">
        <v>360.0</v>
      </c>
      <c r="B1016" s="1" t="s">
        <v>806</v>
      </c>
      <c r="C1016" s="1" t="s">
        <v>810</v>
      </c>
      <c r="D1016" s="1" t="s">
        <v>999</v>
      </c>
      <c r="E1016" s="1">
        <v>-7.25</v>
      </c>
      <c r="F1016" s="1">
        <v>-0.5</v>
      </c>
      <c r="G1016" s="1">
        <v>170.0</v>
      </c>
      <c r="H1016" s="1" t="s">
        <v>809</v>
      </c>
      <c r="I1016" s="1">
        <v>28.0</v>
      </c>
      <c r="J1016" s="1">
        <v>24.0</v>
      </c>
      <c r="K1016" s="1">
        <v>1.0</v>
      </c>
      <c r="L1016" s="1">
        <v>150000.0</v>
      </c>
    </row>
    <row r="1017">
      <c r="A1017" s="1">
        <v>360.0</v>
      </c>
      <c r="B1017" s="1" t="s">
        <v>806</v>
      </c>
      <c r="C1017" s="1" t="s">
        <v>809</v>
      </c>
      <c r="D1017" s="1" t="s">
        <v>814</v>
      </c>
      <c r="E1017" s="1" t="s">
        <v>809</v>
      </c>
      <c r="F1017" s="1" t="s">
        <v>809</v>
      </c>
      <c r="G1017" s="1" t="s">
        <v>809</v>
      </c>
      <c r="H1017" s="1" t="s">
        <v>809</v>
      </c>
      <c r="I1017" s="1" t="s">
        <v>809</v>
      </c>
      <c r="J1017" s="1" t="s">
        <v>809</v>
      </c>
      <c r="K1017" s="1">
        <v>1.0</v>
      </c>
      <c r="L1017" s="1">
        <v>95000.0</v>
      </c>
    </row>
    <row r="1018">
      <c r="A1018" s="1">
        <v>361.0</v>
      </c>
      <c r="B1018" s="1" t="s">
        <v>806</v>
      </c>
      <c r="C1018" s="1" t="s">
        <v>807</v>
      </c>
      <c r="D1018" s="1" t="s">
        <v>865</v>
      </c>
      <c r="E1018" s="1">
        <v>-7.25</v>
      </c>
      <c r="F1018" s="1">
        <v>0.0</v>
      </c>
      <c r="G1018" s="1" t="s">
        <v>809</v>
      </c>
      <c r="H1018" s="1" t="s">
        <v>809</v>
      </c>
      <c r="I1018" s="1" t="s">
        <v>809</v>
      </c>
      <c r="J1018" s="1" t="s">
        <v>809</v>
      </c>
      <c r="K1018" s="1">
        <v>1.0</v>
      </c>
      <c r="L1018" s="1">
        <v>60000.0</v>
      </c>
    </row>
    <row r="1019">
      <c r="A1019" s="1">
        <v>361.0</v>
      </c>
      <c r="B1019" s="1" t="s">
        <v>806</v>
      </c>
      <c r="C1019" s="1" t="s">
        <v>810</v>
      </c>
      <c r="D1019" s="1" t="s">
        <v>865</v>
      </c>
      <c r="E1019" s="1">
        <v>-7.25</v>
      </c>
      <c r="F1019" s="1">
        <v>-0.5</v>
      </c>
      <c r="G1019" s="1">
        <v>170.0</v>
      </c>
      <c r="H1019" s="1" t="s">
        <v>809</v>
      </c>
      <c r="I1019" s="1" t="s">
        <v>809</v>
      </c>
      <c r="J1019" s="1" t="s">
        <v>809</v>
      </c>
      <c r="K1019" s="1">
        <v>1.0</v>
      </c>
      <c r="L1019" s="1">
        <v>60000.0</v>
      </c>
    </row>
    <row r="1020">
      <c r="A1020" s="1">
        <v>362.0</v>
      </c>
      <c r="B1020" s="1" t="s">
        <v>806</v>
      </c>
      <c r="C1020" s="1" t="s">
        <v>807</v>
      </c>
      <c r="D1020" s="1" t="s">
        <v>836</v>
      </c>
      <c r="E1020" s="1">
        <v>0.0</v>
      </c>
      <c r="F1020" s="1">
        <v>-1.25</v>
      </c>
      <c r="G1020" s="1">
        <v>175.0</v>
      </c>
      <c r="H1020" s="1" t="s">
        <v>809</v>
      </c>
      <c r="I1020" s="1">
        <v>30.0</v>
      </c>
      <c r="J1020" s="1">
        <v>26.0</v>
      </c>
      <c r="K1020" s="1">
        <v>1.0</v>
      </c>
      <c r="L1020" s="1">
        <v>47500.0</v>
      </c>
    </row>
    <row r="1021">
      <c r="A1021" s="1">
        <v>362.0</v>
      </c>
      <c r="B1021" s="1" t="s">
        <v>806</v>
      </c>
      <c r="C1021" s="1" t="s">
        <v>810</v>
      </c>
      <c r="D1021" s="1" t="s">
        <v>836</v>
      </c>
      <c r="E1021" s="1">
        <v>0.25</v>
      </c>
      <c r="F1021" s="1">
        <v>-2.0</v>
      </c>
      <c r="G1021" s="1">
        <v>175.0</v>
      </c>
      <c r="H1021" s="1" t="s">
        <v>809</v>
      </c>
      <c r="I1021" s="1">
        <v>30.0</v>
      </c>
      <c r="J1021" s="1">
        <v>26.0</v>
      </c>
      <c r="K1021" s="1">
        <v>1.0</v>
      </c>
      <c r="L1021" s="1">
        <v>47500.0</v>
      </c>
    </row>
    <row r="1022">
      <c r="A1022" s="1">
        <v>363.0</v>
      </c>
      <c r="B1022" s="1" t="s">
        <v>806</v>
      </c>
      <c r="C1022" s="1" t="s">
        <v>807</v>
      </c>
      <c r="D1022" s="1" t="s">
        <v>812</v>
      </c>
      <c r="E1022" s="1">
        <v>-1.5</v>
      </c>
      <c r="F1022" s="1">
        <v>0.0</v>
      </c>
      <c r="G1022" s="1" t="s">
        <v>809</v>
      </c>
      <c r="H1022" s="1" t="s">
        <v>809</v>
      </c>
      <c r="I1022" s="1">
        <v>30.0</v>
      </c>
      <c r="J1022" s="1">
        <v>26.0</v>
      </c>
      <c r="K1022" s="1">
        <v>1.0</v>
      </c>
      <c r="L1022" s="1">
        <v>30613.0</v>
      </c>
    </row>
    <row r="1023">
      <c r="A1023" s="1">
        <v>363.0</v>
      </c>
      <c r="B1023" s="1" t="s">
        <v>806</v>
      </c>
      <c r="C1023" s="1" t="s">
        <v>810</v>
      </c>
      <c r="D1023" s="1" t="s">
        <v>812</v>
      </c>
      <c r="E1023" s="1">
        <v>-1.75</v>
      </c>
      <c r="F1023" s="1">
        <v>0.0</v>
      </c>
      <c r="G1023" s="1" t="s">
        <v>809</v>
      </c>
      <c r="H1023" s="1" t="s">
        <v>809</v>
      </c>
      <c r="I1023" s="1">
        <v>30.0</v>
      </c>
      <c r="J1023" s="1">
        <v>26.0</v>
      </c>
      <c r="K1023" s="1">
        <v>1.0</v>
      </c>
      <c r="L1023" s="1">
        <v>30613.0</v>
      </c>
    </row>
    <row r="1024">
      <c r="A1024" s="1">
        <v>364.0</v>
      </c>
      <c r="B1024" s="1" t="s">
        <v>809</v>
      </c>
      <c r="C1024" s="1">
        <v>2.0</v>
      </c>
      <c r="D1024" s="1" t="s">
        <v>982</v>
      </c>
      <c r="E1024" s="1">
        <v>-1.5</v>
      </c>
      <c r="F1024" s="1">
        <v>0.0</v>
      </c>
      <c r="G1024" s="1" t="s">
        <v>809</v>
      </c>
      <c r="H1024" s="1" t="s">
        <v>809</v>
      </c>
      <c r="I1024" s="1" t="s">
        <v>809</v>
      </c>
      <c r="J1024" s="1" t="s">
        <v>809</v>
      </c>
      <c r="K1024" s="1">
        <v>1.0</v>
      </c>
      <c r="L1024" s="1">
        <v>75000.0</v>
      </c>
    </row>
    <row r="1025">
      <c r="A1025" s="1">
        <v>365.0</v>
      </c>
      <c r="B1025" s="1" t="s">
        <v>806</v>
      </c>
      <c r="C1025" s="1" t="s">
        <v>807</v>
      </c>
      <c r="D1025" s="1" t="s">
        <v>812</v>
      </c>
      <c r="E1025" s="1">
        <v>0.0</v>
      </c>
      <c r="F1025" s="1">
        <v>0.0</v>
      </c>
      <c r="G1025" s="1" t="s">
        <v>809</v>
      </c>
      <c r="H1025" s="1" t="s">
        <v>809</v>
      </c>
      <c r="I1025" s="1" t="s">
        <v>809</v>
      </c>
      <c r="J1025" s="1" t="s">
        <v>809</v>
      </c>
      <c r="K1025" s="1">
        <v>1.0</v>
      </c>
      <c r="L1025" s="1">
        <v>0.0</v>
      </c>
    </row>
    <row r="1026">
      <c r="A1026" s="1">
        <v>365.0</v>
      </c>
      <c r="B1026" s="1" t="s">
        <v>806</v>
      </c>
      <c r="C1026" s="1" t="s">
        <v>810</v>
      </c>
      <c r="D1026" s="1" t="s">
        <v>812</v>
      </c>
      <c r="E1026" s="1">
        <v>0.0</v>
      </c>
      <c r="F1026" s="1">
        <v>0.0</v>
      </c>
      <c r="G1026" s="1" t="s">
        <v>809</v>
      </c>
      <c r="H1026" s="1" t="s">
        <v>809</v>
      </c>
      <c r="I1026" s="1" t="s">
        <v>809</v>
      </c>
      <c r="J1026" s="1" t="s">
        <v>809</v>
      </c>
      <c r="K1026" s="1">
        <v>1.0</v>
      </c>
      <c r="L1026" s="1">
        <v>15000.0</v>
      </c>
    </row>
    <row r="1027">
      <c r="A1027" s="1">
        <v>365.0</v>
      </c>
      <c r="B1027" s="1" t="s">
        <v>806</v>
      </c>
      <c r="C1027" s="1" t="s">
        <v>809</v>
      </c>
      <c r="D1027" s="1" t="s">
        <v>910</v>
      </c>
      <c r="E1027" s="1" t="s">
        <v>809</v>
      </c>
      <c r="F1027" s="1" t="s">
        <v>809</v>
      </c>
      <c r="G1027" s="1" t="s">
        <v>809</v>
      </c>
      <c r="H1027" s="1" t="s">
        <v>809</v>
      </c>
      <c r="I1027" s="1" t="s">
        <v>809</v>
      </c>
      <c r="J1027" s="1" t="s">
        <v>809</v>
      </c>
      <c r="K1027" s="1">
        <v>1.0</v>
      </c>
      <c r="L1027" s="1">
        <v>60000.0</v>
      </c>
    </row>
    <row r="1028">
      <c r="A1028" s="1">
        <v>366.0</v>
      </c>
      <c r="B1028" s="1" t="s">
        <v>806</v>
      </c>
      <c r="C1028" s="1" t="s">
        <v>807</v>
      </c>
      <c r="D1028" s="1" t="s">
        <v>836</v>
      </c>
      <c r="E1028" s="1">
        <v>-1.0</v>
      </c>
      <c r="F1028" s="1">
        <v>0.0</v>
      </c>
      <c r="G1028" s="1" t="s">
        <v>809</v>
      </c>
      <c r="H1028" s="1" t="s">
        <v>809</v>
      </c>
      <c r="I1028" s="1" t="s">
        <v>809</v>
      </c>
      <c r="J1028" s="1" t="s">
        <v>809</v>
      </c>
      <c r="K1028" s="1">
        <v>1.0</v>
      </c>
      <c r="L1028" s="1">
        <v>45000.0</v>
      </c>
    </row>
    <row r="1029">
      <c r="A1029" s="1">
        <v>366.0</v>
      </c>
      <c r="B1029" s="1" t="s">
        <v>806</v>
      </c>
      <c r="C1029" s="1" t="s">
        <v>810</v>
      </c>
      <c r="D1029" s="1" t="s">
        <v>836</v>
      </c>
      <c r="E1029" s="1">
        <v>-1.25</v>
      </c>
      <c r="F1029" s="1">
        <v>-0.25</v>
      </c>
      <c r="G1029" s="1">
        <v>170.0</v>
      </c>
      <c r="H1029" s="1" t="s">
        <v>809</v>
      </c>
      <c r="I1029" s="1" t="s">
        <v>809</v>
      </c>
      <c r="J1029" s="1" t="s">
        <v>809</v>
      </c>
      <c r="K1029" s="1">
        <v>1.0</v>
      </c>
      <c r="L1029" s="1">
        <v>45000.0</v>
      </c>
    </row>
    <row r="1030">
      <c r="A1030" s="1">
        <v>366.0</v>
      </c>
      <c r="B1030" s="1" t="s">
        <v>806</v>
      </c>
      <c r="C1030" s="1" t="s">
        <v>809</v>
      </c>
      <c r="D1030" s="1" t="s">
        <v>915</v>
      </c>
      <c r="E1030" s="1" t="s">
        <v>809</v>
      </c>
      <c r="F1030" s="1" t="s">
        <v>809</v>
      </c>
      <c r="G1030" s="1" t="s">
        <v>809</v>
      </c>
      <c r="H1030" s="1" t="s">
        <v>809</v>
      </c>
      <c r="I1030" s="1" t="s">
        <v>809</v>
      </c>
      <c r="J1030" s="1" t="s">
        <v>809</v>
      </c>
      <c r="K1030" s="1">
        <v>1.0</v>
      </c>
      <c r="L1030" s="1">
        <v>120000.0</v>
      </c>
    </row>
    <row r="1031">
      <c r="A1031" s="1">
        <v>367.0</v>
      </c>
      <c r="B1031" s="1" t="s">
        <v>806</v>
      </c>
      <c r="C1031" s="1" t="s">
        <v>807</v>
      </c>
      <c r="D1031" s="1" t="s">
        <v>823</v>
      </c>
      <c r="E1031" s="1">
        <v>4.5</v>
      </c>
      <c r="F1031" s="1">
        <v>0.0</v>
      </c>
      <c r="G1031" s="1" t="s">
        <v>809</v>
      </c>
      <c r="H1031" s="1">
        <v>2.75</v>
      </c>
      <c r="I1031" s="1">
        <v>30.0</v>
      </c>
      <c r="J1031" s="1">
        <v>26.0</v>
      </c>
      <c r="K1031" s="1">
        <v>1.0</v>
      </c>
      <c r="L1031" s="1">
        <v>300000.0</v>
      </c>
    </row>
    <row r="1032">
      <c r="A1032" s="1">
        <v>367.0</v>
      </c>
      <c r="B1032" s="1" t="s">
        <v>806</v>
      </c>
      <c r="C1032" s="1" t="s">
        <v>810</v>
      </c>
      <c r="D1032" s="1" t="s">
        <v>823</v>
      </c>
      <c r="E1032" s="1">
        <v>5.0</v>
      </c>
      <c r="F1032" s="1">
        <v>-0.75</v>
      </c>
      <c r="G1032" s="1">
        <v>150.0</v>
      </c>
      <c r="H1032" s="1">
        <v>2.75</v>
      </c>
      <c r="I1032" s="1">
        <v>30.0</v>
      </c>
      <c r="J1032" s="1">
        <v>26.0</v>
      </c>
      <c r="K1032" s="1">
        <v>1.0</v>
      </c>
      <c r="L1032" s="1">
        <v>300000.0</v>
      </c>
    </row>
    <row r="1033">
      <c r="A1033" s="1">
        <v>367.0</v>
      </c>
      <c r="B1033" s="1" t="s">
        <v>806</v>
      </c>
      <c r="C1033" s="1" t="s">
        <v>809</v>
      </c>
      <c r="D1033" s="1" t="s">
        <v>929</v>
      </c>
      <c r="E1033" s="1" t="s">
        <v>809</v>
      </c>
      <c r="F1033" s="1" t="s">
        <v>809</v>
      </c>
      <c r="G1033" s="1" t="s">
        <v>809</v>
      </c>
      <c r="H1033" s="1" t="s">
        <v>809</v>
      </c>
      <c r="I1033" s="1" t="s">
        <v>809</v>
      </c>
      <c r="J1033" s="1" t="s">
        <v>809</v>
      </c>
      <c r="K1033" s="1">
        <v>1.0</v>
      </c>
      <c r="L1033" s="1">
        <v>98000.0</v>
      </c>
    </row>
    <row r="1034">
      <c r="A1034" s="1">
        <v>368.0</v>
      </c>
      <c r="B1034" s="1" t="s">
        <v>806</v>
      </c>
      <c r="C1034" s="1" t="s">
        <v>807</v>
      </c>
      <c r="D1034" s="1" t="s">
        <v>1000</v>
      </c>
      <c r="E1034" s="1">
        <v>-1.0</v>
      </c>
      <c r="F1034" s="1">
        <v>-0.5</v>
      </c>
      <c r="G1034" s="1">
        <v>0.0</v>
      </c>
      <c r="H1034" s="1">
        <v>2.75</v>
      </c>
      <c r="I1034" s="1" t="s">
        <v>809</v>
      </c>
      <c r="J1034" s="1" t="s">
        <v>809</v>
      </c>
      <c r="K1034" s="1">
        <v>1.0</v>
      </c>
      <c r="L1034" s="1">
        <v>690000.0</v>
      </c>
    </row>
    <row r="1035">
      <c r="A1035" s="1">
        <v>368.0</v>
      </c>
      <c r="B1035" s="1" t="s">
        <v>806</v>
      </c>
      <c r="C1035" s="1" t="s">
        <v>810</v>
      </c>
      <c r="D1035" s="1" t="s">
        <v>1000</v>
      </c>
      <c r="E1035" s="1">
        <v>-1.5</v>
      </c>
      <c r="F1035" s="1">
        <v>-0.5</v>
      </c>
      <c r="G1035" s="1">
        <v>30.0</v>
      </c>
      <c r="H1035" s="1">
        <v>2.75</v>
      </c>
      <c r="I1035" s="1" t="s">
        <v>809</v>
      </c>
      <c r="J1035" s="1" t="s">
        <v>809</v>
      </c>
      <c r="K1035" s="1">
        <v>1.0</v>
      </c>
      <c r="L1035" s="1">
        <v>690000.0</v>
      </c>
    </row>
    <row r="1036">
      <c r="A1036" s="1">
        <v>368.0</v>
      </c>
      <c r="B1036" s="1" t="s">
        <v>806</v>
      </c>
      <c r="C1036" s="1" t="s">
        <v>809</v>
      </c>
      <c r="D1036" s="1" t="s">
        <v>833</v>
      </c>
      <c r="E1036" s="1" t="s">
        <v>809</v>
      </c>
      <c r="F1036" s="1" t="s">
        <v>809</v>
      </c>
      <c r="G1036" s="1" t="s">
        <v>809</v>
      </c>
      <c r="H1036" s="1" t="s">
        <v>809</v>
      </c>
      <c r="I1036" s="1" t="s">
        <v>809</v>
      </c>
      <c r="J1036" s="1" t="s">
        <v>809</v>
      </c>
      <c r="K1036" s="1">
        <v>1.0</v>
      </c>
      <c r="L1036" s="1">
        <v>152000.0</v>
      </c>
    </row>
    <row r="1037">
      <c r="A1037" s="1">
        <v>369.0</v>
      </c>
      <c r="B1037" s="1" t="s">
        <v>806</v>
      </c>
      <c r="C1037" s="1" t="s">
        <v>807</v>
      </c>
      <c r="D1037" s="1" t="s">
        <v>836</v>
      </c>
      <c r="E1037" s="1">
        <v>-0.25</v>
      </c>
      <c r="F1037" s="1">
        <v>-0.75</v>
      </c>
      <c r="G1037" s="1">
        <v>165.0</v>
      </c>
      <c r="H1037" s="1" t="s">
        <v>809</v>
      </c>
      <c r="I1037" s="1">
        <v>29.5</v>
      </c>
      <c r="J1037" s="1">
        <v>28.0</v>
      </c>
      <c r="K1037" s="1">
        <v>1.0</v>
      </c>
      <c r="L1037" s="1">
        <v>45000.0</v>
      </c>
    </row>
    <row r="1038">
      <c r="A1038" s="1">
        <v>369.0</v>
      </c>
      <c r="B1038" s="1" t="s">
        <v>806</v>
      </c>
      <c r="C1038" s="1" t="s">
        <v>810</v>
      </c>
      <c r="D1038" s="1" t="s">
        <v>836</v>
      </c>
      <c r="E1038" s="1">
        <v>-0.25</v>
      </c>
      <c r="F1038" s="1">
        <v>-0.5</v>
      </c>
      <c r="G1038" s="1">
        <v>30.0</v>
      </c>
      <c r="H1038" s="1" t="s">
        <v>809</v>
      </c>
      <c r="I1038" s="1">
        <v>30.0</v>
      </c>
      <c r="J1038" s="1">
        <v>29.0</v>
      </c>
      <c r="K1038" s="1">
        <v>1.0</v>
      </c>
      <c r="L1038" s="1">
        <v>45000.0</v>
      </c>
    </row>
    <row r="1039">
      <c r="A1039" s="1">
        <v>369.0</v>
      </c>
      <c r="B1039" s="1" t="s">
        <v>806</v>
      </c>
      <c r="C1039" s="1" t="s">
        <v>809</v>
      </c>
      <c r="D1039" s="1" t="s">
        <v>915</v>
      </c>
      <c r="E1039" s="1" t="s">
        <v>809</v>
      </c>
      <c r="F1039" s="1" t="s">
        <v>809</v>
      </c>
      <c r="G1039" s="1" t="s">
        <v>809</v>
      </c>
      <c r="H1039" s="1" t="s">
        <v>809</v>
      </c>
      <c r="I1039" s="1" t="s">
        <v>809</v>
      </c>
      <c r="J1039" s="1" t="s">
        <v>809</v>
      </c>
      <c r="K1039" s="1">
        <v>1.0</v>
      </c>
      <c r="L1039" s="1">
        <v>120000.0</v>
      </c>
    </row>
    <row r="1040">
      <c r="A1040" s="1">
        <v>370.0</v>
      </c>
      <c r="B1040" s="1" t="s">
        <v>806</v>
      </c>
      <c r="C1040" s="1" t="s">
        <v>807</v>
      </c>
      <c r="D1040" s="1" t="s">
        <v>894</v>
      </c>
      <c r="E1040" s="1">
        <v>1.75</v>
      </c>
      <c r="F1040" s="1">
        <v>-0.5</v>
      </c>
      <c r="G1040" s="1">
        <v>180.0</v>
      </c>
      <c r="H1040" s="1">
        <v>2.5</v>
      </c>
      <c r="I1040" s="1" t="s">
        <v>809</v>
      </c>
      <c r="J1040" s="1" t="s">
        <v>809</v>
      </c>
      <c r="K1040" s="1">
        <v>1.0</v>
      </c>
      <c r="L1040" s="1">
        <v>130000.0</v>
      </c>
    </row>
    <row r="1041">
      <c r="A1041" s="1">
        <v>370.0</v>
      </c>
      <c r="B1041" s="1" t="s">
        <v>806</v>
      </c>
      <c r="C1041" s="1" t="s">
        <v>810</v>
      </c>
      <c r="D1041" s="1" t="s">
        <v>894</v>
      </c>
      <c r="E1041" s="1">
        <v>1.25</v>
      </c>
      <c r="F1041" s="1">
        <v>-0.5</v>
      </c>
      <c r="G1041" s="1">
        <v>145.0</v>
      </c>
      <c r="H1041" s="1">
        <v>2.5</v>
      </c>
      <c r="I1041" s="1" t="s">
        <v>809</v>
      </c>
      <c r="J1041" s="1" t="s">
        <v>809</v>
      </c>
      <c r="K1041" s="1">
        <v>1.0</v>
      </c>
      <c r="L1041" s="1">
        <v>130000.0</v>
      </c>
    </row>
    <row r="1042">
      <c r="A1042" s="1">
        <v>370.0</v>
      </c>
      <c r="B1042" s="1" t="s">
        <v>806</v>
      </c>
      <c r="C1042" s="1" t="s">
        <v>809</v>
      </c>
      <c r="D1042" s="1" t="s">
        <v>915</v>
      </c>
      <c r="E1042" s="1" t="s">
        <v>809</v>
      </c>
      <c r="F1042" s="1" t="s">
        <v>809</v>
      </c>
      <c r="G1042" s="1" t="s">
        <v>809</v>
      </c>
      <c r="H1042" s="1" t="s">
        <v>809</v>
      </c>
      <c r="I1042" s="1" t="s">
        <v>809</v>
      </c>
      <c r="J1042" s="1" t="s">
        <v>809</v>
      </c>
      <c r="K1042" s="1">
        <v>1.0</v>
      </c>
      <c r="L1042" s="1">
        <v>120000.0</v>
      </c>
    </row>
    <row r="1043">
      <c r="A1043" s="1">
        <v>371.0</v>
      </c>
      <c r="B1043" s="1" t="s">
        <v>809</v>
      </c>
      <c r="C1043" s="1" t="s">
        <v>809</v>
      </c>
      <c r="D1043" s="1" t="s">
        <v>1001</v>
      </c>
      <c r="E1043" s="1" t="s">
        <v>809</v>
      </c>
      <c r="F1043" s="1" t="s">
        <v>809</v>
      </c>
      <c r="G1043" s="1" t="s">
        <v>809</v>
      </c>
      <c r="H1043" s="1" t="s">
        <v>809</v>
      </c>
      <c r="I1043" s="1" t="s">
        <v>809</v>
      </c>
      <c r="J1043" s="1" t="s">
        <v>809</v>
      </c>
      <c r="K1043" s="1">
        <v>1.0</v>
      </c>
      <c r="L1043" s="1">
        <v>135000.0</v>
      </c>
    </row>
    <row r="1044">
      <c r="A1044" s="1">
        <v>372.0</v>
      </c>
      <c r="B1044" s="1" t="s">
        <v>806</v>
      </c>
      <c r="C1044" s="1" t="s">
        <v>807</v>
      </c>
      <c r="D1044" s="1" t="s">
        <v>812</v>
      </c>
      <c r="E1044" s="1">
        <v>-1.0</v>
      </c>
      <c r="F1044" s="1">
        <v>0.0</v>
      </c>
      <c r="G1044" s="1" t="s">
        <v>809</v>
      </c>
      <c r="H1044" s="1" t="s">
        <v>809</v>
      </c>
      <c r="I1044" s="1" t="s">
        <v>809</v>
      </c>
      <c r="J1044" s="1" t="s">
        <v>809</v>
      </c>
      <c r="K1044" s="1">
        <v>1.0</v>
      </c>
      <c r="L1044" s="1">
        <v>30000.0</v>
      </c>
    </row>
    <row r="1045">
      <c r="A1045" s="1">
        <v>372.0</v>
      </c>
      <c r="B1045" s="1" t="s">
        <v>806</v>
      </c>
      <c r="C1045" s="1" t="s">
        <v>810</v>
      </c>
      <c r="D1045" s="1" t="s">
        <v>812</v>
      </c>
      <c r="E1045" s="1">
        <v>-1.0</v>
      </c>
      <c r="F1045" s="1">
        <v>0.0</v>
      </c>
      <c r="G1045" s="1" t="s">
        <v>809</v>
      </c>
      <c r="H1045" s="1" t="s">
        <v>809</v>
      </c>
      <c r="I1045" s="1" t="s">
        <v>809</v>
      </c>
      <c r="J1045" s="1" t="s">
        <v>809</v>
      </c>
      <c r="K1045" s="1">
        <v>1.0</v>
      </c>
      <c r="L1045" s="1">
        <v>30000.0</v>
      </c>
    </row>
    <row r="1046">
      <c r="A1046" s="1">
        <v>372.0</v>
      </c>
      <c r="B1046" s="1" t="s">
        <v>806</v>
      </c>
      <c r="C1046" s="1" t="s">
        <v>809</v>
      </c>
      <c r="D1046" s="1" t="s">
        <v>929</v>
      </c>
      <c r="E1046" s="1" t="s">
        <v>809</v>
      </c>
      <c r="F1046" s="1" t="s">
        <v>809</v>
      </c>
      <c r="G1046" s="1" t="s">
        <v>809</v>
      </c>
      <c r="H1046" s="1" t="s">
        <v>809</v>
      </c>
      <c r="I1046" s="1" t="s">
        <v>809</v>
      </c>
      <c r="J1046" s="1" t="s">
        <v>809</v>
      </c>
      <c r="K1046" s="1">
        <v>1.0</v>
      </c>
      <c r="L1046" s="1">
        <v>90000.0</v>
      </c>
    </row>
    <row r="1047">
      <c r="A1047" s="1">
        <v>373.0</v>
      </c>
      <c r="B1047" s="1" t="s">
        <v>806</v>
      </c>
      <c r="C1047" s="1" t="s">
        <v>807</v>
      </c>
      <c r="D1047" s="1" t="s">
        <v>812</v>
      </c>
      <c r="E1047" s="1">
        <v>0.0</v>
      </c>
      <c r="F1047" s="1">
        <v>0.0</v>
      </c>
      <c r="G1047" s="1" t="s">
        <v>809</v>
      </c>
      <c r="H1047" s="1" t="s">
        <v>809</v>
      </c>
      <c r="I1047" s="1" t="s">
        <v>809</v>
      </c>
      <c r="J1047" s="1" t="s">
        <v>809</v>
      </c>
      <c r="K1047" s="1">
        <v>1.0</v>
      </c>
      <c r="L1047" s="1">
        <v>30000.0</v>
      </c>
    </row>
    <row r="1048">
      <c r="A1048" s="1">
        <v>373.0</v>
      </c>
      <c r="B1048" s="1" t="s">
        <v>806</v>
      </c>
      <c r="C1048" s="1" t="s">
        <v>810</v>
      </c>
      <c r="D1048" s="1" t="s">
        <v>812</v>
      </c>
      <c r="E1048" s="1">
        <v>0.0</v>
      </c>
      <c r="F1048" s="1">
        <v>0.0</v>
      </c>
      <c r="G1048" s="1" t="s">
        <v>809</v>
      </c>
      <c r="H1048" s="1" t="s">
        <v>809</v>
      </c>
      <c r="I1048" s="1" t="s">
        <v>809</v>
      </c>
      <c r="J1048" s="1" t="s">
        <v>809</v>
      </c>
      <c r="K1048" s="1">
        <v>1.0</v>
      </c>
      <c r="L1048" s="1">
        <v>30000.0</v>
      </c>
    </row>
    <row r="1049">
      <c r="A1049" s="1">
        <v>373.0</v>
      </c>
      <c r="B1049" s="1" t="s">
        <v>806</v>
      </c>
      <c r="C1049" s="1" t="s">
        <v>809</v>
      </c>
      <c r="D1049" s="1" t="s">
        <v>910</v>
      </c>
      <c r="E1049" s="1" t="s">
        <v>809</v>
      </c>
      <c r="F1049" s="1" t="s">
        <v>809</v>
      </c>
      <c r="G1049" s="1" t="s">
        <v>809</v>
      </c>
      <c r="H1049" s="1" t="s">
        <v>809</v>
      </c>
      <c r="I1049" s="1" t="s">
        <v>809</v>
      </c>
      <c r="J1049" s="1" t="s">
        <v>809</v>
      </c>
      <c r="K1049" s="1">
        <v>1.0</v>
      </c>
      <c r="L1049" s="1">
        <v>65000.0</v>
      </c>
    </row>
    <row r="1050">
      <c r="A1050" s="1">
        <v>374.0</v>
      </c>
      <c r="B1050" s="1" t="s">
        <v>806</v>
      </c>
      <c r="C1050" s="1" t="s">
        <v>807</v>
      </c>
      <c r="D1050" s="1" t="s">
        <v>823</v>
      </c>
      <c r="E1050" s="1">
        <v>0.0</v>
      </c>
      <c r="F1050" s="1">
        <v>-1.25</v>
      </c>
      <c r="G1050" s="1">
        <v>175.0</v>
      </c>
      <c r="H1050" s="1">
        <v>2.0</v>
      </c>
      <c r="I1050" s="1" t="s">
        <v>809</v>
      </c>
      <c r="J1050" s="1" t="s">
        <v>809</v>
      </c>
      <c r="K1050" s="1">
        <v>1.0</v>
      </c>
      <c r="L1050" s="1">
        <v>255000.0</v>
      </c>
    </row>
    <row r="1051">
      <c r="A1051" s="1">
        <v>374.0</v>
      </c>
      <c r="B1051" s="1" t="s">
        <v>806</v>
      </c>
      <c r="C1051" s="1" t="s">
        <v>810</v>
      </c>
      <c r="D1051" s="1" t="s">
        <v>823</v>
      </c>
      <c r="E1051" s="1">
        <v>0.0</v>
      </c>
      <c r="F1051" s="1">
        <v>-1.25</v>
      </c>
      <c r="G1051" s="1">
        <v>20.0</v>
      </c>
      <c r="H1051" s="1">
        <v>2.0</v>
      </c>
      <c r="I1051" s="1" t="s">
        <v>809</v>
      </c>
      <c r="J1051" s="1" t="s">
        <v>809</v>
      </c>
      <c r="K1051" s="1">
        <v>1.0</v>
      </c>
      <c r="L1051" s="1">
        <v>255000.0</v>
      </c>
    </row>
    <row r="1052">
      <c r="A1052" s="1">
        <v>374.0</v>
      </c>
      <c r="B1052" s="1" t="s">
        <v>806</v>
      </c>
      <c r="C1052" s="1" t="s">
        <v>809</v>
      </c>
      <c r="D1052" s="1" t="s">
        <v>915</v>
      </c>
      <c r="E1052" s="1" t="s">
        <v>809</v>
      </c>
      <c r="F1052" s="1" t="s">
        <v>809</v>
      </c>
      <c r="G1052" s="1" t="s">
        <v>809</v>
      </c>
      <c r="H1052" s="1" t="s">
        <v>809</v>
      </c>
      <c r="I1052" s="1" t="s">
        <v>809</v>
      </c>
      <c r="J1052" s="1" t="s">
        <v>809</v>
      </c>
      <c r="K1052" s="1">
        <v>1.0</v>
      </c>
      <c r="L1052" s="1">
        <v>120000.0</v>
      </c>
    </row>
    <row r="1053">
      <c r="A1053" s="1">
        <v>375.0</v>
      </c>
      <c r="B1053" s="1" t="s">
        <v>806</v>
      </c>
      <c r="C1053" s="1" t="s">
        <v>807</v>
      </c>
      <c r="D1053" s="1" t="s">
        <v>836</v>
      </c>
      <c r="E1053" s="1">
        <v>-0.25</v>
      </c>
      <c r="F1053" s="1">
        <v>-0.75</v>
      </c>
      <c r="G1053" s="1">
        <v>165.0</v>
      </c>
      <c r="H1053" s="1" t="s">
        <v>809</v>
      </c>
      <c r="I1053" s="1" t="s">
        <v>809</v>
      </c>
      <c r="J1053" s="1" t="s">
        <v>809</v>
      </c>
      <c r="K1053" s="1">
        <v>1.0</v>
      </c>
      <c r="L1053" s="1">
        <v>45000.0</v>
      </c>
    </row>
    <row r="1054">
      <c r="A1054" s="1">
        <v>375.0</v>
      </c>
      <c r="B1054" s="1" t="s">
        <v>806</v>
      </c>
      <c r="C1054" s="1" t="s">
        <v>810</v>
      </c>
      <c r="D1054" s="1" t="s">
        <v>836</v>
      </c>
      <c r="E1054" s="1">
        <v>-0.25</v>
      </c>
      <c r="F1054" s="1">
        <v>-0.5</v>
      </c>
      <c r="G1054" s="1">
        <v>30.0</v>
      </c>
      <c r="H1054" s="1" t="s">
        <v>809</v>
      </c>
      <c r="I1054" s="1" t="s">
        <v>809</v>
      </c>
      <c r="J1054" s="1" t="s">
        <v>809</v>
      </c>
      <c r="K1054" s="1">
        <v>1.0</v>
      </c>
      <c r="L1054" s="1">
        <v>45000.0</v>
      </c>
    </row>
    <row r="1055">
      <c r="A1055" s="1">
        <v>375.0</v>
      </c>
      <c r="B1055" s="1" t="s">
        <v>806</v>
      </c>
      <c r="C1055" s="1" t="s">
        <v>809</v>
      </c>
      <c r="D1055" s="1" t="s">
        <v>915</v>
      </c>
      <c r="E1055" s="1" t="s">
        <v>809</v>
      </c>
      <c r="F1055" s="1" t="s">
        <v>809</v>
      </c>
      <c r="G1055" s="1" t="s">
        <v>809</v>
      </c>
      <c r="H1055" s="1" t="s">
        <v>809</v>
      </c>
      <c r="I1055" s="1" t="s">
        <v>809</v>
      </c>
      <c r="J1055" s="1" t="s">
        <v>809</v>
      </c>
      <c r="K1055" s="1">
        <v>1.0</v>
      </c>
      <c r="L1055" s="1">
        <v>120000.0</v>
      </c>
    </row>
    <row r="1056">
      <c r="A1056" s="1">
        <v>376.0</v>
      </c>
      <c r="B1056" s="1" t="s">
        <v>806</v>
      </c>
      <c r="C1056" s="1" t="s">
        <v>807</v>
      </c>
      <c r="D1056" s="1" t="s">
        <v>812</v>
      </c>
      <c r="E1056" s="1">
        <v>-0.25</v>
      </c>
      <c r="F1056" s="1">
        <v>-1.5</v>
      </c>
      <c r="G1056" s="1">
        <v>80.0</v>
      </c>
      <c r="H1056" s="1" t="s">
        <v>809</v>
      </c>
      <c r="I1056" s="1">
        <v>30.0</v>
      </c>
      <c r="J1056" s="1">
        <v>26.0</v>
      </c>
      <c r="K1056" s="1">
        <v>1.0</v>
      </c>
      <c r="L1056" s="1">
        <v>30000.0</v>
      </c>
    </row>
    <row r="1057">
      <c r="A1057" s="1">
        <v>376.0</v>
      </c>
      <c r="B1057" s="1" t="s">
        <v>806</v>
      </c>
      <c r="C1057" s="1" t="s">
        <v>810</v>
      </c>
      <c r="D1057" s="1" t="s">
        <v>812</v>
      </c>
      <c r="E1057" s="1">
        <v>0.0</v>
      </c>
      <c r="F1057" s="1">
        <v>-0.5</v>
      </c>
      <c r="G1057" s="1">
        <v>70.0</v>
      </c>
      <c r="H1057" s="1" t="s">
        <v>809</v>
      </c>
      <c r="I1057" s="1">
        <v>30.0</v>
      </c>
      <c r="J1057" s="1">
        <v>26.0</v>
      </c>
      <c r="K1057" s="1">
        <v>1.0</v>
      </c>
      <c r="L1057" s="1">
        <v>30000.0</v>
      </c>
    </row>
    <row r="1058">
      <c r="A1058" s="1">
        <v>376.0</v>
      </c>
      <c r="B1058" s="1" t="s">
        <v>806</v>
      </c>
      <c r="C1058" s="1" t="s">
        <v>809</v>
      </c>
      <c r="D1058" s="1" t="s">
        <v>1002</v>
      </c>
      <c r="E1058" s="1" t="s">
        <v>809</v>
      </c>
      <c r="F1058" s="1" t="s">
        <v>809</v>
      </c>
      <c r="G1058" s="1" t="s">
        <v>809</v>
      </c>
      <c r="H1058" s="1" t="s">
        <v>809</v>
      </c>
      <c r="I1058" s="1" t="s">
        <v>809</v>
      </c>
      <c r="J1058" s="1" t="s">
        <v>809</v>
      </c>
      <c r="K1058" s="1">
        <v>1.0</v>
      </c>
      <c r="L1058" s="1">
        <v>126000.0</v>
      </c>
    </row>
    <row r="1059">
      <c r="A1059" s="1">
        <v>377.0</v>
      </c>
      <c r="B1059" s="1" t="s">
        <v>809</v>
      </c>
      <c r="C1059" s="1" t="s">
        <v>809</v>
      </c>
      <c r="D1059" s="1" t="s">
        <v>1003</v>
      </c>
      <c r="E1059" s="1" t="s">
        <v>809</v>
      </c>
      <c r="F1059" s="1" t="s">
        <v>809</v>
      </c>
      <c r="G1059" s="1" t="s">
        <v>809</v>
      </c>
      <c r="H1059" s="1" t="s">
        <v>809</v>
      </c>
      <c r="I1059" s="1" t="s">
        <v>809</v>
      </c>
      <c r="J1059" s="1" t="s">
        <v>809</v>
      </c>
      <c r="K1059" s="1">
        <v>1.0</v>
      </c>
      <c r="L1059" s="1">
        <v>176000.0</v>
      </c>
    </row>
    <row r="1060">
      <c r="A1060" s="1">
        <v>378.0</v>
      </c>
      <c r="B1060" s="1" t="s">
        <v>806</v>
      </c>
      <c r="C1060" s="1" t="s">
        <v>807</v>
      </c>
      <c r="D1060" s="1" t="s">
        <v>836</v>
      </c>
      <c r="E1060" s="1">
        <v>-1.0</v>
      </c>
      <c r="F1060" s="1">
        <v>-1.25</v>
      </c>
      <c r="G1060" s="1">
        <v>90.0</v>
      </c>
      <c r="H1060" s="1" t="s">
        <v>809</v>
      </c>
      <c r="I1060" s="1" t="s">
        <v>809</v>
      </c>
      <c r="J1060" s="1" t="s">
        <v>809</v>
      </c>
      <c r="K1060" s="1">
        <v>1.0</v>
      </c>
      <c r="L1060" s="1">
        <v>55000.0</v>
      </c>
    </row>
    <row r="1061">
      <c r="A1061" s="1">
        <v>378.0</v>
      </c>
      <c r="B1061" s="1" t="s">
        <v>806</v>
      </c>
      <c r="C1061" s="1" t="s">
        <v>810</v>
      </c>
      <c r="D1061" s="1" t="s">
        <v>836</v>
      </c>
      <c r="E1061" s="1">
        <v>-1.5</v>
      </c>
      <c r="F1061" s="1">
        <v>-1.5</v>
      </c>
      <c r="G1061" s="1">
        <v>105.0</v>
      </c>
      <c r="H1061" s="1" t="s">
        <v>809</v>
      </c>
      <c r="I1061" s="1" t="s">
        <v>809</v>
      </c>
      <c r="J1061" s="1" t="s">
        <v>809</v>
      </c>
      <c r="K1061" s="1">
        <v>1.0</v>
      </c>
      <c r="L1061" s="1">
        <v>55000.0</v>
      </c>
    </row>
    <row r="1062">
      <c r="A1062" s="1">
        <v>378.0</v>
      </c>
      <c r="B1062" s="1" t="s">
        <v>806</v>
      </c>
      <c r="C1062" s="1" t="s">
        <v>809</v>
      </c>
      <c r="D1062" s="1" t="s">
        <v>915</v>
      </c>
      <c r="E1062" s="1" t="s">
        <v>809</v>
      </c>
      <c r="F1062" s="1" t="s">
        <v>809</v>
      </c>
      <c r="G1062" s="1" t="s">
        <v>809</v>
      </c>
      <c r="H1062" s="1" t="s">
        <v>809</v>
      </c>
      <c r="I1062" s="1" t="s">
        <v>809</v>
      </c>
      <c r="J1062" s="1" t="s">
        <v>809</v>
      </c>
      <c r="K1062" s="1">
        <v>1.0</v>
      </c>
      <c r="L1062" s="1">
        <v>120000.0</v>
      </c>
    </row>
    <row r="1063">
      <c r="A1063" s="1">
        <v>379.0</v>
      </c>
      <c r="B1063" s="1" t="s">
        <v>809</v>
      </c>
      <c r="C1063" s="1" t="s">
        <v>809</v>
      </c>
      <c r="D1063" s="1" t="s">
        <v>1004</v>
      </c>
      <c r="E1063" s="1" t="s">
        <v>809</v>
      </c>
      <c r="F1063" s="1" t="s">
        <v>809</v>
      </c>
      <c r="G1063" s="1" t="s">
        <v>809</v>
      </c>
      <c r="H1063" s="1" t="s">
        <v>809</v>
      </c>
      <c r="I1063" s="1" t="s">
        <v>809</v>
      </c>
      <c r="J1063" s="1" t="s">
        <v>809</v>
      </c>
      <c r="K1063" s="1">
        <v>1.0</v>
      </c>
      <c r="L1063" s="1">
        <v>136800.0</v>
      </c>
    </row>
    <row r="1064">
      <c r="A1064" s="1">
        <v>380.0</v>
      </c>
      <c r="B1064" s="1" t="s">
        <v>809</v>
      </c>
      <c r="C1064" s="1">
        <v>2.0</v>
      </c>
      <c r="D1064" s="1" t="s">
        <v>982</v>
      </c>
      <c r="E1064" s="1">
        <v>-1.75</v>
      </c>
      <c r="F1064" s="1">
        <v>0.0</v>
      </c>
      <c r="G1064" s="1" t="s">
        <v>809</v>
      </c>
      <c r="H1064" s="1" t="s">
        <v>809</v>
      </c>
      <c r="I1064" s="1" t="s">
        <v>809</v>
      </c>
      <c r="J1064" s="1" t="s">
        <v>809</v>
      </c>
      <c r="K1064" s="1">
        <v>1.0</v>
      </c>
      <c r="L1064" s="1">
        <v>75000.0</v>
      </c>
    </row>
    <row r="1065">
      <c r="A1065" s="1">
        <v>381.0</v>
      </c>
      <c r="B1065" s="1" t="s">
        <v>806</v>
      </c>
      <c r="C1065" s="1" t="s">
        <v>807</v>
      </c>
      <c r="D1065" s="1" t="s">
        <v>919</v>
      </c>
      <c r="E1065" s="1">
        <v>0.0</v>
      </c>
      <c r="F1065" s="1">
        <v>0.0</v>
      </c>
      <c r="G1065" s="1" t="s">
        <v>809</v>
      </c>
      <c r="H1065" s="1" t="s">
        <v>809</v>
      </c>
      <c r="I1065" s="1" t="s">
        <v>809</v>
      </c>
      <c r="J1065" s="1" t="s">
        <v>809</v>
      </c>
      <c r="K1065" s="1">
        <v>1.0</v>
      </c>
      <c r="L1065" s="1">
        <v>26000.0</v>
      </c>
    </row>
    <row r="1066">
      <c r="A1066" s="1">
        <v>381.0</v>
      </c>
      <c r="B1066" s="1" t="s">
        <v>806</v>
      </c>
      <c r="C1066" s="1" t="s">
        <v>810</v>
      </c>
      <c r="D1066" s="1" t="s">
        <v>919</v>
      </c>
      <c r="E1066" s="1">
        <v>0.0</v>
      </c>
      <c r="F1066" s="1">
        <v>0.0</v>
      </c>
      <c r="G1066" s="1" t="s">
        <v>809</v>
      </c>
      <c r="H1066" s="1" t="s">
        <v>809</v>
      </c>
      <c r="I1066" s="1" t="s">
        <v>809</v>
      </c>
      <c r="J1066" s="1" t="s">
        <v>809</v>
      </c>
      <c r="K1066" s="1">
        <v>1.0</v>
      </c>
      <c r="L1066" s="1">
        <v>26000.0</v>
      </c>
    </row>
    <row r="1067">
      <c r="A1067" s="1">
        <v>381.0</v>
      </c>
      <c r="B1067" s="1" t="s">
        <v>806</v>
      </c>
      <c r="C1067" s="1" t="s">
        <v>809</v>
      </c>
      <c r="D1067" s="1" t="s">
        <v>912</v>
      </c>
      <c r="E1067" s="1" t="s">
        <v>809</v>
      </c>
      <c r="F1067" s="1" t="s">
        <v>809</v>
      </c>
      <c r="G1067" s="1" t="s">
        <v>809</v>
      </c>
      <c r="H1067" s="1" t="s">
        <v>809</v>
      </c>
      <c r="I1067" s="1" t="s">
        <v>809</v>
      </c>
      <c r="J1067" s="1" t="s">
        <v>809</v>
      </c>
      <c r="K1067" s="1">
        <v>1.0</v>
      </c>
      <c r="L1067" s="1">
        <v>80000.0</v>
      </c>
    </row>
    <row r="1068">
      <c r="A1068" s="1">
        <v>382.0</v>
      </c>
      <c r="B1068" s="1" t="s">
        <v>825</v>
      </c>
      <c r="C1068" s="1" t="s">
        <v>807</v>
      </c>
      <c r="D1068" s="1" t="s">
        <v>826</v>
      </c>
      <c r="E1068" s="1">
        <v>0.0</v>
      </c>
      <c r="F1068" s="1">
        <v>0.0</v>
      </c>
      <c r="G1068" s="1" t="s">
        <v>809</v>
      </c>
      <c r="H1068" s="1" t="s">
        <v>809</v>
      </c>
      <c r="I1068" s="1" t="s">
        <v>809</v>
      </c>
      <c r="J1068" s="1" t="s">
        <v>809</v>
      </c>
      <c r="K1068" s="1">
        <v>1.0</v>
      </c>
      <c r="L1068" s="1">
        <v>25000.0</v>
      </c>
    </row>
    <row r="1069">
      <c r="A1069" s="1">
        <v>382.0</v>
      </c>
      <c r="B1069" s="1" t="s">
        <v>825</v>
      </c>
      <c r="C1069" s="1" t="s">
        <v>810</v>
      </c>
      <c r="D1069" s="1" t="s">
        <v>826</v>
      </c>
      <c r="E1069" s="1">
        <v>0.0</v>
      </c>
      <c r="F1069" s="1">
        <v>0.0</v>
      </c>
      <c r="G1069" s="1" t="s">
        <v>809</v>
      </c>
      <c r="H1069" s="1" t="s">
        <v>809</v>
      </c>
      <c r="I1069" s="1" t="s">
        <v>809</v>
      </c>
      <c r="J1069" s="1" t="s">
        <v>809</v>
      </c>
      <c r="K1069" s="1">
        <v>1.0</v>
      </c>
      <c r="L1069" s="1">
        <v>25000.0</v>
      </c>
    </row>
    <row r="1070">
      <c r="A1070" s="1">
        <v>382.0</v>
      </c>
      <c r="B1070" s="1" t="s">
        <v>825</v>
      </c>
      <c r="C1070" s="1" t="s">
        <v>809</v>
      </c>
      <c r="D1070" s="1" t="s">
        <v>929</v>
      </c>
      <c r="E1070" s="1" t="s">
        <v>809</v>
      </c>
      <c r="F1070" s="1" t="s">
        <v>809</v>
      </c>
      <c r="G1070" s="1" t="s">
        <v>809</v>
      </c>
      <c r="H1070" s="1" t="s">
        <v>809</v>
      </c>
      <c r="I1070" s="1" t="s">
        <v>809</v>
      </c>
      <c r="J1070" s="1" t="s">
        <v>809</v>
      </c>
      <c r="K1070" s="1">
        <v>1.0</v>
      </c>
      <c r="L1070" s="1">
        <v>90000.0</v>
      </c>
    </row>
    <row r="1071">
      <c r="A1071" s="1">
        <v>383.0</v>
      </c>
      <c r="B1071" s="1" t="s">
        <v>806</v>
      </c>
      <c r="C1071" s="1" t="s">
        <v>807</v>
      </c>
      <c r="D1071" s="1" t="s">
        <v>836</v>
      </c>
      <c r="E1071" s="1">
        <v>0.0</v>
      </c>
      <c r="F1071" s="1">
        <v>0.0</v>
      </c>
      <c r="G1071" s="1" t="s">
        <v>809</v>
      </c>
      <c r="H1071" s="1" t="s">
        <v>809</v>
      </c>
      <c r="I1071" s="1" t="s">
        <v>809</v>
      </c>
      <c r="J1071" s="1" t="s">
        <v>809</v>
      </c>
      <c r="K1071" s="1">
        <v>1.0</v>
      </c>
      <c r="L1071" s="1">
        <v>60000.0</v>
      </c>
    </row>
    <row r="1072">
      <c r="A1072" s="1">
        <v>383.0</v>
      </c>
      <c r="B1072" s="1" t="s">
        <v>806</v>
      </c>
      <c r="C1072" s="1" t="s">
        <v>810</v>
      </c>
      <c r="D1072" s="1" t="s">
        <v>836</v>
      </c>
      <c r="E1072" s="1">
        <v>0.0</v>
      </c>
      <c r="F1072" s="1">
        <v>0.0</v>
      </c>
      <c r="G1072" s="1" t="s">
        <v>809</v>
      </c>
      <c r="H1072" s="1" t="s">
        <v>809</v>
      </c>
      <c r="I1072" s="1" t="s">
        <v>809</v>
      </c>
      <c r="J1072" s="1" t="s">
        <v>809</v>
      </c>
      <c r="K1072" s="1">
        <v>1.0</v>
      </c>
      <c r="L1072" s="1">
        <v>60000.0</v>
      </c>
    </row>
    <row r="1073">
      <c r="A1073" s="1">
        <v>383.0</v>
      </c>
      <c r="B1073" s="1" t="s">
        <v>806</v>
      </c>
      <c r="C1073" s="1" t="s">
        <v>809</v>
      </c>
      <c r="D1073" s="1" t="s">
        <v>915</v>
      </c>
      <c r="E1073" s="1" t="s">
        <v>809</v>
      </c>
      <c r="F1073" s="1" t="s">
        <v>809</v>
      </c>
      <c r="G1073" s="1" t="s">
        <v>809</v>
      </c>
      <c r="H1073" s="1" t="s">
        <v>809</v>
      </c>
      <c r="I1073" s="1" t="s">
        <v>809</v>
      </c>
      <c r="J1073" s="1" t="s">
        <v>809</v>
      </c>
      <c r="K1073" s="1">
        <v>1.0</v>
      </c>
      <c r="L1073" s="1">
        <v>127000.0</v>
      </c>
    </row>
    <row r="1074">
      <c r="A1074" s="1">
        <v>384.0</v>
      </c>
      <c r="B1074" s="1" t="s">
        <v>806</v>
      </c>
      <c r="C1074" s="1" t="s">
        <v>807</v>
      </c>
      <c r="D1074" s="1" t="s">
        <v>836</v>
      </c>
      <c r="E1074" s="1">
        <v>-0.5</v>
      </c>
      <c r="F1074" s="1">
        <v>-1.25</v>
      </c>
      <c r="G1074" s="1">
        <v>175.0</v>
      </c>
      <c r="H1074" s="1" t="s">
        <v>809</v>
      </c>
      <c r="I1074" s="1" t="s">
        <v>809</v>
      </c>
      <c r="J1074" s="1" t="s">
        <v>809</v>
      </c>
      <c r="K1074" s="1">
        <v>1.0</v>
      </c>
      <c r="L1074" s="1">
        <v>55853.0</v>
      </c>
    </row>
    <row r="1075">
      <c r="A1075" s="1">
        <v>384.0</v>
      </c>
      <c r="B1075" s="1" t="s">
        <v>806</v>
      </c>
      <c r="C1075" s="1" t="s">
        <v>810</v>
      </c>
      <c r="D1075" s="1" t="s">
        <v>836</v>
      </c>
      <c r="E1075" s="1">
        <v>0.0</v>
      </c>
      <c r="F1075" s="1">
        <v>-2.75</v>
      </c>
      <c r="G1075" s="1">
        <v>25.0</v>
      </c>
      <c r="H1075" s="1" t="s">
        <v>809</v>
      </c>
      <c r="I1075" s="1" t="s">
        <v>809</v>
      </c>
      <c r="J1075" s="1" t="s">
        <v>809</v>
      </c>
      <c r="K1075" s="1">
        <v>1.0</v>
      </c>
      <c r="L1075" s="1">
        <v>55853.0</v>
      </c>
    </row>
    <row r="1076">
      <c r="A1076" s="1">
        <v>384.0</v>
      </c>
      <c r="B1076" s="1" t="s">
        <v>806</v>
      </c>
      <c r="C1076" s="1" t="s">
        <v>809</v>
      </c>
      <c r="D1076" s="1" t="s">
        <v>915</v>
      </c>
      <c r="E1076" s="1" t="s">
        <v>809</v>
      </c>
      <c r="F1076" s="1" t="s">
        <v>809</v>
      </c>
      <c r="G1076" s="1" t="s">
        <v>809</v>
      </c>
      <c r="H1076" s="1" t="s">
        <v>809</v>
      </c>
      <c r="I1076" s="1" t="s">
        <v>809</v>
      </c>
      <c r="J1076" s="1" t="s">
        <v>809</v>
      </c>
      <c r="K1076" s="1">
        <v>1.0</v>
      </c>
      <c r="L1076" s="1">
        <v>120000.0</v>
      </c>
    </row>
    <row r="1077">
      <c r="A1077" s="1">
        <v>385.0</v>
      </c>
      <c r="B1077" s="1" t="s">
        <v>806</v>
      </c>
      <c r="C1077" s="1" t="s">
        <v>807</v>
      </c>
      <c r="D1077" s="1" t="s">
        <v>865</v>
      </c>
      <c r="E1077" s="1">
        <v>0.0</v>
      </c>
      <c r="F1077" s="1">
        <v>-0.75</v>
      </c>
      <c r="G1077" s="1">
        <v>0.0</v>
      </c>
      <c r="H1077" s="1" t="s">
        <v>809</v>
      </c>
      <c r="I1077" s="1">
        <v>27.0</v>
      </c>
      <c r="J1077" s="1">
        <v>20.0</v>
      </c>
      <c r="K1077" s="1">
        <v>1.0</v>
      </c>
      <c r="L1077" s="1">
        <v>30000.0</v>
      </c>
    </row>
    <row r="1078">
      <c r="A1078" s="1">
        <v>385.0</v>
      </c>
      <c r="B1078" s="1" t="s">
        <v>806</v>
      </c>
      <c r="C1078" s="1" t="s">
        <v>810</v>
      </c>
      <c r="D1078" s="1" t="s">
        <v>865</v>
      </c>
      <c r="E1078" s="1">
        <v>0.0</v>
      </c>
      <c r="F1078" s="1">
        <v>-3.0</v>
      </c>
      <c r="G1078" s="1">
        <v>0.0</v>
      </c>
      <c r="H1078" s="1" t="s">
        <v>809</v>
      </c>
      <c r="I1078" s="1">
        <v>28.0</v>
      </c>
      <c r="J1078" s="1">
        <v>20.0</v>
      </c>
      <c r="K1078" s="1">
        <v>1.0</v>
      </c>
      <c r="L1078" s="1">
        <v>30000.0</v>
      </c>
    </row>
    <row r="1079">
      <c r="A1079" s="1">
        <v>385.0</v>
      </c>
      <c r="B1079" s="1" t="s">
        <v>806</v>
      </c>
      <c r="C1079" s="1" t="s">
        <v>809</v>
      </c>
      <c r="D1079" s="1" t="s">
        <v>957</v>
      </c>
      <c r="E1079" s="1" t="s">
        <v>809</v>
      </c>
      <c r="F1079" s="1" t="s">
        <v>809</v>
      </c>
      <c r="G1079" s="1" t="s">
        <v>809</v>
      </c>
      <c r="H1079" s="1" t="s">
        <v>809</v>
      </c>
      <c r="I1079" s="1" t="s">
        <v>809</v>
      </c>
      <c r="J1079" s="1" t="s">
        <v>809</v>
      </c>
      <c r="K1079" s="1">
        <v>1.0</v>
      </c>
      <c r="L1079" s="1">
        <v>120000.0</v>
      </c>
    </row>
    <row r="1080">
      <c r="A1080" s="1">
        <v>386.0</v>
      </c>
      <c r="B1080" s="1" t="s">
        <v>806</v>
      </c>
      <c r="C1080" s="1" t="s">
        <v>807</v>
      </c>
      <c r="D1080" s="1" t="s">
        <v>885</v>
      </c>
      <c r="E1080" s="1">
        <v>-3.25</v>
      </c>
      <c r="F1080" s="1">
        <v>-2.0</v>
      </c>
      <c r="G1080" s="1">
        <v>0.0</v>
      </c>
      <c r="H1080" s="1" t="s">
        <v>809</v>
      </c>
      <c r="I1080" s="1" t="s">
        <v>809</v>
      </c>
      <c r="J1080" s="1" t="s">
        <v>809</v>
      </c>
      <c r="K1080" s="1">
        <v>1.0</v>
      </c>
      <c r="L1080" s="1">
        <v>40000.0</v>
      </c>
    </row>
    <row r="1081">
      <c r="A1081" s="1">
        <v>386.0</v>
      </c>
      <c r="B1081" s="1" t="s">
        <v>806</v>
      </c>
      <c r="C1081" s="1" t="s">
        <v>810</v>
      </c>
      <c r="D1081" s="1" t="s">
        <v>885</v>
      </c>
      <c r="E1081" s="1">
        <v>-3.25</v>
      </c>
      <c r="F1081" s="1">
        <v>-1.75</v>
      </c>
      <c r="G1081" s="1">
        <v>0.0</v>
      </c>
      <c r="H1081" s="1" t="s">
        <v>809</v>
      </c>
      <c r="I1081" s="1" t="s">
        <v>809</v>
      </c>
      <c r="J1081" s="1" t="s">
        <v>809</v>
      </c>
      <c r="K1081" s="1">
        <v>1.0</v>
      </c>
      <c r="L1081" s="1">
        <v>40000.0</v>
      </c>
    </row>
    <row r="1082">
      <c r="A1082" s="1">
        <v>386.0</v>
      </c>
      <c r="B1082" s="1" t="s">
        <v>806</v>
      </c>
      <c r="C1082" s="1" t="s">
        <v>809</v>
      </c>
      <c r="D1082" s="1" t="s">
        <v>910</v>
      </c>
      <c r="E1082" s="1" t="s">
        <v>809</v>
      </c>
      <c r="F1082" s="1" t="s">
        <v>809</v>
      </c>
      <c r="G1082" s="1" t="s">
        <v>809</v>
      </c>
      <c r="H1082" s="1" t="s">
        <v>809</v>
      </c>
      <c r="I1082" s="1" t="s">
        <v>809</v>
      </c>
      <c r="J1082" s="1" t="s">
        <v>809</v>
      </c>
      <c r="K1082" s="1">
        <v>1.0</v>
      </c>
      <c r="L1082" s="1">
        <v>90000.0</v>
      </c>
    </row>
    <row r="1083">
      <c r="A1083" s="1">
        <v>387.0</v>
      </c>
      <c r="B1083" s="1" t="s">
        <v>806</v>
      </c>
      <c r="C1083" s="1" t="s">
        <v>807</v>
      </c>
      <c r="D1083" s="1" t="s">
        <v>819</v>
      </c>
      <c r="E1083" s="1">
        <v>2.25</v>
      </c>
      <c r="F1083" s="1">
        <v>0.0</v>
      </c>
      <c r="G1083" s="1" t="s">
        <v>809</v>
      </c>
      <c r="H1083" s="1">
        <v>1.75</v>
      </c>
      <c r="I1083" s="1" t="s">
        <v>809</v>
      </c>
      <c r="J1083" s="1" t="s">
        <v>809</v>
      </c>
      <c r="K1083" s="1">
        <v>1.0</v>
      </c>
      <c r="L1083" s="1">
        <v>75000.0</v>
      </c>
    </row>
    <row r="1084">
      <c r="A1084" s="1">
        <v>387.0</v>
      </c>
      <c r="B1084" s="1" t="s">
        <v>806</v>
      </c>
      <c r="C1084" s="1" t="s">
        <v>810</v>
      </c>
      <c r="D1084" s="1" t="s">
        <v>819</v>
      </c>
      <c r="E1084" s="1">
        <v>2.25</v>
      </c>
      <c r="F1084" s="1">
        <v>0.0</v>
      </c>
      <c r="G1084" s="1" t="s">
        <v>809</v>
      </c>
      <c r="H1084" s="1">
        <v>1.75</v>
      </c>
      <c r="I1084" s="1" t="s">
        <v>809</v>
      </c>
      <c r="J1084" s="1" t="s">
        <v>809</v>
      </c>
      <c r="K1084" s="1">
        <v>1.0</v>
      </c>
      <c r="L1084" s="1">
        <v>75000.0</v>
      </c>
    </row>
    <row r="1085">
      <c r="A1085" s="1">
        <v>387.0</v>
      </c>
      <c r="B1085" s="1" t="s">
        <v>806</v>
      </c>
      <c r="C1085" s="1" t="s">
        <v>809</v>
      </c>
      <c r="D1085" s="1" t="s">
        <v>915</v>
      </c>
      <c r="E1085" s="1" t="s">
        <v>809</v>
      </c>
      <c r="F1085" s="1" t="s">
        <v>809</v>
      </c>
      <c r="G1085" s="1" t="s">
        <v>809</v>
      </c>
      <c r="H1085" s="1" t="s">
        <v>809</v>
      </c>
      <c r="I1085" s="1" t="s">
        <v>809</v>
      </c>
      <c r="J1085" s="1" t="s">
        <v>809</v>
      </c>
      <c r="K1085" s="1">
        <v>1.0</v>
      </c>
      <c r="L1085" s="1">
        <v>100000.0</v>
      </c>
    </row>
    <row r="1086">
      <c r="A1086" s="1">
        <v>388.0</v>
      </c>
      <c r="B1086" s="1" t="s">
        <v>806</v>
      </c>
      <c r="C1086" s="1" t="s">
        <v>807</v>
      </c>
      <c r="D1086" s="1" t="s">
        <v>819</v>
      </c>
      <c r="E1086" s="1">
        <v>0.0</v>
      </c>
      <c r="F1086" s="1">
        <v>-1.25</v>
      </c>
      <c r="G1086" s="1">
        <v>90.0</v>
      </c>
      <c r="H1086" s="1" t="s">
        <v>809</v>
      </c>
      <c r="I1086" s="1" t="s">
        <v>809</v>
      </c>
      <c r="J1086" s="1" t="s">
        <v>809</v>
      </c>
      <c r="K1086" s="1">
        <v>1.0</v>
      </c>
      <c r="L1086" s="1">
        <v>75000.0</v>
      </c>
    </row>
    <row r="1087">
      <c r="A1087" s="1">
        <v>388.0</v>
      </c>
      <c r="B1087" s="1" t="s">
        <v>806</v>
      </c>
      <c r="C1087" s="1" t="s">
        <v>810</v>
      </c>
      <c r="D1087" s="1" t="s">
        <v>819</v>
      </c>
      <c r="E1087" s="1">
        <v>0.5</v>
      </c>
      <c r="F1087" s="1">
        <v>-2.0</v>
      </c>
      <c r="G1087" s="1">
        <v>90.0</v>
      </c>
      <c r="H1087" s="1" t="s">
        <v>809</v>
      </c>
      <c r="I1087" s="1" t="s">
        <v>809</v>
      </c>
      <c r="J1087" s="1" t="s">
        <v>809</v>
      </c>
      <c r="K1087" s="1">
        <v>1.0</v>
      </c>
      <c r="L1087" s="1">
        <v>75000.0</v>
      </c>
    </row>
    <row r="1088">
      <c r="A1088" s="1">
        <v>388.0</v>
      </c>
      <c r="B1088" s="1" t="s">
        <v>806</v>
      </c>
      <c r="C1088" s="1" t="s">
        <v>809</v>
      </c>
      <c r="D1088" s="1" t="s">
        <v>915</v>
      </c>
      <c r="E1088" s="1" t="s">
        <v>809</v>
      </c>
      <c r="F1088" s="1" t="s">
        <v>809</v>
      </c>
      <c r="G1088" s="1" t="s">
        <v>809</v>
      </c>
      <c r="H1088" s="1" t="s">
        <v>809</v>
      </c>
      <c r="I1088" s="1" t="s">
        <v>809</v>
      </c>
      <c r="J1088" s="1" t="s">
        <v>809</v>
      </c>
      <c r="K1088" s="1">
        <v>1.0</v>
      </c>
      <c r="L1088" s="1">
        <v>100000.0</v>
      </c>
    </row>
    <row r="1089">
      <c r="A1089" s="1">
        <v>389.0</v>
      </c>
      <c r="B1089" s="1" t="s">
        <v>806</v>
      </c>
      <c r="C1089" s="1" t="s">
        <v>807</v>
      </c>
      <c r="D1089" s="1" t="s">
        <v>836</v>
      </c>
      <c r="E1089" s="1">
        <v>0.0</v>
      </c>
      <c r="F1089" s="1">
        <v>0.0</v>
      </c>
      <c r="G1089" s="1" t="s">
        <v>809</v>
      </c>
      <c r="H1089" s="1" t="s">
        <v>809</v>
      </c>
      <c r="I1089" s="1" t="s">
        <v>809</v>
      </c>
      <c r="J1089" s="1" t="s">
        <v>809</v>
      </c>
      <c r="K1089" s="1">
        <v>1.0</v>
      </c>
      <c r="L1089" s="1">
        <v>55000.0</v>
      </c>
    </row>
    <row r="1090">
      <c r="A1090" s="1">
        <v>389.0</v>
      </c>
      <c r="B1090" s="1" t="s">
        <v>806</v>
      </c>
      <c r="C1090" s="1" t="s">
        <v>810</v>
      </c>
      <c r="D1090" s="1" t="s">
        <v>836</v>
      </c>
      <c r="E1090" s="1">
        <v>0.0</v>
      </c>
      <c r="F1090" s="1">
        <v>0.0</v>
      </c>
      <c r="G1090" s="1" t="s">
        <v>809</v>
      </c>
      <c r="H1090" s="1" t="s">
        <v>809</v>
      </c>
      <c r="I1090" s="1" t="s">
        <v>809</v>
      </c>
      <c r="J1090" s="1" t="s">
        <v>809</v>
      </c>
      <c r="K1090" s="1">
        <v>1.0</v>
      </c>
      <c r="L1090" s="1">
        <v>55000.0</v>
      </c>
    </row>
    <row r="1091">
      <c r="A1091" s="1">
        <v>389.0</v>
      </c>
      <c r="B1091" s="1" t="s">
        <v>806</v>
      </c>
      <c r="C1091" s="1" t="s">
        <v>809</v>
      </c>
      <c r="D1091" s="1" t="s">
        <v>912</v>
      </c>
      <c r="E1091" s="1" t="s">
        <v>809</v>
      </c>
      <c r="F1091" s="1" t="s">
        <v>809</v>
      </c>
      <c r="G1091" s="1" t="s">
        <v>809</v>
      </c>
      <c r="H1091" s="1" t="s">
        <v>809</v>
      </c>
      <c r="I1091" s="1" t="s">
        <v>809</v>
      </c>
      <c r="J1091" s="1" t="s">
        <v>809</v>
      </c>
      <c r="K1091" s="1">
        <v>1.0</v>
      </c>
      <c r="L1091" s="1">
        <v>95000.0</v>
      </c>
    </row>
    <row r="1092">
      <c r="A1092" s="1">
        <v>390.0</v>
      </c>
      <c r="B1092" s="1" t="s">
        <v>806</v>
      </c>
      <c r="C1092" s="1" t="s">
        <v>807</v>
      </c>
      <c r="D1092" s="1" t="s">
        <v>812</v>
      </c>
      <c r="E1092" s="1">
        <v>0.0</v>
      </c>
      <c r="F1092" s="1">
        <v>0.0</v>
      </c>
      <c r="G1092" s="1" t="s">
        <v>809</v>
      </c>
      <c r="H1092" s="1" t="s">
        <v>809</v>
      </c>
      <c r="I1092" s="1" t="s">
        <v>809</v>
      </c>
      <c r="J1092" s="1" t="s">
        <v>809</v>
      </c>
      <c r="K1092" s="1">
        <v>1.0</v>
      </c>
      <c r="L1092" s="1">
        <v>30000.0</v>
      </c>
    </row>
    <row r="1093">
      <c r="A1093" s="1">
        <v>390.0</v>
      </c>
      <c r="B1093" s="1" t="s">
        <v>806</v>
      </c>
      <c r="C1093" s="1" t="s">
        <v>810</v>
      </c>
      <c r="D1093" s="1" t="s">
        <v>812</v>
      </c>
      <c r="E1093" s="1">
        <v>0.0</v>
      </c>
      <c r="F1093" s="1">
        <v>0.0</v>
      </c>
      <c r="G1093" s="1" t="s">
        <v>809</v>
      </c>
      <c r="H1093" s="1" t="s">
        <v>809</v>
      </c>
      <c r="I1093" s="1" t="s">
        <v>809</v>
      </c>
      <c r="J1093" s="1" t="s">
        <v>809</v>
      </c>
      <c r="K1093" s="1">
        <v>1.0</v>
      </c>
      <c r="L1093" s="1">
        <v>30000.0</v>
      </c>
    </row>
    <row r="1094">
      <c r="A1094" s="1">
        <v>390.0</v>
      </c>
      <c r="B1094" s="1" t="s">
        <v>806</v>
      </c>
      <c r="C1094" s="1" t="s">
        <v>809</v>
      </c>
      <c r="D1094" s="1" t="s">
        <v>929</v>
      </c>
      <c r="E1094" s="1" t="s">
        <v>809</v>
      </c>
      <c r="F1094" s="1" t="s">
        <v>809</v>
      </c>
      <c r="G1094" s="1" t="s">
        <v>809</v>
      </c>
      <c r="H1094" s="1" t="s">
        <v>809</v>
      </c>
      <c r="I1094" s="1" t="s">
        <v>809</v>
      </c>
      <c r="J1094" s="1" t="s">
        <v>809</v>
      </c>
      <c r="K1094" s="1">
        <v>1.0</v>
      </c>
      <c r="L1094" s="1">
        <v>100000.0</v>
      </c>
    </row>
    <row r="1095">
      <c r="A1095" s="1">
        <v>391.0</v>
      </c>
      <c r="B1095" s="1" t="s">
        <v>806</v>
      </c>
      <c r="C1095" s="1" t="s">
        <v>807</v>
      </c>
      <c r="D1095" s="1" t="s">
        <v>836</v>
      </c>
      <c r="E1095" s="1">
        <v>0.0</v>
      </c>
      <c r="F1095" s="1">
        <v>-0.5</v>
      </c>
      <c r="G1095" s="1">
        <v>160.0</v>
      </c>
      <c r="H1095" s="1" t="s">
        <v>809</v>
      </c>
      <c r="I1095" s="1" t="s">
        <v>809</v>
      </c>
      <c r="J1095" s="1" t="s">
        <v>809</v>
      </c>
      <c r="K1095" s="1">
        <v>1.0</v>
      </c>
      <c r="L1095" s="1">
        <v>54000.0</v>
      </c>
    </row>
    <row r="1096">
      <c r="A1096" s="1">
        <v>391.0</v>
      </c>
      <c r="B1096" s="1" t="s">
        <v>806</v>
      </c>
      <c r="C1096" s="1" t="s">
        <v>810</v>
      </c>
      <c r="D1096" s="1" t="s">
        <v>836</v>
      </c>
      <c r="E1096" s="1">
        <v>-0.25</v>
      </c>
      <c r="F1096" s="1">
        <v>-0.75</v>
      </c>
      <c r="G1096" s="1">
        <v>5.0</v>
      </c>
      <c r="H1096" s="1" t="s">
        <v>809</v>
      </c>
      <c r="I1096" s="1" t="s">
        <v>809</v>
      </c>
      <c r="J1096" s="1" t="s">
        <v>809</v>
      </c>
      <c r="K1096" s="1">
        <v>1.0</v>
      </c>
      <c r="L1096" s="1">
        <v>54000.0</v>
      </c>
    </row>
    <row r="1097">
      <c r="A1097" s="1">
        <v>392.0</v>
      </c>
      <c r="B1097" s="1" t="s">
        <v>806</v>
      </c>
      <c r="C1097" s="1" t="s">
        <v>807</v>
      </c>
      <c r="D1097" s="1" t="s">
        <v>823</v>
      </c>
      <c r="E1097" s="1">
        <v>0.75</v>
      </c>
      <c r="F1097" s="1">
        <v>0.0</v>
      </c>
      <c r="G1097" s="1" t="s">
        <v>809</v>
      </c>
      <c r="H1097" s="1">
        <v>3.0</v>
      </c>
      <c r="I1097" s="1" t="s">
        <v>809</v>
      </c>
      <c r="J1097" s="1" t="s">
        <v>809</v>
      </c>
      <c r="K1097" s="1">
        <v>1.0</v>
      </c>
      <c r="L1097" s="1">
        <v>315000.0</v>
      </c>
    </row>
    <row r="1098">
      <c r="A1098" s="1">
        <v>392.0</v>
      </c>
      <c r="B1098" s="1" t="s">
        <v>806</v>
      </c>
      <c r="C1098" s="1" t="s">
        <v>810</v>
      </c>
      <c r="D1098" s="1" t="s">
        <v>823</v>
      </c>
      <c r="E1098" s="1">
        <v>1.0</v>
      </c>
      <c r="F1098" s="1">
        <v>0.0</v>
      </c>
      <c r="G1098" s="1" t="s">
        <v>809</v>
      </c>
      <c r="H1098" s="1">
        <v>3.0</v>
      </c>
      <c r="I1098" s="1" t="s">
        <v>809</v>
      </c>
      <c r="J1098" s="1" t="s">
        <v>809</v>
      </c>
      <c r="K1098" s="1">
        <v>1.0</v>
      </c>
      <c r="L1098" s="1">
        <v>315000.0</v>
      </c>
    </row>
    <row r="1099">
      <c r="A1099" s="1">
        <v>392.0</v>
      </c>
      <c r="B1099" s="1" t="s">
        <v>806</v>
      </c>
      <c r="C1099" s="1" t="s">
        <v>809</v>
      </c>
      <c r="D1099" s="1" t="s">
        <v>1005</v>
      </c>
      <c r="E1099" s="1" t="s">
        <v>809</v>
      </c>
      <c r="F1099" s="1" t="s">
        <v>809</v>
      </c>
      <c r="G1099" s="1" t="s">
        <v>809</v>
      </c>
      <c r="H1099" s="1" t="s">
        <v>809</v>
      </c>
      <c r="I1099" s="1" t="s">
        <v>809</v>
      </c>
      <c r="J1099" s="1" t="s">
        <v>809</v>
      </c>
      <c r="K1099" s="1">
        <v>1.0</v>
      </c>
      <c r="L1099" s="1">
        <v>220000.0</v>
      </c>
    </row>
    <row r="1100">
      <c r="A1100" s="1">
        <v>393.0</v>
      </c>
      <c r="B1100" s="1" t="s">
        <v>806</v>
      </c>
      <c r="C1100" s="1" t="s">
        <v>807</v>
      </c>
      <c r="D1100" s="1" t="s">
        <v>823</v>
      </c>
      <c r="E1100" s="1">
        <v>0.0</v>
      </c>
      <c r="F1100" s="1">
        <v>0.0</v>
      </c>
      <c r="G1100" s="1" t="s">
        <v>809</v>
      </c>
      <c r="H1100" s="1" t="s">
        <v>809</v>
      </c>
      <c r="I1100" s="1" t="s">
        <v>809</v>
      </c>
      <c r="J1100" s="1" t="s">
        <v>809</v>
      </c>
      <c r="K1100" s="1">
        <v>1.0</v>
      </c>
      <c r="L1100" s="1">
        <v>310000.0</v>
      </c>
    </row>
    <row r="1101">
      <c r="A1101" s="1">
        <v>393.0</v>
      </c>
      <c r="B1101" s="1" t="s">
        <v>806</v>
      </c>
      <c r="C1101" s="1" t="s">
        <v>810</v>
      </c>
      <c r="D1101" s="1" t="s">
        <v>823</v>
      </c>
      <c r="E1101" s="1">
        <v>0.0</v>
      </c>
      <c r="F1101" s="1">
        <v>0.0</v>
      </c>
      <c r="G1101" s="1" t="s">
        <v>809</v>
      </c>
      <c r="H1101" s="1" t="s">
        <v>809</v>
      </c>
      <c r="I1101" s="1" t="s">
        <v>809</v>
      </c>
      <c r="J1101" s="1" t="s">
        <v>809</v>
      </c>
      <c r="K1101" s="1">
        <v>1.0</v>
      </c>
      <c r="L1101" s="1">
        <v>310000.0</v>
      </c>
    </row>
    <row r="1102">
      <c r="A1102" s="1">
        <v>394.0</v>
      </c>
      <c r="B1102" s="1" t="s">
        <v>806</v>
      </c>
      <c r="C1102" s="1" t="s">
        <v>807</v>
      </c>
      <c r="D1102" s="1" t="s">
        <v>991</v>
      </c>
      <c r="E1102" s="1">
        <v>0.0</v>
      </c>
      <c r="F1102" s="1">
        <v>0.0</v>
      </c>
      <c r="G1102" s="1" t="s">
        <v>809</v>
      </c>
      <c r="H1102" s="1" t="s">
        <v>809</v>
      </c>
      <c r="I1102" s="1" t="s">
        <v>809</v>
      </c>
      <c r="J1102" s="1" t="s">
        <v>809</v>
      </c>
      <c r="K1102" s="1">
        <v>1.0</v>
      </c>
      <c r="L1102" s="1">
        <v>90000.0</v>
      </c>
    </row>
    <row r="1103">
      <c r="A1103" s="1">
        <v>394.0</v>
      </c>
      <c r="B1103" s="1" t="s">
        <v>806</v>
      </c>
      <c r="C1103" s="1" t="s">
        <v>810</v>
      </c>
      <c r="D1103" s="1" t="s">
        <v>991</v>
      </c>
      <c r="E1103" s="1">
        <v>0.0</v>
      </c>
      <c r="F1103" s="1">
        <v>0.0</v>
      </c>
      <c r="G1103" s="1" t="s">
        <v>809</v>
      </c>
      <c r="H1103" s="1" t="s">
        <v>809</v>
      </c>
      <c r="I1103" s="1" t="s">
        <v>809</v>
      </c>
      <c r="J1103" s="1" t="s">
        <v>809</v>
      </c>
      <c r="K1103" s="1">
        <v>1.0</v>
      </c>
      <c r="L1103" s="1">
        <v>90000.0</v>
      </c>
    </row>
    <row r="1104">
      <c r="A1104" s="1">
        <v>395.0</v>
      </c>
      <c r="B1104" s="1" t="s">
        <v>806</v>
      </c>
      <c r="C1104" s="1" t="s">
        <v>807</v>
      </c>
      <c r="D1104" s="1" t="s">
        <v>823</v>
      </c>
      <c r="E1104" s="1">
        <v>0.0</v>
      </c>
      <c r="F1104" s="1">
        <v>0.0</v>
      </c>
      <c r="G1104" s="1" t="s">
        <v>809</v>
      </c>
      <c r="H1104" s="1" t="s">
        <v>809</v>
      </c>
      <c r="I1104" s="1" t="s">
        <v>809</v>
      </c>
      <c r="J1104" s="1" t="s">
        <v>809</v>
      </c>
      <c r="K1104" s="1">
        <v>1.0</v>
      </c>
      <c r="L1104" s="1">
        <v>315000.0</v>
      </c>
    </row>
    <row r="1105">
      <c r="A1105" s="1">
        <v>395.0</v>
      </c>
      <c r="B1105" s="1" t="s">
        <v>806</v>
      </c>
      <c r="C1105" s="1" t="s">
        <v>810</v>
      </c>
      <c r="D1105" s="1" t="s">
        <v>823</v>
      </c>
      <c r="E1105" s="1">
        <v>0.0</v>
      </c>
      <c r="F1105" s="1">
        <v>0.0</v>
      </c>
      <c r="G1105" s="1" t="s">
        <v>809</v>
      </c>
      <c r="H1105" s="1" t="s">
        <v>809</v>
      </c>
      <c r="I1105" s="1" t="s">
        <v>809</v>
      </c>
      <c r="J1105" s="1" t="s">
        <v>809</v>
      </c>
      <c r="K1105" s="1">
        <v>1.0</v>
      </c>
      <c r="L1105" s="1">
        <v>315000.0</v>
      </c>
    </row>
    <row r="1106">
      <c r="A1106" s="1">
        <v>396.0</v>
      </c>
      <c r="B1106" s="1" t="s">
        <v>806</v>
      </c>
      <c r="C1106" s="1" t="s">
        <v>807</v>
      </c>
      <c r="D1106" s="1" t="s">
        <v>823</v>
      </c>
      <c r="E1106" s="1">
        <v>1.5</v>
      </c>
      <c r="F1106" s="1">
        <v>0.0</v>
      </c>
      <c r="G1106" s="1" t="s">
        <v>809</v>
      </c>
      <c r="H1106" s="1">
        <v>3.0</v>
      </c>
      <c r="I1106" s="1" t="s">
        <v>809</v>
      </c>
      <c r="J1106" s="1" t="s">
        <v>809</v>
      </c>
      <c r="K1106" s="1">
        <v>1.0</v>
      </c>
      <c r="L1106" s="1">
        <v>318500.0</v>
      </c>
    </row>
    <row r="1107">
      <c r="A1107" s="1">
        <v>396.0</v>
      </c>
      <c r="B1107" s="1" t="s">
        <v>806</v>
      </c>
      <c r="C1107" s="1" t="s">
        <v>810</v>
      </c>
      <c r="D1107" s="1" t="s">
        <v>823</v>
      </c>
      <c r="E1107" s="1">
        <v>1.75</v>
      </c>
      <c r="F1107" s="1">
        <v>-0.25</v>
      </c>
      <c r="G1107" s="1">
        <v>20.0</v>
      </c>
      <c r="H1107" s="1">
        <v>3.0</v>
      </c>
      <c r="I1107" s="1" t="s">
        <v>809</v>
      </c>
      <c r="J1107" s="1" t="s">
        <v>809</v>
      </c>
      <c r="K1107" s="1">
        <v>1.0</v>
      </c>
      <c r="L1107" s="1">
        <v>318500.0</v>
      </c>
    </row>
    <row r="1108">
      <c r="A1108" s="1">
        <v>396.0</v>
      </c>
      <c r="B1108" s="1" t="s">
        <v>806</v>
      </c>
      <c r="C1108" s="1" t="s">
        <v>809</v>
      </c>
      <c r="D1108" s="1" t="s">
        <v>929</v>
      </c>
      <c r="E1108" s="1" t="s">
        <v>809</v>
      </c>
      <c r="F1108" s="1" t="s">
        <v>809</v>
      </c>
      <c r="G1108" s="1" t="s">
        <v>809</v>
      </c>
      <c r="H1108" s="1" t="s">
        <v>809</v>
      </c>
      <c r="I1108" s="1" t="s">
        <v>809</v>
      </c>
      <c r="J1108" s="1" t="s">
        <v>809</v>
      </c>
      <c r="K1108" s="1">
        <v>1.0</v>
      </c>
      <c r="L1108" s="1">
        <v>90000.0</v>
      </c>
    </row>
    <row r="1109">
      <c r="A1109" s="1">
        <v>397.0</v>
      </c>
      <c r="B1109" s="1" t="s">
        <v>806</v>
      </c>
      <c r="C1109" s="1" t="s">
        <v>807</v>
      </c>
      <c r="D1109" s="1" t="s">
        <v>919</v>
      </c>
      <c r="E1109" s="1">
        <v>0.0</v>
      </c>
      <c r="F1109" s="1">
        <v>0.0</v>
      </c>
      <c r="G1109" s="1" t="s">
        <v>809</v>
      </c>
      <c r="H1109" s="1" t="s">
        <v>809</v>
      </c>
      <c r="I1109" s="1" t="s">
        <v>809</v>
      </c>
      <c r="J1109" s="1" t="s">
        <v>809</v>
      </c>
      <c r="K1109" s="1">
        <v>1.0</v>
      </c>
      <c r="L1109" s="1">
        <v>29691.59</v>
      </c>
    </row>
    <row r="1110">
      <c r="A1110" s="1">
        <v>397.0</v>
      </c>
      <c r="B1110" s="1" t="s">
        <v>806</v>
      </c>
      <c r="C1110" s="1" t="s">
        <v>810</v>
      </c>
      <c r="D1110" s="1" t="s">
        <v>919</v>
      </c>
      <c r="E1110" s="1">
        <v>0.0</v>
      </c>
      <c r="F1110" s="1">
        <v>0.0</v>
      </c>
      <c r="G1110" s="1" t="s">
        <v>809</v>
      </c>
      <c r="H1110" s="1" t="s">
        <v>809</v>
      </c>
      <c r="I1110" s="1" t="s">
        <v>809</v>
      </c>
      <c r="J1110" s="1" t="s">
        <v>809</v>
      </c>
      <c r="K1110" s="1">
        <v>1.0</v>
      </c>
      <c r="L1110" s="1">
        <v>29691.59</v>
      </c>
    </row>
    <row r="1111">
      <c r="A1111" s="1">
        <v>397.0</v>
      </c>
      <c r="B1111" s="1" t="s">
        <v>806</v>
      </c>
      <c r="C1111" s="1" t="s">
        <v>809</v>
      </c>
      <c r="D1111" s="1" t="s">
        <v>814</v>
      </c>
      <c r="E1111" s="1" t="s">
        <v>809</v>
      </c>
      <c r="F1111" s="1" t="s">
        <v>809</v>
      </c>
      <c r="G1111" s="1" t="s">
        <v>809</v>
      </c>
      <c r="H1111" s="1" t="s">
        <v>809</v>
      </c>
      <c r="I1111" s="1" t="s">
        <v>809</v>
      </c>
      <c r="J1111" s="1" t="s">
        <v>809</v>
      </c>
      <c r="K1111" s="1">
        <v>1.0</v>
      </c>
      <c r="L1111" s="1">
        <v>72000.0</v>
      </c>
    </row>
    <row r="1112">
      <c r="A1112" s="1">
        <v>398.0</v>
      </c>
      <c r="B1112" s="1" t="s">
        <v>806</v>
      </c>
      <c r="C1112" s="1" t="s">
        <v>807</v>
      </c>
      <c r="D1112" s="1" t="s">
        <v>823</v>
      </c>
      <c r="E1112" s="1">
        <v>0.0</v>
      </c>
      <c r="F1112" s="1">
        <v>0.0</v>
      </c>
      <c r="G1112" s="1" t="s">
        <v>809</v>
      </c>
      <c r="H1112" s="1" t="s">
        <v>809</v>
      </c>
      <c r="I1112" s="1" t="s">
        <v>809</v>
      </c>
      <c r="J1112" s="1" t="s">
        <v>809</v>
      </c>
      <c r="K1112" s="1">
        <v>1.0</v>
      </c>
      <c r="L1112" s="1">
        <v>278000.0</v>
      </c>
    </row>
    <row r="1113">
      <c r="A1113" s="1">
        <v>398.0</v>
      </c>
      <c r="B1113" s="1" t="s">
        <v>806</v>
      </c>
      <c r="C1113" s="1" t="s">
        <v>810</v>
      </c>
      <c r="D1113" s="1" t="s">
        <v>823</v>
      </c>
      <c r="E1113" s="1">
        <v>0.0</v>
      </c>
      <c r="F1113" s="1">
        <v>0.0</v>
      </c>
      <c r="G1113" s="1" t="s">
        <v>809</v>
      </c>
      <c r="H1113" s="1" t="s">
        <v>809</v>
      </c>
      <c r="I1113" s="1" t="s">
        <v>809</v>
      </c>
      <c r="J1113" s="1" t="s">
        <v>809</v>
      </c>
      <c r="K1113" s="1">
        <v>1.0</v>
      </c>
      <c r="L1113" s="1">
        <v>278000.0</v>
      </c>
    </row>
    <row r="1114">
      <c r="A1114" s="1">
        <v>398.0</v>
      </c>
      <c r="B1114" s="1" t="s">
        <v>806</v>
      </c>
      <c r="C1114" s="1" t="s">
        <v>809</v>
      </c>
      <c r="D1114" s="1">
        <v>2808.0</v>
      </c>
      <c r="E1114" s="1" t="s">
        <v>809</v>
      </c>
      <c r="F1114" s="1" t="s">
        <v>809</v>
      </c>
      <c r="G1114" s="1" t="s">
        <v>809</v>
      </c>
      <c r="H1114" s="1" t="s">
        <v>809</v>
      </c>
      <c r="I1114" s="1" t="s">
        <v>809</v>
      </c>
      <c r="J1114" s="1" t="s">
        <v>809</v>
      </c>
      <c r="K1114" s="1">
        <v>1.0</v>
      </c>
      <c r="L1114" s="1">
        <v>144000.0</v>
      </c>
    </row>
    <row r="1115">
      <c r="A1115" s="1">
        <v>399.0</v>
      </c>
      <c r="B1115" s="1" t="s">
        <v>806</v>
      </c>
      <c r="C1115" s="1" t="s">
        <v>807</v>
      </c>
      <c r="D1115" s="1" t="s">
        <v>836</v>
      </c>
      <c r="E1115" s="1">
        <v>0.0</v>
      </c>
      <c r="F1115" s="1">
        <v>-0.5</v>
      </c>
      <c r="G1115" s="1">
        <v>180.0</v>
      </c>
      <c r="H1115" s="1" t="s">
        <v>809</v>
      </c>
      <c r="I1115" s="1" t="s">
        <v>809</v>
      </c>
      <c r="J1115" s="1" t="s">
        <v>809</v>
      </c>
      <c r="K1115" s="1">
        <v>1.0</v>
      </c>
      <c r="L1115" s="1">
        <v>45000.0</v>
      </c>
    </row>
    <row r="1116">
      <c r="A1116" s="1">
        <v>399.0</v>
      </c>
      <c r="B1116" s="1" t="s">
        <v>806</v>
      </c>
      <c r="C1116" s="1" t="s">
        <v>810</v>
      </c>
      <c r="D1116" s="1" t="s">
        <v>836</v>
      </c>
      <c r="E1116" s="1">
        <v>0.0</v>
      </c>
      <c r="F1116" s="1">
        <v>-0.5</v>
      </c>
      <c r="G1116" s="1">
        <v>155.0</v>
      </c>
      <c r="H1116" s="1" t="s">
        <v>809</v>
      </c>
      <c r="I1116" s="1" t="s">
        <v>809</v>
      </c>
      <c r="J1116" s="1" t="s">
        <v>809</v>
      </c>
      <c r="K1116" s="1">
        <v>1.0</v>
      </c>
      <c r="L1116" s="1">
        <v>45000.0</v>
      </c>
    </row>
    <row r="1117">
      <c r="A1117" s="1">
        <v>399.0</v>
      </c>
      <c r="B1117" s="1" t="s">
        <v>806</v>
      </c>
      <c r="C1117" s="1" t="s">
        <v>809</v>
      </c>
      <c r="D1117" s="1" t="s">
        <v>1006</v>
      </c>
      <c r="E1117" s="1" t="s">
        <v>809</v>
      </c>
      <c r="F1117" s="1" t="s">
        <v>809</v>
      </c>
      <c r="G1117" s="1" t="s">
        <v>809</v>
      </c>
      <c r="H1117" s="1" t="s">
        <v>809</v>
      </c>
      <c r="I1117" s="1" t="s">
        <v>809</v>
      </c>
      <c r="J1117" s="1" t="s">
        <v>809</v>
      </c>
      <c r="K1117" s="1">
        <v>1.0</v>
      </c>
      <c r="L1117" s="1">
        <v>160000.0</v>
      </c>
    </row>
    <row r="1118">
      <c r="A1118" s="1">
        <v>400.0</v>
      </c>
      <c r="B1118" s="1" t="s">
        <v>806</v>
      </c>
      <c r="C1118" s="1" t="s">
        <v>807</v>
      </c>
      <c r="D1118" s="1" t="s">
        <v>865</v>
      </c>
      <c r="E1118" s="1">
        <v>0.5</v>
      </c>
      <c r="F1118" s="1">
        <v>0.0</v>
      </c>
      <c r="G1118" s="1" t="s">
        <v>809</v>
      </c>
      <c r="H1118" s="1" t="s">
        <v>809</v>
      </c>
      <c r="I1118" s="1" t="s">
        <v>809</v>
      </c>
      <c r="J1118" s="1" t="s">
        <v>809</v>
      </c>
      <c r="K1118" s="1">
        <v>1.0</v>
      </c>
      <c r="L1118" s="1">
        <v>45000.0</v>
      </c>
    </row>
    <row r="1119">
      <c r="A1119" s="1">
        <v>400.0</v>
      </c>
      <c r="B1119" s="1" t="s">
        <v>806</v>
      </c>
      <c r="C1119" s="1" t="s">
        <v>810</v>
      </c>
      <c r="D1119" s="1" t="s">
        <v>865</v>
      </c>
      <c r="E1119" s="1">
        <v>0.5</v>
      </c>
      <c r="F1119" s="1">
        <v>0.0</v>
      </c>
      <c r="G1119" s="1" t="s">
        <v>809</v>
      </c>
      <c r="H1119" s="1" t="s">
        <v>809</v>
      </c>
      <c r="I1119" s="1" t="s">
        <v>809</v>
      </c>
      <c r="J1119" s="1" t="s">
        <v>809</v>
      </c>
      <c r="K1119" s="1">
        <v>1.0</v>
      </c>
      <c r="L1119" s="1">
        <v>45000.0</v>
      </c>
    </row>
    <row r="1120">
      <c r="A1120" s="1">
        <v>400.0</v>
      </c>
      <c r="B1120" s="1" t="s">
        <v>806</v>
      </c>
      <c r="C1120" s="1" t="s">
        <v>809</v>
      </c>
      <c r="D1120" s="1" t="s">
        <v>1007</v>
      </c>
      <c r="E1120" s="1" t="s">
        <v>809</v>
      </c>
      <c r="F1120" s="1" t="s">
        <v>809</v>
      </c>
      <c r="G1120" s="1" t="s">
        <v>809</v>
      </c>
      <c r="H1120" s="1" t="s">
        <v>809</v>
      </c>
      <c r="I1120" s="1" t="s">
        <v>809</v>
      </c>
      <c r="J1120" s="1" t="s">
        <v>809</v>
      </c>
      <c r="K1120" s="1">
        <v>1.0</v>
      </c>
      <c r="L1120" s="1">
        <v>169000.0</v>
      </c>
    </row>
    <row r="1121">
      <c r="A1121" s="1">
        <v>401.0</v>
      </c>
      <c r="B1121" s="1" t="s">
        <v>825</v>
      </c>
      <c r="C1121" s="1" t="s">
        <v>807</v>
      </c>
      <c r="D1121" s="1" t="s">
        <v>812</v>
      </c>
      <c r="E1121" s="1">
        <v>0.75</v>
      </c>
      <c r="F1121" s="1">
        <v>0.0</v>
      </c>
      <c r="G1121" s="1" t="s">
        <v>809</v>
      </c>
      <c r="H1121" s="1" t="s">
        <v>809</v>
      </c>
      <c r="I1121" s="1" t="s">
        <v>809</v>
      </c>
      <c r="J1121" s="1" t="s">
        <v>809</v>
      </c>
      <c r="K1121" s="1">
        <v>1.0</v>
      </c>
      <c r="L1121" s="1">
        <v>30000.0</v>
      </c>
    </row>
    <row r="1122">
      <c r="A1122" s="1">
        <v>401.0</v>
      </c>
      <c r="B1122" s="1" t="s">
        <v>825</v>
      </c>
      <c r="C1122" s="1" t="s">
        <v>810</v>
      </c>
      <c r="D1122" s="1" t="s">
        <v>812</v>
      </c>
      <c r="E1122" s="1">
        <v>0.75</v>
      </c>
      <c r="F1122" s="1">
        <v>0.0</v>
      </c>
      <c r="G1122" s="1" t="s">
        <v>809</v>
      </c>
      <c r="H1122" s="1" t="s">
        <v>809</v>
      </c>
      <c r="I1122" s="1" t="s">
        <v>809</v>
      </c>
      <c r="J1122" s="1" t="s">
        <v>809</v>
      </c>
      <c r="K1122" s="1">
        <v>1.0</v>
      </c>
      <c r="L1122" s="1">
        <v>30000.0</v>
      </c>
    </row>
    <row r="1123">
      <c r="A1123" s="1">
        <v>401.0</v>
      </c>
      <c r="B1123" s="1" t="s">
        <v>825</v>
      </c>
      <c r="C1123" s="1" t="s">
        <v>809</v>
      </c>
      <c r="D1123" s="1" t="s">
        <v>929</v>
      </c>
      <c r="E1123" s="1" t="s">
        <v>809</v>
      </c>
      <c r="F1123" s="1" t="s">
        <v>809</v>
      </c>
      <c r="G1123" s="1" t="s">
        <v>809</v>
      </c>
      <c r="H1123" s="1" t="s">
        <v>809</v>
      </c>
      <c r="I1123" s="1" t="s">
        <v>809</v>
      </c>
      <c r="J1123" s="1" t="s">
        <v>809</v>
      </c>
      <c r="K1123" s="1">
        <v>1.0</v>
      </c>
      <c r="L1123" s="1">
        <v>100000.0</v>
      </c>
    </row>
    <row r="1124">
      <c r="A1124" s="1">
        <v>402.0</v>
      </c>
      <c r="B1124" s="1" t="s">
        <v>806</v>
      </c>
      <c r="C1124" s="1" t="s">
        <v>807</v>
      </c>
      <c r="D1124" s="1" t="s">
        <v>836</v>
      </c>
      <c r="E1124" s="1">
        <v>0.0</v>
      </c>
      <c r="F1124" s="1">
        <v>-0.25</v>
      </c>
      <c r="G1124" s="1">
        <v>0.0</v>
      </c>
      <c r="H1124" s="1" t="s">
        <v>809</v>
      </c>
      <c r="I1124" s="1" t="s">
        <v>809</v>
      </c>
      <c r="J1124" s="1" t="s">
        <v>809</v>
      </c>
      <c r="K1124" s="1">
        <v>1.0</v>
      </c>
      <c r="L1124" s="1">
        <v>45000.0</v>
      </c>
    </row>
    <row r="1125">
      <c r="A1125" s="1">
        <v>402.0</v>
      </c>
      <c r="B1125" s="1" t="s">
        <v>806</v>
      </c>
      <c r="C1125" s="1" t="s">
        <v>810</v>
      </c>
      <c r="D1125" s="1" t="s">
        <v>836</v>
      </c>
      <c r="E1125" s="1">
        <v>0.0</v>
      </c>
      <c r="F1125" s="1">
        <v>-0.5</v>
      </c>
      <c r="G1125" s="1">
        <v>10.0</v>
      </c>
      <c r="H1125" s="1" t="s">
        <v>809</v>
      </c>
      <c r="I1125" s="1" t="s">
        <v>809</v>
      </c>
      <c r="J1125" s="1" t="s">
        <v>809</v>
      </c>
      <c r="K1125" s="1">
        <v>1.0</v>
      </c>
      <c r="L1125" s="1">
        <v>45000.0</v>
      </c>
    </row>
    <row r="1126">
      <c r="A1126" s="1">
        <v>402.0</v>
      </c>
      <c r="B1126" s="1" t="s">
        <v>806</v>
      </c>
      <c r="C1126" s="1" t="s">
        <v>809</v>
      </c>
      <c r="D1126" s="1" t="s">
        <v>1008</v>
      </c>
      <c r="E1126" s="1" t="s">
        <v>809</v>
      </c>
      <c r="F1126" s="1" t="s">
        <v>809</v>
      </c>
      <c r="G1126" s="1" t="s">
        <v>809</v>
      </c>
      <c r="H1126" s="1" t="s">
        <v>809</v>
      </c>
      <c r="I1126" s="1" t="s">
        <v>809</v>
      </c>
      <c r="J1126" s="1" t="s">
        <v>809</v>
      </c>
      <c r="K1126" s="1">
        <v>1.0</v>
      </c>
      <c r="L1126" s="1">
        <v>173880.0</v>
      </c>
    </row>
    <row r="1127">
      <c r="A1127" s="1">
        <v>403.0</v>
      </c>
      <c r="B1127" s="1" t="s">
        <v>806</v>
      </c>
      <c r="C1127" s="1" t="s">
        <v>807</v>
      </c>
      <c r="D1127" s="1" t="s">
        <v>1000</v>
      </c>
      <c r="E1127" s="1">
        <v>1.0</v>
      </c>
      <c r="F1127" s="1">
        <v>0.0</v>
      </c>
      <c r="G1127" s="1" t="s">
        <v>809</v>
      </c>
      <c r="H1127" s="1">
        <v>2.25</v>
      </c>
      <c r="I1127" s="1">
        <v>34.0</v>
      </c>
      <c r="J1127" s="1">
        <v>26.0</v>
      </c>
      <c r="K1127" s="1">
        <v>1.0</v>
      </c>
      <c r="L1127" s="1">
        <v>725000.0</v>
      </c>
    </row>
    <row r="1128">
      <c r="A1128" s="1">
        <v>403.0</v>
      </c>
      <c r="B1128" s="1" t="s">
        <v>806</v>
      </c>
      <c r="C1128" s="1" t="s">
        <v>810</v>
      </c>
      <c r="D1128" s="1" t="s">
        <v>1000</v>
      </c>
      <c r="E1128" s="1">
        <v>1.25</v>
      </c>
      <c r="F1128" s="1">
        <v>0.0</v>
      </c>
      <c r="G1128" s="1" t="s">
        <v>809</v>
      </c>
      <c r="H1128" s="1">
        <v>2.25</v>
      </c>
      <c r="I1128" s="1">
        <v>30.0</v>
      </c>
      <c r="J1128" s="1">
        <v>26.0</v>
      </c>
      <c r="K1128" s="1">
        <v>1.0</v>
      </c>
      <c r="L1128" s="1">
        <v>725000.0</v>
      </c>
    </row>
    <row r="1129">
      <c r="A1129" s="1">
        <v>403.0</v>
      </c>
      <c r="B1129" s="1" t="s">
        <v>806</v>
      </c>
      <c r="C1129" s="1" t="s">
        <v>809</v>
      </c>
      <c r="D1129" s="1" t="s">
        <v>912</v>
      </c>
      <c r="E1129" s="1" t="s">
        <v>809</v>
      </c>
      <c r="F1129" s="1" t="s">
        <v>809</v>
      </c>
      <c r="G1129" s="1" t="s">
        <v>809</v>
      </c>
      <c r="H1129" s="1" t="s">
        <v>809</v>
      </c>
      <c r="I1129" s="1" t="s">
        <v>809</v>
      </c>
      <c r="J1129" s="1" t="s">
        <v>809</v>
      </c>
      <c r="K1129" s="1">
        <v>1.0</v>
      </c>
      <c r="L1129" s="1">
        <v>80000.0</v>
      </c>
    </row>
    <row r="1130">
      <c r="A1130" s="1">
        <v>404.0</v>
      </c>
      <c r="B1130" s="1" t="s">
        <v>806</v>
      </c>
      <c r="C1130" s="1" t="s">
        <v>807</v>
      </c>
      <c r="D1130" s="1" t="s">
        <v>815</v>
      </c>
      <c r="E1130" s="1">
        <v>-1.0</v>
      </c>
      <c r="F1130" s="1">
        <v>-1.25</v>
      </c>
      <c r="G1130" s="1">
        <v>0.0</v>
      </c>
      <c r="H1130" s="1">
        <v>2.5</v>
      </c>
      <c r="I1130" s="1" t="s">
        <v>809</v>
      </c>
      <c r="J1130" s="1" t="s">
        <v>809</v>
      </c>
      <c r="K1130" s="1">
        <v>1.0</v>
      </c>
      <c r="L1130" s="1">
        <v>570000.0</v>
      </c>
    </row>
    <row r="1131">
      <c r="A1131" s="1">
        <v>404.0</v>
      </c>
      <c r="B1131" s="1" t="s">
        <v>806</v>
      </c>
      <c r="C1131" s="1" t="s">
        <v>810</v>
      </c>
      <c r="D1131" s="1" t="s">
        <v>815</v>
      </c>
      <c r="E1131" s="1">
        <v>-1.5</v>
      </c>
      <c r="F1131" s="1">
        <v>-2.5</v>
      </c>
      <c r="G1131" s="1">
        <v>170.0</v>
      </c>
      <c r="H1131" s="1">
        <v>2.5</v>
      </c>
      <c r="I1131" s="1" t="s">
        <v>809</v>
      </c>
      <c r="J1131" s="1" t="s">
        <v>809</v>
      </c>
      <c r="K1131" s="1">
        <v>1.0</v>
      </c>
      <c r="L1131" s="1">
        <v>570000.0</v>
      </c>
    </row>
    <row r="1132">
      <c r="A1132" s="1">
        <v>404.0</v>
      </c>
      <c r="B1132" s="1" t="s">
        <v>806</v>
      </c>
      <c r="C1132" s="1" t="s">
        <v>809</v>
      </c>
      <c r="D1132" s="1" t="s">
        <v>915</v>
      </c>
      <c r="E1132" s="1" t="s">
        <v>809</v>
      </c>
      <c r="F1132" s="1" t="s">
        <v>809</v>
      </c>
      <c r="G1132" s="1" t="s">
        <v>809</v>
      </c>
      <c r="H1132" s="1" t="s">
        <v>809</v>
      </c>
      <c r="I1132" s="1" t="s">
        <v>809</v>
      </c>
      <c r="J1132" s="1" t="s">
        <v>809</v>
      </c>
      <c r="K1132" s="1">
        <v>1.0</v>
      </c>
      <c r="L1132" s="1">
        <v>150000.0</v>
      </c>
    </row>
    <row r="1133">
      <c r="A1133" s="1">
        <v>405.0</v>
      </c>
      <c r="B1133" s="1" t="s">
        <v>806</v>
      </c>
      <c r="C1133" s="1" t="s">
        <v>807</v>
      </c>
      <c r="D1133" s="1" t="s">
        <v>808</v>
      </c>
      <c r="E1133" s="1">
        <v>0.0</v>
      </c>
      <c r="F1133" s="1">
        <v>0.0</v>
      </c>
      <c r="G1133" s="1" t="s">
        <v>809</v>
      </c>
      <c r="H1133" s="1" t="s">
        <v>809</v>
      </c>
      <c r="I1133" s="1" t="s">
        <v>809</v>
      </c>
      <c r="J1133" s="1" t="s">
        <v>809</v>
      </c>
      <c r="K1133" s="1">
        <v>1.0</v>
      </c>
      <c r="L1133" s="1">
        <v>30000.0</v>
      </c>
    </row>
    <row r="1134">
      <c r="A1134" s="1">
        <v>405.0</v>
      </c>
      <c r="B1134" s="1" t="s">
        <v>806</v>
      </c>
      <c r="C1134" s="1" t="s">
        <v>810</v>
      </c>
      <c r="D1134" s="1" t="s">
        <v>808</v>
      </c>
      <c r="E1134" s="1">
        <v>0.0</v>
      </c>
      <c r="F1134" s="1">
        <v>0.0</v>
      </c>
      <c r="G1134" s="1" t="s">
        <v>809</v>
      </c>
      <c r="H1134" s="1" t="s">
        <v>809</v>
      </c>
      <c r="I1134" s="1" t="s">
        <v>809</v>
      </c>
      <c r="J1134" s="1" t="s">
        <v>809</v>
      </c>
      <c r="K1134" s="1">
        <v>1.0</v>
      </c>
      <c r="L1134" s="1">
        <v>30000.0</v>
      </c>
    </row>
    <row r="1135">
      <c r="A1135" s="1">
        <v>406.0</v>
      </c>
      <c r="B1135" s="1" t="s">
        <v>809</v>
      </c>
      <c r="C1135" s="1" t="s">
        <v>809</v>
      </c>
      <c r="D1135" s="1" t="s">
        <v>1009</v>
      </c>
      <c r="E1135" s="1" t="s">
        <v>809</v>
      </c>
      <c r="F1135" s="1" t="s">
        <v>809</v>
      </c>
      <c r="G1135" s="1" t="s">
        <v>809</v>
      </c>
      <c r="H1135" s="1" t="s">
        <v>809</v>
      </c>
      <c r="I1135" s="1" t="s">
        <v>809</v>
      </c>
      <c r="J1135" s="1" t="s">
        <v>809</v>
      </c>
      <c r="K1135" s="1">
        <v>1.0</v>
      </c>
      <c r="L1135" s="1">
        <v>230000.0</v>
      </c>
    </row>
    <row r="1136">
      <c r="A1136" s="1">
        <v>407.0</v>
      </c>
      <c r="B1136" s="1" t="s">
        <v>806</v>
      </c>
      <c r="C1136" s="1" t="s">
        <v>807</v>
      </c>
      <c r="D1136" s="1" t="s">
        <v>826</v>
      </c>
      <c r="E1136" s="1">
        <v>0.0</v>
      </c>
      <c r="F1136" s="1">
        <v>0.0</v>
      </c>
      <c r="G1136" s="1" t="s">
        <v>809</v>
      </c>
      <c r="H1136" s="1" t="s">
        <v>809</v>
      </c>
      <c r="I1136" s="1" t="s">
        <v>809</v>
      </c>
      <c r="J1136" s="1" t="s">
        <v>809</v>
      </c>
      <c r="K1136" s="1">
        <v>1.0</v>
      </c>
      <c r="L1136" s="1">
        <v>25000.0</v>
      </c>
    </row>
    <row r="1137">
      <c r="A1137" s="1">
        <v>407.0</v>
      </c>
      <c r="B1137" s="1" t="s">
        <v>806</v>
      </c>
      <c r="C1137" s="1" t="s">
        <v>810</v>
      </c>
      <c r="D1137" s="1" t="s">
        <v>826</v>
      </c>
      <c r="E1137" s="1">
        <v>0.0</v>
      </c>
      <c r="F1137" s="1">
        <v>0.0</v>
      </c>
      <c r="G1137" s="1" t="s">
        <v>809</v>
      </c>
      <c r="H1137" s="1" t="s">
        <v>809</v>
      </c>
      <c r="I1137" s="1" t="s">
        <v>809</v>
      </c>
      <c r="J1137" s="1" t="s">
        <v>809</v>
      </c>
      <c r="K1137" s="1">
        <v>1.0</v>
      </c>
      <c r="L1137" s="1">
        <v>25000.0</v>
      </c>
    </row>
    <row r="1138">
      <c r="A1138" s="1">
        <v>407.0</v>
      </c>
      <c r="B1138" s="1" t="s">
        <v>806</v>
      </c>
      <c r="C1138" s="1" t="s">
        <v>809</v>
      </c>
      <c r="D1138" s="1" t="s">
        <v>957</v>
      </c>
      <c r="E1138" s="1" t="s">
        <v>809</v>
      </c>
      <c r="F1138" s="1" t="s">
        <v>809</v>
      </c>
      <c r="G1138" s="1" t="s">
        <v>809</v>
      </c>
      <c r="H1138" s="1" t="s">
        <v>809</v>
      </c>
      <c r="I1138" s="1" t="s">
        <v>809</v>
      </c>
      <c r="J1138" s="1" t="s">
        <v>809</v>
      </c>
      <c r="K1138" s="1">
        <v>1.0</v>
      </c>
      <c r="L1138" s="1">
        <v>120000.0</v>
      </c>
    </row>
    <row r="1139">
      <c r="A1139" s="1">
        <v>408.0</v>
      </c>
      <c r="B1139" s="1" t="s">
        <v>809</v>
      </c>
      <c r="C1139" s="1" t="s">
        <v>809</v>
      </c>
      <c r="D1139" s="1" t="s">
        <v>1010</v>
      </c>
      <c r="E1139" s="1" t="s">
        <v>809</v>
      </c>
      <c r="F1139" s="1" t="s">
        <v>809</v>
      </c>
      <c r="G1139" s="1" t="s">
        <v>809</v>
      </c>
      <c r="H1139" s="1" t="s">
        <v>809</v>
      </c>
      <c r="I1139" s="1" t="s">
        <v>809</v>
      </c>
      <c r="J1139" s="1" t="s">
        <v>809</v>
      </c>
      <c r="K1139" s="1">
        <v>1.0</v>
      </c>
      <c r="L1139" s="1">
        <v>144000.0</v>
      </c>
    </row>
    <row r="1140">
      <c r="A1140" s="1">
        <v>409.0</v>
      </c>
      <c r="B1140" s="1" t="s">
        <v>806</v>
      </c>
      <c r="C1140" s="1" t="s">
        <v>807</v>
      </c>
      <c r="D1140" s="1" t="s">
        <v>865</v>
      </c>
      <c r="E1140" s="1">
        <v>0.0</v>
      </c>
      <c r="F1140" s="1">
        <v>0.0</v>
      </c>
      <c r="G1140" s="1" t="s">
        <v>809</v>
      </c>
      <c r="H1140" s="1" t="s">
        <v>809</v>
      </c>
      <c r="I1140" s="1" t="s">
        <v>809</v>
      </c>
      <c r="J1140" s="1" t="s">
        <v>809</v>
      </c>
      <c r="K1140" s="1">
        <v>1.0</v>
      </c>
      <c r="L1140" s="1">
        <v>45000.0</v>
      </c>
    </row>
    <row r="1141">
      <c r="A1141" s="1">
        <v>409.0</v>
      </c>
      <c r="B1141" s="1" t="s">
        <v>806</v>
      </c>
      <c r="C1141" s="1" t="s">
        <v>810</v>
      </c>
      <c r="D1141" s="1" t="s">
        <v>865</v>
      </c>
      <c r="E1141" s="1">
        <v>0.0</v>
      </c>
      <c r="F1141" s="1">
        <v>0.0</v>
      </c>
      <c r="G1141" s="1" t="s">
        <v>809</v>
      </c>
      <c r="H1141" s="1" t="s">
        <v>809</v>
      </c>
      <c r="I1141" s="1" t="s">
        <v>809</v>
      </c>
      <c r="J1141" s="1" t="s">
        <v>809</v>
      </c>
      <c r="K1141" s="1">
        <v>1.0</v>
      </c>
      <c r="L1141" s="1">
        <v>45000.0</v>
      </c>
    </row>
    <row r="1142">
      <c r="A1142" s="1">
        <v>409.0</v>
      </c>
      <c r="B1142" s="1" t="s">
        <v>806</v>
      </c>
      <c r="C1142" s="1" t="s">
        <v>809</v>
      </c>
      <c r="D1142" s="1" t="s">
        <v>957</v>
      </c>
      <c r="E1142" s="1" t="s">
        <v>809</v>
      </c>
      <c r="F1142" s="1" t="s">
        <v>809</v>
      </c>
      <c r="G1142" s="1" t="s">
        <v>809</v>
      </c>
      <c r="H1142" s="1" t="s">
        <v>809</v>
      </c>
      <c r="I1142" s="1" t="s">
        <v>809</v>
      </c>
      <c r="J1142" s="1" t="s">
        <v>809</v>
      </c>
      <c r="K1142" s="1">
        <v>1.0</v>
      </c>
      <c r="L1142" s="1">
        <v>120000.0</v>
      </c>
    </row>
    <row r="1143">
      <c r="A1143" s="1">
        <v>410.0</v>
      </c>
      <c r="B1143" s="1" t="s">
        <v>806</v>
      </c>
      <c r="C1143" s="1" t="s">
        <v>807</v>
      </c>
      <c r="D1143" s="1" t="s">
        <v>865</v>
      </c>
      <c r="E1143" s="1">
        <v>0.0</v>
      </c>
      <c r="F1143" s="1">
        <v>0.0</v>
      </c>
      <c r="G1143" s="1" t="s">
        <v>809</v>
      </c>
      <c r="H1143" s="1" t="s">
        <v>809</v>
      </c>
      <c r="I1143" s="1" t="s">
        <v>809</v>
      </c>
      <c r="J1143" s="1" t="s">
        <v>809</v>
      </c>
      <c r="K1143" s="1">
        <v>1.0</v>
      </c>
      <c r="L1143" s="1">
        <v>45000.0</v>
      </c>
    </row>
    <row r="1144">
      <c r="A1144" s="1">
        <v>410.0</v>
      </c>
      <c r="B1144" s="1" t="s">
        <v>806</v>
      </c>
      <c r="C1144" s="1" t="s">
        <v>810</v>
      </c>
      <c r="D1144" s="1" t="s">
        <v>865</v>
      </c>
      <c r="E1144" s="1">
        <v>0.0</v>
      </c>
      <c r="F1144" s="1">
        <v>0.0</v>
      </c>
      <c r="G1144" s="1" t="s">
        <v>809</v>
      </c>
      <c r="H1144" s="1" t="s">
        <v>809</v>
      </c>
      <c r="I1144" s="1" t="s">
        <v>809</v>
      </c>
      <c r="J1144" s="1" t="s">
        <v>809</v>
      </c>
      <c r="K1144" s="1">
        <v>1.0</v>
      </c>
      <c r="L1144" s="1">
        <v>45000.0</v>
      </c>
    </row>
    <row r="1145">
      <c r="A1145" s="1">
        <v>411.0</v>
      </c>
      <c r="B1145" s="1" t="s">
        <v>806</v>
      </c>
      <c r="C1145" s="1" t="s">
        <v>807</v>
      </c>
      <c r="D1145" s="1" t="s">
        <v>836</v>
      </c>
      <c r="E1145" s="1">
        <v>-0.75</v>
      </c>
      <c r="F1145" s="1">
        <v>-1.0</v>
      </c>
      <c r="G1145" s="1">
        <v>175.0</v>
      </c>
      <c r="H1145" s="1" t="s">
        <v>809</v>
      </c>
      <c r="I1145" s="1" t="s">
        <v>809</v>
      </c>
      <c r="J1145" s="1" t="s">
        <v>809</v>
      </c>
      <c r="K1145" s="1">
        <v>1.0</v>
      </c>
      <c r="L1145" s="1">
        <v>47500.0</v>
      </c>
    </row>
    <row r="1146">
      <c r="A1146" s="1">
        <v>411.0</v>
      </c>
      <c r="B1146" s="1" t="s">
        <v>806</v>
      </c>
      <c r="C1146" s="1" t="s">
        <v>810</v>
      </c>
      <c r="D1146" s="1" t="s">
        <v>836</v>
      </c>
      <c r="E1146" s="1">
        <v>0.0</v>
      </c>
      <c r="F1146" s="1">
        <v>-0.5</v>
      </c>
      <c r="G1146" s="1">
        <v>15.0</v>
      </c>
      <c r="H1146" s="1" t="s">
        <v>809</v>
      </c>
      <c r="I1146" s="1" t="s">
        <v>809</v>
      </c>
      <c r="J1146" s="1" t="s">
        <v>809</v>
      </c>
      <c r="K1146" s="1">
        <v>1.0</v>
      </c>
      <c r="L1146" s="1">
        <v>47500.0</v>
      </c>
    </row>
    <row r="1147">
      <c r="A1147" s="1">
        <v>411.0</v>
      </c>
      <c r="B1147" s="1" t="s">
        <v>806</v>
      </c>
      <c r="C1147" s="1" t="s">
        <v>809</v>
      </c>
      <c r="D1147" s="1" t="s">
        <v>910</v>
      </c>
      <c r="E1147" s="1" t="s">
        <v>809</v>
      </c>
      <c r="F1147" s="1" t="s">
        <v>809</v>
      </c>
      <c r="G1147" s="1" t="s">
        <v>809</v>
      </c>
      <c r="H1147" s="1" t="s">
        <v>809</v>
      </c>
      <c r="I1147" s="1" t="s">
        <v>809</v>
      </c>
      <c r="J1147" s="1" t="s">
        <v>809</v>
      </c>
      <c r="K1147" s="1">
        <v>1.0</v>
      </c>
      <c r="L1147" s="1">
        <v>75000.0</v>
      </c>
    </row>
    <row r="1148">
      <c r="A1148" s="1">
        <v>412.0</v>
      </c>
      <c r="B1148" s="1" t="s">
        <v>806</v>
      </c>
      <c r="C1148" s="1" t="s">
        <v>807</v>
      </c>
      <c r="D1148" s="1" t="s">
        <v>812</v>
      </c>
      <c r="E1148" s="1">
        <v>-0.75</v>
      </c>
      <c r="F1148" s="1">
        <v>0.0</v>
      </c>
      <c r="G1148" s="1" t="s">
        <v>809</v>
      </c>
      <c r="H1148" s="1" t="s">
        <v>809</v>
      </c>
      <c r="I1148" s="1" t="s">
        <v>809</v>
      </c>
      <c r="J1148" s="1" t="s">
        <v>809</v>
      </c>
      <c r="K1148" s="1">
        <v>1.0</v>
      </c>
      <c r="L1148" s="1">
        <v>30000.0</v>
      </c>
    </row>
    <row r="1149">
      <c r="A1149" s="1">
        <v>412.0</v>
      </c>
      <c r="B1149" s="1" t="s">
        <v>806</v>
      </c>
      <c r="C1149" s="1" t="s">
        <v>810</v>
      </c>
      <c r="D1149" s="1" t="s">
        <v>812</v>
      </c>
      <c r="E1149" s="1">
        <v>-1.25</v>
      </c>
      <c r="F1149" s="1">
        <v>0.0</v>
      </c>
      <c r="G1149" s="1" t="s">
        <v>809</v>
      </c>
      <c r="H1149" s="1" t="s">
        <v>809</v>
      </c>
      <c r="I1149" s="1" t="s">
        <v>809</v>
      </c>
      <c r="J1149" s="1" t="s">
        <v>809</v>
      </c>
      <c r="K1149" s="1">
        <v>1.0</v>
      </c>
      <c r="L1149" s="1">
        <v>30000.0</v>
      </c>
    </row>
    <row r="1150">
      <c r="A1150" s="1">
        <v>412.0</v>
      </c>
      <c r="B1150" s="1" t="s">
        <v>806</v>
      </c>
      <c r="C1150" s="1" t="s">
        <v>809</v>
      </c>
      <c r="D1150" s="1" t="s">
        <v>910</v>
      </c>
      <c r="E1150" s="1" t="s">
        <v>809</v>
      </c>
      <c r="F1150" s="1" t="s">
        <v>809</v>
      </c>
      <c r="G1150" s="1" t="s">
        <v>809</v>
      </c>
      <c r="H1150" s="1" t="s">
        <v>809</v>
      </c>
      <c r="I1150" s="1" t="s">
        <v>809</v>
      </c>
      <c r="J1150" s="1" t="s">
        <v>809</v>
      </c>
      <c r="K1150" s="1">
        <v>1.0</v>
      </c>
      <c r="L1150" s="1">
        <v>130000.0</v>
      </c>
    </row>
    <row r="1151">
      <c r="A1151" s="1">
        <v>412.0</v>
      </c>
      <c r="B1151" s="1" t="s">
        <v>825</v>
      </c>
      <c r="C1151" s="1" t="s">
        <v>807</v>
      </c>
      <c r="D1151" s="1" t="s">
        <v>808</v>
      </c>
      <c r="E1151" s="1">
        <v>-0.75</v>
      </c>
      <c r="F1151" s="1">
        <v>0.0</v>
      </c>
      <c r="G1151" s="1" t="s">
        <v>809</v>
      </c>
      <c r="H1151" s="1" t="s">
        <v>809</v>
      </c>
      <c r="I1151" s="1" t="s">
        <v>809</v>
      </c>
      <c r="J1151" s="1" t="s">
        <v>809</v>
      </c>
      <c r="K1151" s="1">
        <v>1.0</v>
      </c>
      <c r="L1151" s="1">
        <v>22500.0</v>
      </c>
    </row>
    <row r="1152">
      <c r="A1152" s="1">
        <v>412.0</v>
      </c>
      <c r="B1152" s="1" t="s">
        <v>825</v>
      </c>
      <c r="C1152" s="1" t="s">
        <v>810</v>
      </c>
      <c r="D1152" s="1" t="s">
        <v>808</v>
      </c>
      <c r="E1152" s="1">
        <v>-1.25</v>
      </c>
      <c r="F1152" s="1">
        <v>0.0</v>
      </c>
      <c r="G1152" s="1" t="s">
        <v>809</v>
      </c>
      <c r="H1152" s="1" t="s">
        <v>809</v>
      </c>
      <c r="I1152" s="1" t="s">
        <v>809</v>
      </c>
      <c r="J1152" s="1" t="s">
        <v>809</v>
      </c>
      <c r="K1152" s="1">
        <v>1.0</v>
      </c>
      <c r="L1152" s="1">
        <v>22500.0</v>
      </c>
    </row>
    <row r="1153">
      <c r="A1153" s="1">
        <v>412.0</v>
      </c>
      <c r="B1153" s="1" t="s">
        <v>825</v>
      </c>
      <c r="C1153" s="1" t="s">
        <v>809</v>
      </c>
      <c r="D1153" s="1" t="s">
        <v>910</v>
      </c>
      <c r="E1153" s="1" t="s">
        <v>809</v>
      </c>
      <c r="F1153" s="1" t="s">
        <v>809</v>
      </c>
      <c r="G1153" s="1" t="s">
        <v>809</v>
      </c>
      <c r="H1153" s="1" t="s">
        <v>809</v>
      </c>
      <c r="I1153" s="1" t="s">
        <v>809</v>
      </c>
      <c r="J1153" s="1" t="s">
        <v>809</v>
      </c>
      <c r="K1153" s="1">
        <v>1.0</v>
      </c>
      <c r="L1153" s="1">
        <v>0.0</v>
      </c>
    </row>
    <row r="1154">
      <c r="A1154" s="1">
        <v>413.0</v>
      </c>
      <c r="B1154" s="1" t="s">
        <v>806</v>
      </c>
      <c r="C1154" s="1" t="s">
        <v>807</v>
      </c>
      <c r="D1154" s="1" t="s">
        <v>815</v>
      </c>
      <c r="E1154" s="1">
        <v>1.75</v>
      </c>
      <c r="F1154" s="1">
        <v>0.0</v>
      </c>
      <c r="G1154" s="1" t="s">
        <v>809</v>
      </c>
      <c r="H1154" s="1">
        <v>1.25</v>
      </c>
      <c r="I1154" s="1" t="s">
        <v>809</v>
      </c>
      <c r="J1154" s="1" t="s">
        <v>809</v>
      </c>
      <c r="K1154" s="1">
        <v>1.0</v>
      </c>
      <c r="L1154" s="1">
        <v>606000.0</v>
      </c>
    </row>
    <row r="1155">
      <c r="A1155" s="1">
        <v>413.0</v>
      </c>
      <c r="B1155" s="1" t="s">
        <v>806</v>
      </c>
      <c r="C1155" s="1" t="s">
        <v>810</v>
      </c>
      <c r="D1155" s="1" t="s">
        <v>815</v>
      </c>
      <c r="E1155" s="1">
        <v>2.5</v>
      </c>
      <c r="F1155" s="1">
        <v>0.0</v>
      </c>
      <c r="G1155" s="1" t="s">
        <v>809</v>
      </c>
      <c r="H1155" s="1">
        <v>1.25</v>
      </c>
      <c r="I1155" s="1" t="s">
        <v>809</v>
      </c>
      <c r="J1155" s="1" t="s">
        <v>809</v>
      </c>
      <c r="K1155" s="1">
        <v>1.0</v>
      </c>
      <c r="L1155" s="1">
        <v>606000.0</v>
      </c>
    </row>
    <row r="1156">
      <c r="A1156" s="1">
        <v>413.0</v>
      </c>
      <c r="B1156" s="1" t="s">
        <v>806</v>
      </c>
      <c r="C1156" s="1" t="s">
        <v>809</v>
      </c>
      <c r="D1156" s="1" t="s">
        <v>915</v>
      </c>
      <c r="E1156" s="1" t="s">
        <v>809</v>
      </c>
      <c r="F1156" s="1" t="s">
        <v>809</v>
      </c>
      <c r="G1156" s="1" t="s">
        <v>809</v>
      </c>
      <c r="H1156" s="1" t="s">
        <v>809</v>
      </c>
      <c r="I1156" s="1" t="s">
        <v>809</v>
      </c>
      <c r="J1156" s="1" t="s">
        <v>809</v>
      </c>
      <c r="K1156" s="1">
        <v>1.0</v>
      </c>
      <c r="L1156" s="1">
        <v>118000.0</v>
      </c>
    </row>
    <row r="1157">
      <c r="A1157" s="1">
        <v>414.0</v>
      </c>
      <c r="B1157" s="1" t="s">
        <v>806</v>
      </c>
      <c r="C1157" s="1" t="s">
        <v>807</v>
      </c>
      <c r="D1157" s="1" t="s">
        <v>823</v>
      </c>
      <c r="E1157" s="1">
        <v>0.0</v>
      </c>
      <c r="F1157" s="1">
        <v>0.0</v>
      </c>
      <c r="G1157" s="1" t="s">
        <v>809</v>
      </c>
      <c r="H1157" s="1" t="s">
        <v>809</v>
      </c>
      <c r="I1157" s="1" t="s">
        <v>809</v>
      </c>
      <c r="J1157" s="1" t="s">
        <v>809</v>
      </c>
      <c r="K1157" s="1">
        <v>1.0</v>
      </c>
      <c r="L1157" s="1">
        <v>310000.0</v>
      </c>
    </row>
    <row r="1158">
      <c r="A1158" s="1">
        <v>414.0</v>
      </c>
      <c r="B1158" s="1" t="s">
        <v>806</v>
      </c>
      <c r="C1158" s="1" t="s">
        <v>810</v>
      </c>
      <c r="D1158" s="1" t="s">
        <v>823</v>
      </c>
      <c r="E1158" s="1">
        <v>0.0</v>
      </c>
      <c r="F1158" s="1">
        <v>0.0</v>
      </c>
      <c r="G1158" s="1" t="s">
        <v>809</v>
      </c>
      <c r="H1158" s="1" t="s">
        <v>809</v>
      </c>
      <c r="I1158" s="1" t="s">
        <v>809</v>
      </c>
      <c r="J1158" s="1" t="s">
        <v>809</v>
      </c>
      <c r="K1158" s="1">
        <v>1.0</v>
      </c>
      <c r="L1158" s="1">
        <v>310000.0</v>
      </c>
    </row>
    <row r="1159">
      <c r="A1159" s="1">
        <v>414.0</v>
      </c>
      <c r="B1159" s="1" t="s">
        <v>806</v>
      </c>
      <c r="C1159" s="1" t="s">
        <v>809</v>
      </c>
      <c r="D1159" s="1" t="s">
        <v>929</v>
      </c>
      <c r="E1159" s="1" t="s">
        <v>809</v>
      </c>
      <c r="F1159" s="1" t="s">
        <v>809</v>
      </c>
      <c r="G1159" s="1" t="s">
        <v>809</v>
      </c>
      <c r="H1159" s="1" t="s">
        <v>809</v>
      </c>
      <c r="I1159" s="1" t="s">
        <v>809</v>
      </c>
      <c r="J1159" s="1" t="s">
        <v>809</v>
      </c>
      <c r="K1159" s="1">
        <v>1.0</v>
      </c>
      <c r="L1159" s="1">
        <v>0.0</v>
      </c>
    </row>
    <row r="1160">
      <c r="A1160" s="1">
        <v>415.0</v>
      </c>
      <c r="B1160" s="1" t="s">
        <v>825</v>
      </c>
      <c r="C1160" s="1" t="s">
        <v>807</v>
      </c>
      <c r="D1160" s="1" t="s">
        <v>812</v>
      </c>
      <c r="E1160" s="1">
        <v>1.25</v>
      </c>
      <c r="F1160" s="1">
        <v>0.0</v>
      </c>
      <c r="G1160" s="1" t="s">
        <v>809</v>
      </c>
      <c r="H1160" s="1" t="s">
        <v>809</v>
      </c>
      <c r="I1160" s="1" t="s">
        <v>809</v>
      </c>
      <c r="J1160" s="1" t="s">
        <v>809</v>
      </c>
      <c r="K1160" s="1">
        <v>1.0</v>
      </c>
      <c r="L1160" s="1">
        <v>25000.0</v>
      </c>
    </row>
    <row r="1161">
      <c r="A1161" s="1">
        <v>415.0</v>
      </c>
      <c r="B1161" s="1" t="s">
        <v>825</v>
      </c>
      <c r="C1161" s="1" t="s">
        <v>810</v>
      </c>
      <c r="D1161" s="1" t="s">
        <v>812</v>
      </c>
      <c r="E1161" s="1">
        <v>1.25</v>
      </c>
      <c r="F1161" s="1">
        <v>0.0</v>
      </c>
      <c r="G1161" s="1" t="s">
        <v>809</v>
      </c>
      <c r="H1161" s="1" t="s">
        <v>809</v>
      </c>
      <c r="I1161" s="1" t="s">
        <v>809</v>
      </c>
      <c r="J1161" s="1" t="s">
        <v>809</v>
      </c>
      <c r="K1161" s="1">
        <v>1.0</v>
      </c>
      <c r="L1161" s="1">
        <v>25000.0</v>
      </c>
    </row>
    <row r="1162">
      <c r="A1162" s="1">
        <v>415.0</v>
      </c>
      <c r="B1162" s="1" t="s">
        <v>825</v>
      </c>
      <c r="C1162" s="1" t="s">
        <v>809</v>
      </c>
      <c r="D1162" s="1" t="s">
        <v>929</v>
      </c>
      <c r="E1162" s="1" t="s">
        <v>809</v>
      </c>
      <c r="F1162" s="1" t="s">
        <v>809</v>
      </c>
      <c r="G1162" s="1" t="s">
        <v>809</v>
      </c>
      <c r="H1162" s="1" t="s">
        <v>809</v>
      </c>
      <c r="I1162" s="1" t="s">
        <v>809</v>
      </c>
      <c r="J1162" s="1" t="s">
        <v>809</v>
      </c>
      <c r="K1162" s="1">
        <v>1.0</v>
      </c>
      <c r="L1162" s="1">
        <v>110000.0</v>
      </c>
    </row>
    <row r="1163">
      <c r="A1163" s="1">
        <v>416.0</v>
      </c>
      <c r="B1163" s="1" t="s">
        <v>806</v>
      </c>
      <c r="C1163" s="1" t="s">
        <v>807</v>
      </c>
      <c r="D1163" s="1" t="s">
        <v>885</v>
      </c>
      <c r="E1163" s="1">
        <v>-0.25</v>
      </c>
      <c r="F1163" s="1">
        <v>-1.0</v>
      </c>
      <c r="G1163" s="1">
        <v>170.0</v>
      </c>
      <c r="H1163" s="1" t="s">
        <v>809</v>
      </c>
      <c r="I1163" s="1" t="s">
        <v>809</v>
      </c>
      <c r="J1163" s="1" t="s">
        <v>809</v>
      </c>
      <c r="K1163" s="1">
        <v>1.0</v>
      </c>
      <c r="L1163" s="1">
        <v>44250.0</v>
      </c>
    </row>
    <row r="1164">
      <c r="A1164" s="1">
        <v>416.0</v>
      </c>
      <c r="B1164" s="1" t="s">
        <v>806</v>
      </c>
      <c r="C1164" s="1" t="s">
        <v>810</v>
      </c>
      <c r="D1164" s="1" t="s">
        <v>885</v>
      </c>
      <c r="E1164" s="1">
        <v>-0.25</v>
      </c>
      <c r="F1164" s="1">
        <v>-1.0</v>
      </c>
      <c r="G1164" s="1">
        <v>15.0</v>
      </c>
      <c r="H1164" s="1" t="s">
        <v>809</v>
      </c>
      <c r="I1164" s="1" t="s">
        <v>809</v>
      </c>
      <c r="J1164" s="1" t="s">
        <v>809</v>
      </c>
      <c r="K1164" s="1">
        <v>1.0</v>
      </c>
      <c r="L1164" s="1">
        <v>44250.0</v>
      </c>
    </row>
    <row r="1165">
      <c r="A1165" s="1">
        <v>417.0</v>
      </c>
      <c r="B1165" s="1" t="s">
        <v>825</v>
      </c>
      <c r="C1165" s="1" t="s">
        <v>807</v>
      </c>
      <c r="D1165" s="1" t="s">
        <v>812</v>
      </c>
      <c r="E1165" s="1">
        <v>2.75</v>
      </c>
      <c r="F1165" s="1">
        <v>0.0</v>
      </c>
      <c r="G1165" s="1" t="s">
        <v>809</v>
      </c>
      <c r="H1165" s="1" t="s">
        <v>809</v>
      </c>
      <c r="I1165" s="1" t="s">
        <v>809</v>
      </c>
      <c r="J1165" s="1" t="s">
        <v>809</v>
      </c>
      <c r="K1165" s="1">
        <v>1.0</v>
      </c>
      <c r="L1165" s="1">
        <v>60000.0</v>
      </c>
    </row>
    <row r="1166">
      <c r="A1166" s="1">
        <v>417.0</v>
      </c>
      <c r="B1166" s="1" t="s">
        <v>825</v>
      </c>
      <c r="C1166" s="1" t="s">
        <v>810</v>
      </c>
      <c r="D1166" s="1" t="s">
        <v>812</v>
      </c>
      <c r="E1166" s="1">
        <v>2.5</v>
      </c>
      <c r="F1166" s="1">
        <v>0.0</v>
      </c>
      <c r="G1166" s="1" t="s">
        <v>809</v>
      </c>
      <c r="H1166" s="1" t="s">
        <v>809</v>
      </c>
      <c r="I1166" s="1" t="s">
        <v>809</v>
      </c>
      <c r="J1166" s="1" t="s">
        <v>809</v>
      </c>
      <c r="K1166" s="1">
        <v>1.0</v>
      </c>
      <c r="L1166" s="1">
        <v>60000.0</v>
      </c>
    </row>
    <row r="1167">
      <c r="A1167" s="1">
        <v>418.0</v>
      </c>
      <c r="B1167" s="1" t="s">
        <v>825</v>
      </c>
      <c r="C1167" s="1" t="s">
        <v>807</v>
      </c>
      <c r="D1167" s="1" t="s">
        <v>808</v>
      </c>
      <c r="E1167" s="1">
        <v>4.5</v>
      </c>
      <c r="F1167" s="1">
        <v>0.0</v>
      </c>
      <c r="G1167" s="1" t="s">
        <v>809</v>
      </c>
      <c r="H1167" s="1" t="s">
        <v>809</v>
      </c>
      <c r="I1167" s="1" t="s">
        <v>809</v>
      </c>
      <c r="J1167" s="1" t="s">
        <v>809</v>
      </c>
      <c r="K1167" s="1">
        <v>1.0</v>
      </c>
      <c r="L1167" s="1">
        <v>0.0</v>
      </c>
    </row>
    <row r="1168">
      <c r="A1168" s="1">
        <v>418.0</v>
      </c>
      <c r="B1168" s="1" t="s">
        <v>825</v>
      </c>
      <c r="C1168" s="1" t="s">
        <v>810</v>
      </c>
      <c r="D1168" s="1" t="s">
        <v>808</v>
      </c>
      <c r="E1168" s="1">
        <v>4.5</v>
      </c>
      <c r="F1168" s="1">
        <v>0.0</v>
      </c>
      <c r="G1168" s="1" t="s">
        <v>809</v>
      </c>
      <c r="H1168" s="1" t="s">
        <v>809</v>
      </c>
      <c r="I1168" s="1" t="s">
        <v>809</v>
      </c>
      <c r="J1168" s="1" t="s">
        <v>809</v>
      </c>
      <c r="K1168" s="1">
        <v>1.0</v>
      </c>
      <c r="L1168" s="1">
        <v>0.0</v>
      </c>
    </row>
    <row r="1169">
      <c r="A1169" s="1">
        <v>418.0</v>
      </c>
      <c r="B1169" s="1" t="s">
        <v>825</v>
      </c>
      <c r="C1169" s="1">
        <v>2.0</v>
      </c>
      <c r="D1169" s="1" t="s">
        <v>1011</v>
      </c>
      <c r="E1169" s="1" t="s">
        <v>809</v>
      </c>
      <c r="F1169" s="1" t="s">
        <v>809</v>
      </c>
      <c r="G1169" s="1" t="s">
        <v>809</v>
      </c>
      <c r="H1169" s="1" t="s">
        <v>809</v>
      </c>
      <c r="I1169" s="1" t="s">
        <v>809</v>
      </c>
      <c r="J1169" s="1" t="s">
        <v>809</v>
      </c>
      <c r="K1169" s="1">
        <v>2.0</v>
      </c>
      <c r="L1169" s="1">
        <v>162500.0</v>
      </c>
    </row>
    <row r="1170">
      <c r="A1170" s="1">
        <v>419.0</v>
      </c>
      <c r="B1170" s="1" t="s">
        <v>806</v>
      </c>
      <c r="C1170" s="1" t="s">
        <v>807</v>
      </c>
      <c r="D1170" s="1" t="s">
        <v>836</v>
      </c>
      <c r="E1170" s="1">
        <v>-1.25</v>
      </c>
      <c r="F1170" s="1">
        <v>-0.25</v>
      </c>
      <c r="G1170" s="1">
        <v>110.0</v>
      </c>
      <c r="H1170" s="1" t="s">
        <v>809</v>
      </c>
      <c r="I1170" s="1" t="s">
        <v>809</v>
      </c>
      <c r="J1170" s="1" t="s">
        <v>809</v>
      </c>
      <c r="K1170" s="1">
        <v>1.0</v>
      </c>
      <c r="L1170" s="1">
        <v>60000.0</v>
      </c>
    </row>
    <row r="1171">
      <c r="A1171" s="1">
        <v>419.0</v>
      </c>
      <c r="B1171" s="1" t="s">
        <v>806</v>
      </c>
      <c r="C1171" s="1" t="s">
        <v>810</v>
      </c>
      <c r="D1171" s="1" t="s">
        <v>836</v>
      </c>
      <c r="E1171" s="1">
        <v>-1.0</v>
      </c>
      <c r="F1171" s="1">
        <v>-0.5</v>
      </c>
      <c r="G1171" s="1">
        <v>100.0</v>
      </c>
      <c r="H1171" s="1" t="s">
        <v>809</v>
      </c>
      <c r="I1171" s="1" t="s">
        <v>809</v>
      </c>
      <c r="J1171" s="1" t="s">
        <v>809</v>
      </c>
      <c r="K1171" s="1">
        <v>1.0</v>
      </c>
      <c r="L1171" s="1">
        <v>60000.0</v>
      </c>
    </row>
    <row r="1172">
      <c r="A1172" s="1">
        <v>419.0</v>
      </c>
      <c r="B1172" s="1" t="s">
        <v>806</v>
      </c>
      <c r="C1172" s="1" t="s">
        <v>809</v>
      </c>
      <c r="D1172" s="1" t="s">
        <v>915</v>
      </c>
      <c r="E1172" s="1" t="s">
        <v>809</v>
      </c>
      <c r="F1172" s="1" t="s">
        <v>809</v>
      </c>
      <c r="G1172" s="1" t="s">
        <v>809</v>
      </c>
      <c r="H1172" s="1" t="s">
        <v>809</v>
      </c>
      <c r="I1172" s="1" t="s">
        <v>809</v>
      </c>
      <c r="J1172" s="1" t="s">
        <v>809</v>
      </c>
      <c r="K1172" s="1">
        <v>1.0</v>
      </c>
      <c r="L1172" s="1">
        <v>90000.0</v>
      </c>
    </row>
    <row r="1173">
      <c r="A1173" s="1">
        <v>420.0</v>
      </c>
      <c r="B1173" s="1" t="s">
        <v>806</v>
      </c>
      <c r="C1173" s="1" t="s">
        <v>807</v>
      </c>
      <c r="D1173" s="1" t="s">
        <v>1012</v>
      </c>
      <c r="E1173" s="1">
        <v>-0.75</v>
      </c>
      <c r="F1173" s="1">
        <v>-0.5</v>
      </c>
      <c r="G1173" s="1">
        <v>90.0</v>
      </c>
      <c r="H1173" s="1" t="s">
        <v>809</v>
      </c>
      <c r="I1173" s="1" t="s">
        <v>809</v>
      </c>
      <c r="J1173" s="1" t="s">
        <v>809</v>
      </c>
      <c r="K1173" s="1">
        <v>1.0</v>
      </c>
      <c r="L1173" s="1">
        <v>141000.0</v>
      </c>
    </row>
    <row r="1174">
      <c r="A1174" s="1">
        <v>420.0</v>
      </c>
      <c r="B1174" s="1" t="s">
        <v>806</v>
      </c>
      <c r="C1174" s="1" t="s">
        <v>810</v>
      </c>
      <c r="D1174" s="1" t="s">
        <v>1012</v>
      </c>
      <c r="E1174" s="1">
        <v>-1.75</v>
      </c>
      <c r="F1174" s="1">
        <v>0.0</v>
      </c>
      <c r="G1174" s="1" t="s">
        <v>809</v>
      </c>
      <c r="H1174" s="1" t="s">
        <v>809</v>
      </c>
      <c r="I1174" s="1" t="s">
        <v>809</v>
      </c>
      <c r="J1174" s="1" t="s">
        <v>809</v>
      </c>
      <c r="K1174" s="1">
        <v>1.0</v>
      </c>
      <c r="L1174" s="1">
        <v>141000.0</v>
      </c>
    </row>
    <row r="1175">
      <c r="A1175" s="1">
        <v>420.0</v>
      </c>
      <c r="B1175" s="1" t="s">
        <v>806</v>
      </c>
      <c r="C1175" s="1" t="s">
        <v>809</v>
      </c>
      <c r="D1175" s="1" t="s">
        <v>1013</v>
      </c>
      <c r="E1175" s="1" t="s">
        <v>809</v>
      </c>
      <c r="F1175" s="1" t="s">
        <v>809</v>
      </c>
      <c r="G1175" s="1" t="s">
        <v>809</v>
      </c>
      <c r="H1175" s="1" t="s">
        <v>809</v>
      </c>
      <c r="I1175" s="1" t="s">
        <v>809</v>
      </c>
      <c r="J1175" s="1" t="s">
        <v>809</v>
      </c>
      <c r="K1175" s="1">
        <v>1.0</v>
      </c>
      <c r="L1175" s="1">
        <v>178000.0</v>
      </c>
    </row>
    <row r="1176">
      <c r="A1176" s="1">
        <v>421.0</v>
      </c>
      <c r="B1176" s="1" t="s">
        <v>806</v>
      </c>
      <c r="C1176" s="1" t="s">
        <v>807</v>
      </c>
      <c r="D1176" s="1" t="s">
        <v>812</v>
      </c>
      <c r="E1176" s="1">
        <v>-0.75</v>
      </c>
      <c r="F1176" s="1">
        <v>0.0</v>
      </c>
      <c r="G1176" s="1" t="s">
        <v>809</v>
      </c>
      <c r="H1176" s="1" t="s">
        <v>809</v>
      </c>
      <c r="I1176" s="1">
        <v>30.0</v>
      </c>
      <c r="J1176" s="1">
        <v>29.0</v>
      </c>
      <c r="K1176" s="1">
        <v>1.0</v>
      </c>
      <c r="L1176" s="1">
        <v>30000.0</v>
      </c>
    </row>
    <row r="1177">
      <c r="A1177" s="1">
        <v>421.0</v>
      </c>
      <c r="B1177" s="1" t="s">
        <v>806</v>
      </c>
      <c r="C1177" s="1" t="s">
        <v>810</v>
      </c>
      <c r="D1177" s="1" t="s">
        <v>812</v>
      </c>
      <c r="E1177" s="1">
        <v>-1.25</v>
      </c>
      <c r="F1177" s="1">
        <v>0.0</v>
      </c>
      <c r="G1177" s="1" t="s">
        <v>809</v>
      </c>
      <c r="H1177" s="1" t="s">
        <v>809</v>
      </c>
      <c r="I1177" s="1">
        <v>28.0</v>
      </c>
      <c r="J1177" s="1">
        <v>28.0</v>
      </c>
      <c r="K1177" s="1">
        <v>1.0</v>
      </c>
      <c r="L1177" s="1">
        <v>30000.0</v>
      </c>
    </row>
    <row r="1178">
      <c r="A1178" s="1">
        <v>421.0</v>
      </c>
      <c r="B1178" s="1" t="s">
        <v>806</v>
      </c>
      <c r="C1178" s="1" t="s">
        <v>809</v>
      </c>
      <c r="D1178" s="1" t="s">
        <v>1014</v>
      </c>
      <c r="E1178" s="1" t="s">
        <v>809</v>
      </c>
      <c r="F1178" s="1" t="s">
        <v>809</v>
      </c>
      <c r="G1178" s="1" t="s">
        <v>809</v>
      </c>
      <c r="H1178" s="1" t="s">
        <v>809</v>
      </c>
      <c r="I1178" s="1" t="s">
        <v>809</v>
      </c>
      <c r="J1178" s="1" t="s">
        <v>809</v>
      </c>
      <c r="K1178" s="1">
        <v>1.0</v>
      </c>
      <c r="L1178" s="1">
        <v>229000.0</v>
      </c>
    </row>
    <row r="1179">
      <c r="A1179" s="1">
        <v>422.0</v>
      </c>
      <c r="B1179" s="1" t="s">
        <v>806</v>
      </c>
      <c r="C1179" s="1" t="s">
        <v>807</v>
      </c>
      <c r="D1179" s="1" t="s">
        <v>812</v>
      </c>
      <c r="E1179" s="1">
        <v>-1.25</v>
      </c>
      <c r="F1179" s="1">
        <v>-0.5</v>
      </c>
      <c r="G1179" s="1">
        <v>120.0</v>
      </c>
      <c r="H1179" s="1" t="s">
        <v>809</v>
      </c>
      <c r="I1179" s="1">
        <v>32.0</v>
      </c>
      <c r="J1179" s="1">
        <v>27.0</v>
      </c>
      <c r="K1179" s="1">
        <v>1.0</v>
      </c>
      <c r="L1179" s="1">
        <v>30000.0</v>
      </c>
    </row>
    <row r="1180">
      <c r="A1180" s="1">
        <v>422.0</v>
      </c>
      <c r="B1180" s="1" t="s">
        <v>806</v>
      </c>
      <c r="C1180" s="1" t="s">
        <v>810</v>
      </c>
      <c r="D1180" s="1" t="s">
        <v>812</v>
      </c>
      <c r="E1180" s="1">
        <v>-0.5</v>
      </c>
      <c r="F1180" s="1">
        <v>-0.25</v>
      </c>
      <c r="G1180" s="1">
        <v>50.0</v>
      </c>
      <c r="H1180" s="1" t="s">
        <v>809</v>
      </c>
      <c r="I1180" s="1">
        <v>27.0</v>
      </c>
      <c r="J1180" s="1">
        <v>26.0</v>
      </c>
      <c r="K1180" s="1">
        <v>1.0</v>
      </c>
      <c r="L1180" s="1">
        <v>30000.0</v>
      </c>
    </row>
    <row r="1181">
      <c r="A1181" s="1">
        <v>423.0</v>
      </c>
      <c r="B1181" s="1" t="s">
        <v>806</v>
      </c>
      <c r="C1181" s="1" t="s">
        <v>807</v>
      </c>
      <c r="D1181" s="1" t="s">
        <v>808</v>
      </c>
      <c r="E1181" s="1">
        <v>0.0</v>
      </c>
      <c r="F1181" s="1">
        <v>0.0</v>
      </c>
      <c r="G1181" s="1" t="s">
        <v>809</v>
      </c>
      <c r="H1181" s="1" t="s">
        <v>809</v>
      </c>
      <c r="I1181" s="1" t="s">
        <v>809</v>
      </c>
      <c r="J1181" s="1" t="s">
        <v>809</v>
      </c>
      <c r="K1181" s="1">
        <v>1.0</v>
      </c>
      <c r="L1181" s="1">
        <v>48500.0</v>
      </c>
    </row>
    <row r="1182">
      <c r="A1182" s="1">
        <v>423.0</v>
      </c>
      <c r="B1182" s="1" t="s">
        <v>806</v>
      </c>
      <c r="C1182" s="1" t="s">
        <v>810</v>
      </c>
      <c r="D1182" s="1" t="s">
        <v>808</v>
      </c>
      <c r="E1182" s="1">
        <v>0.0</v>
      </c>
      <c r="F1182" s="1">
        <v>0.0</v>
      </c>
      <c r="G1182" s="1" t="s">
        <v>809</v>
      </c>
      <c r="H1182" s="1" t="s">
        <v>809</v>
      </c>
      <c r="I1182" s="1" t="s">
        <v>809</v>
      </c>
      <c r="J1182" s="1" t="s">
        <v>809</v>
      </c>
      <c r="K1182" s="1">
        <v>1.0</v>
      </c>
      <c r="L1182" s="1">
        <v>48500.0</v>
      </c>
    </row>
    <row r="1183">
      <c r="A1183" s="1">
        <v>424.0</v>
      </c>
      <c r="B1183" s="1" t="s">
        <v>806</v>
      </c>
      <c r="C1183" s="1" t="s">
        <v>807</v>
      </c>
      <c r="D1183" s="1" t="s">
        <v>919</v>
      </c>
      <c r="E1183" s="1">
        <v>0.0</v>
      </c>
      <c r="F1183" s="1">
        <v>0.0</v>
      </c>
      <c r="G1183" s="1" t="s">
        <v>809</v>
      </c>
      <c r="H1183" s="1" t="s">
        <v>809</v>
      </c>
      <c r="I1183" s="1" t="s">
        <v>809</v>
      </c>
      <c r="J1183" s="1" t="s">
        <v>809</v>
      </c>
      <c r="K1183" s="1">
        <v>1.0</v>
      </c>
      <c r="L1183" s="1">
        <v>45000.0</v>
      </c>
    </row>
    <row r="1184">
      <c r="A1184" s="1">
        <v>424.0</v>
      </c>
      <c r="B1184" s="1" t="s">
        <v>806</v>
      </c>
      <c r="C1184" s="1" t="s">
        <v>810</v>
      </c>
      <c r="D1184" s="1" t="s">
        <v>919</v>
      </c>
      <c r="E1184" s="1">
        <v>0.0</v>
      </c>
      <c r="F1184" s="1">
        <v>0.0</v>
      </c>
      <c r="G1184" s="1" t="s">
        <v>809</v>
      </c>
      <c r="H1184" s="1" t="s">
        <v>809</v>
      </c>
      <c r="I1184" s="1" t="s">
        <v>809</v>
      </c>
      <c r="J1184" s="1" t="s">
        <v>809</v>
      </c>
      <c r="K1184" s="1">
        <v>1.0</v>
      </c>
      <c r="L1184" s="1">
        <v>45000.0</v>
      </c>
    </row>
    <row r="1185">
      <c r="A1185" s="1">
        <v>425.0</v>
      </c>
      <c r="B1185" s="1" t="s">
        <v>825</v>
      </c>
      <c r="C1185" s="1" t="s">
        <v>807</v>
      </c>
      <c r="D1185" s="1" t="s">
        <v>808</v>
      </c>
      <c r="E1185" s="1">
        <v>1.25</v>
      </c>
      <c r="F1185" s="1">
        <v>0.0</v>
      </c>
      <c r="G1185" s="1" t="s">
        <v>809</v>
      </c>
      <c r="H1185" s="1" t="s">
        <v>809</v>
      </c>
      <c r="I1185" s="1" t="s">
        <v>809</v>
      </c>
      <c r="J1185" s="1" t="s">
        <v>809</v>
      </c>
      <c r="K1185" s="1">
        <v>1.0</v>
      </c>
      <c r="L1185" s="1">
        <v>10000.0</v>
      </c>
    </row>
    <row r="1186">
      <c r="A1186" s="1">
        <v>425.0</v>
      </c>
      <c r="B1186" s="1" t="s">
        <v>825</v>
      </c>
      <c r="C1186" s="1" t="s">
        <v>810</v>
      </c>
      <c r="D1186" s="1" t="s">
        <v>808</v>
      </c>
      <c r="E1186" s="1">
        <v>1.25</v>
      </c>
      <c r="F1186" s="1">
        <v>0.0</v>
      </c>
      <c r="G1186" s="1" t="s">
        <v>809</v>
      </c>
      <c r="H1186" s="1" t="s">
        <v>809</v>
      </c>
      <c r="I1186" s="1" t="s">
        <v>809</v>
      </c>
      <c r="J1186" s="1" t="s">
        <v>809</v>
      </c>
      <c r="K1186" s="1">
        <v>1.0</v>
      </c>
      <c r="L1186" s="1">
        <v>10000.0</v>
      </c>
    </row>
    <row r="1187">
      <c r="A1187" s="1">
        <v>425.0</v>
      </c>
      <c r="B1187" s="1" t="s">
        <v>825</v>
      </c>
      <c r="C1187" s="1" t="s">
        <v>809</v>
      </c>
      <c r="D1187" s="1" t="s">
        <v>912</v>
      </c>
      <c r="E1187" s="1" t="s">
        <v>809</v>
      </c>
      <c r="F1187" s="1" t="s">
        <v>809</v>
      </c>
      <c r="G1187" s="1" t="s">
        <v>809</v>
      </c>
      <c r="H1187" s="1" t="s">
        <v>809</v>
      </c>
      <c r="I1187" s="1" t="s">
        <v>809</v>
      </c>
      <c r="J1187" s="1" t="s">
        <v>809</v>
      </c>
      <c r="K1187" s="1">
        <v>1.0</v>
      </c>
      <c r="L1187" s="1">
        <v>100000.0</v>
      </c>
    </row>
    <row r="1188">
      <c r="A1188" s="1">
        <v>426.0</v>
      </c>
      <c r="B1188" s="1" t="s">
        <v>806</v>
      </c>
      <c r="C1188" s="1" t="s">
        <v>807</v>
      </c>
      <c r="D1188" s="1" t="s">
        <v>812</v>
      </c>
      <c r="E1188" s="1">
        <v>-2.5</v>
      </c>
      <c r="F1188" s="1">
        <v>-1.5</v>
      </c>
      <c r="G1188" s="1">
        <v>5.0</v>
      </c>
      <c r="H1188" s="1" t="s">
        <v>809</v>
      </c>
      <c r="I1188" s="1" t="s">
        <v>809</v>
      </c>
      <c r="J1188" s="1" t="s">
        <v>809</v>
      </c>
      <c r="K1188" s="1">
        <v>1.0</v>
      </c>
      <c r="L1188" s="1">
        <v>117500.0</v>
      </c>
    </row>
    <row r="1189">
      <c r="A1189" s="1">
        <v>426.0</v>
      </c>
      <c r="B1189" s="1" t="s">
        <v>806</v>
      </c>
      <c r="C1189" s="1" t="s">
        <v>810</v>
      </c>
      <c r="D1189" s="1" t="s">
        <v>812</v>
      </c>
      <c r="E1189" s="1">
        <v>-2.5</v>
      </c>
      <c r="F1189" s="1">
        <v>-1.5</v>
      </c>
      <c r="G1189" s="1">
        <v>175.0</v>
      </c>
      <c r="H1189" s="1" t="s">
        <v>809</v>
      </c>
      <c r="I1189" s="1" t="s">
        <v>809</v>
      </c>
      <c r="J1189" s="1" t="s">
        <v>809</v>
      </c>
      <c r="K1189" s="1">
        <v>1.0</v>
      </c>
      <c r="L1189" s="1">
        <v>117500.0</v>
      </c>
    </row>
    <row r="1190">
      <c r="A1190" s="1">
        <v>427.0</v>
      </c>
      <c r="B1190" s="1" t="s">
        <v>806</v>
      </c>
      <c r="C1190" s="1" t="s">
        <v>807</v>
      </c>
      <c r="D1190" s="1" t="s">
        <v>836</v>
      </c>
      <c r="E1190" s="1">
        <v>0.0</v>
      </c>
      <c r="F1190" s="1">
        <v>-1.75</v>
      </c>
      <c r="G1190" s="1">
        <v>180.0</v>
      </c>
      <c r="H1190" s="1" t="s">
        <v>809</v>
      </c>
      <c r="I1190" s="1" t="s">
        <v>809</v>
      </c>
      <c r="J1190" s="1" t="s">
        <v>809</v>
      </c>
      <c r="K1190" s="1">
        <v>1.0</v>
      </c>
      <c r="L1190" s="1">
        <v>45000.0</v>
      </c>
    </row>
    <row r="1191">
      <c r="A1191" s="1">
        <v>427.0</v>
      </c>
      <c r="B1191" s="1" t="s">
        <v>806</v>
      </c>
      <c r="C1191" s="1" t="s">
        <v>810</v>
      </c>
      <c r="D1191" s="1" t="s">
        <v>836</v>
      </c>
      <c r="E1191" s="1">
        <v>0.25</v>
      </c>
      <c r="F1191" s="1">
        <v>-2.75</v>
      </c>
      <c r="G1191" s="1">
        <v>180.0</v>
      </c>
      <c r="H1191" s="1" t="s">
        <v>809</v>
      </c>
      <c r="I1191" s="1" t="s">
        <v>809</v>
      </c>
      <c r="J1191" s="1" t="s">
        <v>809</v>
      </c>
      <c r="K1191" s="1">
        <v>1.0</v>
      </c>
      <c r="L1191" s="1">
        <v>45000.0</v>
      </c>
    </row>
    <row r="1192">
      <c r="A1192" s="1">
        <v>427.0</v>
      </c>
      <c r="B1192" s="1" t="s">
        <v>806</v>
      </c>
      <c r="C1192" s="1" t="s">
        <v>809</v>
      </c>
      <c r="D1192" s="1" t="s">
        <v>814</v>
      </c>
      <c r="E1192" s="1" t="s">
        <v>809</v>
      </c>
      <c r="F1192" s="1" t="s">
        <v>809</v>
      </c>
      <c r="G1192" s="1" t="s">
        <v>809</v>
      </c>
      <c r="H1192" s="1" t="s">
        <v>809</v>
      </c>
      <c r="I1192" s="1" t="s">
        <v>809</v>
      </c>
      <c r="J1192" s="1" t="s">
        <v>809</v>
      </c>
      <c r="K1192" s="1">
        <v>1.0</v>
      </c>
      <c r="L1192" s="1">
        <v>122000.0</v>
      </c>
    </row>
    <row r="1193">
      <c r="A1193" s="1">
        <v>428.0</v>
      </c>
      <c r="B1193" s="1" t="s">
        <v>806</v>
      </c>
      <c r="C1193" s="1" t="s">
        <v>807</v>
      </c>
      <c r="D1193" s="1" t="s">
        <v>823</v>
      </c>
      <c r="E1193" s="1">
        <v>0.0</v>
      </c>
      <c r="F1193" s="1">
        <v>0.0</v>
      </c>
      <c r="G1193" s="1" t="s">
        <v>809</v>
      </c>
      <c r="H1193" s="1">
        <v>1.5</v>
      </c>
      <c r="I1193" s="1" t="s">
        <v>809</v>
      </c>
      <c r="J1193" s="1" t="s">
        <v>809</v>
      </c>
      <c r="K1193" s="1">
        <v>1.0</v>
      </c>
      <c r="L1193" s="1">
        <v>300000.0</v>
      </c>
    </row>
    <row r="1194">
      <c r="A1194" s="1">
        <v>428.0</v>
      </c>
      <c r="B1194" s="1" t="s">
        <v>806</v>
      </c>
      <c r="C1194" s="1" t="s">
        <v>810</v>
      </c>
      <c r="D1194" s="1" t="s">
        <v>823</v>
      </c>
      <c r="E1194" s="1">
        <v>0.0</v>
      </c>
      <c r="F1194" s="1">
        <v>0.0</v>
      </c>
      <c r="G1194" s="1" t="s">
        <v>809</v>
      </c>
      <c r="H1194" s="1">
        <v>1.5</v>
      </c>
      <c r="I1194" s="1" t="s">
        <v>809</v>
      </c>
      <c r="J1194" s="1" t="s">
        <v>809</v>
      </c>
      <c r="K1194" s="1">
        <v>1.0</v>
      </c>
      <c r="L1194" s="1">
        <v>300000.0</v>
      </c>
    </row>
    <row r="1195">
      <c r="A1195" s="1">
        <v>428.0</v>
      </c>
      <c r="B1195" s="1" t="s">
        <v>806</v>
      </c>
      <c r="C1195" s="1" t="s">
        <v>809</v>
      </c>
      <c r="D1195" s="1" t="s">
        <v>829</v>
      </c>
      <c r="E1195" s="1" t="s">
        <v>809</v>
      </c>
      <c r="F1195" s="1" t="s">
        <v>809</v>
      </c>
      <c r="G1195" s="1" t="s">
        <v>809</v>
      </c>
      <c r="H1195" s="1" t="s">
        <v>809</v>
      </c>
      <c r="I1195" s="1" t="s">
        <v>809</v>
      </c>
      <c r="J1195" s="1" t="s">
        <v>809</v>
      </c>
      <c r="K1195" s="1">
        <v>1.0</v>
      </c>
      <c r="L1195" s="1">
        <v>130000.0</v>
      </c>
    </row>
    <row r="1196">
      <c r="A1196" s="1">
        <v>429.0</v>
      </c>
      <c r="B1196" s="1" t="s">
        <v>806</v>
      </c>
      <c r="C1196" s="1" t="s">
        <v>807</v>
      </c>
      <c r="D1196" s="1" t="s">
        <v>917</v>
      </c>
      <c r="E1196" s="1">
        <v>-2.25</v>
      </c>
      <c r="F1196" s="1">
        <v>0.0</v>
      </c>
      <c r="G1196" s="1" t="s">
        <v>809</v>
      </c>
      <c r="H1196" s="1" t="s">
        <v>809</v>
      </c>
      <c r="I1196" s="1" t="s">
        <v>809</v>
      </c>
      <c r="J1196" s="1" t="s">
        <v>809</v>
      </c>
      <c r="K1196" s="1">
        <v>1.0</v>
      </c>
      <c r="L1196" s="1">
        <v>93500.0</v>
      </c>
    </row>
    <row r="1197">
      <c r="A1197" s="1">
        <v>429.0</v>
      </c>
      <c r="B1197" s="1" t="s">
        <v>806</v>
      </c>
      <c r="C1197" s="1" t="s">
        <v>810</v>
      </c>
      <c r="D1197" s="1" t="s">
        <v>917</v>
      </c>
      <c r="E1197" s="1">
        <v>-2.5</v>
      </c>
      <c r="F1197" s="1">
        <v>0.0</v>
      </c>
      <c r="G1197" s="1" t="s">
        <v>809</v>
      </c>
      <c r="H1197" s="1" t="s">
        <v>809</v>
      </c>
      <c r="I1197" s="1" t="s">
        <v>809</v>
      </c>
      <c r="J1197" s="1" t="s">
        <v>809</v>
      </c>
      <c r="K1197" s="1">
        <v>1.0</v>
      </c>
      <c r="L1197" s="1">
        <v>93500.0</v>
      </c>
    </row>
    <row r="1198">
      <c r="A1198" s="1">
        <v>429.0</v>
      </c>
      <c r="B1198" s="1" t="s">
        <v>806</v>
      </c>
      <c r="C1198" s="1" t="s">
        <v>809</v>
      </c>
      <c r="D1198" s="1" t="s">
        <v>912</v>
      </c>
      <c r="E1198" s="1" t="s">
        <v>809</v>
      </c>
      <c r="F1198" s="1" t="s">
        <v>809</v>
      </c>
      <c r="G1198" s="1" t="s">
        <v>809</v>
      </c>
      <c r="H1198" s="1" t="s">
        <v>809</v>
      </c>
      <c r="I1198" s="1" t="s">
        <v>809</v>
      </c>
      <c r="J1198" s="1" t="s">
        <v>809</v>
      </c>
      <c r="K1198" s="1">
        <v>1.0</v>
      </c>
      <c r="L1198" s="1">
        <v>120000.0</v>
      </c>
    </row>
    <row r="1199">
      <c r="A1199" s="1">
        <v>430.0</v>
      </c>
      <c r="B1199" s="1" t="s">
        <v>806</v>
      </c>
      <c r="C1199" s="1" t="s">
        <v>807</v>
      </c>
      <c r="D1199" s="1" t="s">
        <v>917</v>
      </c>
      <c r="E1199" s="1">
        <v>0.0</v>
      </c>
      <c r="F1199" s="1">
        <v>-2.75</v>
      </c>
      <c r="G1199" s="1">
        <v>2.0</v>
      </c>
      <c r="H1199" s="1" t="s">
        <v>809</v>
      </c>
      <c r="I1199" s="1">
        <v>33.0</v>
      </c>
      <c r="J1199" s="1" t="s">
        <v>809</v>
      </c>
      <c r="K1199" s="1">
        <v>1.0</v>
      </c>
      <c r="L1199" s="1">
        <v>95000.0</v>
      </c>
    </row>
    <row r="1200">
      <c r="A1200" s="1">
        <v>430.0</v>
      </c>
      <c r="B1200" s="1" t="s">
        <v>806</v>
      </c>
      <c r="C1200" s="1" t="s">
        <v>810</v>
      </c>
      <c r="D1200" s="1" t="s">
        <v>917</v>
      </c>
      <c r="E1200" s="1">
        <v>0.0</v>
      </c>
      <c r="F1200" s="1">
        <v>-2.75</v>
      </c>
      <c r="G1200" s="1">
        <v>170.0</v>
      </c>
      <c r="H1200" s="1" t="s">
        <v>809</v>
      </c>
      <c r="I1200" s="1">
        <v>34.0</v>
      </c>
      <c r="J1200" s="1" t="s">
        <v>809</v>
      </c>
      <c r="K1200" s="1">
        <v>1.0</v>
      </c>
      <c r="L1200" s="1">
        <v>95000.0</v>
      </c>
    </row>
    <row r="1201">
      <c r="A1201" s="1">
        <v>431.0</v>
      </c>
      <c r="B1201" s="1" t="s">
        <v>809</v>
      </c>
      <c r="C1201" s="1" t="s">
        <v>809</v>
      </c>
      <c r="D1201" s="1" t="s">
        <v>1015</v>
      </c>
      <c r="E1201" s="1" t="s">
        <v>809</v>
      </c>
      <c r="F1201" s="1" t="s">
        <v>809</v>
      </c>
      <c r="G1201" s="1" t="s">
        <v>809</v>
      </c>
      <c r="H1201" s="1" t="s">
        <v>809</v>
      </c>
      <c r="I1201" s="1" t="s">
        <v>809</v>
      </c>
      <c r="J1201" s="1" t="s">
        <v>809</v>
      </c>
      <c r="K1201" s="1">
        <v>1.0</v>
      </c>
      <c r="L1201" s="1">
        <v>166000.0</v>
      </c>
    </row>
    <row r="1202">
      <c r="A1202" s="1">
        <v>432.0</v>
      </c>
      <c r="B1202" s="1" t="s">
        <v>806</v>
      </c>
      <c r="C1202" s="1" t="s">
        <v>807</v>
      </c>
      <c r="D1202" s="1" t="s">
        <v>823</v>
      </c>
      <c r="E1202" s="1">
        <v>0.0</v>
      </c>
      <c r="F1202" s="1">
        <v>-0.5</v>
      </c>
      <c r="G1202" s="1">
        <v>135.0</v>
      </c>
      <c r="H1202" s="1">
        <v>1.5</v>
      </c>
      <c r="I1202" s="1">
        <v>31.0</v>
      </c>
      <c r="J1202" s="1">
        <v>26.0</v>
      </c>
      <c r="K1202" s="1">
        <v>1.0</v>
      </c>
      <c r="L1202" s="1">
        <v>300000.0</v>
      </c>
    </row>
    <row r="1203">
      <c r="A1203" s="1">
        <v>432.0</v>
      </c>
      <c r="B1203" s="1" t="s">
        <v>806</v>
      </c>
      <c r="C1203" s="1" t="s">
        <v>810</v>
      </c>
      <c r="D1203" s="1" t="s">
        <v>823</v>
      </c>
      <c r="E1203" s="1">
        <v>0.0</v>
      </c>
      <c r="F1203" s="1">
        <v>-0.5</v>
      </c>
      <c r="G1203" s="1">
        <v>55.0</v>
      </c>
      <c r="H1203" s="1">
        <v>1.5</v>
      </c>
      <c r="I1203" s="1">
        <v>32.0</v>
      </c>
      <c r="J1203" s="1">
        <v>26.0</v>
      </c>
      <c r="K1203" s="1">
        <v>1.0</v>
      </c>
      <c r="L1203" s="1">
        <v>300000.0</v>
      </c>
    </row>
    <row r="1204">
      <c r="A1204" s="1">
        <v>432.0</v>
      </c>
      <c r="B1204" s="1" t="s">
        <v>806</v>
      </c>
      <c r="C1204" s="1" t="s">
        <v>809</v>
      </c>
      <c r="D1204" s="1" t="s">
        <v>912</v>
      </c>
      <c r="E1204" s="1" t="s">
        <v>809</v>
      </c>
      <c r="F1204" s="1" t="s">
        <v>809</v>
      </c>
      <c r="G1204" s="1" t="s">
        <v>809</v>
      </c>
      <c r="H1204" s="1" t="s">
        <v>809</v>
      </c>
      <c r="I1204" s="1" t="s">
        <v>809</v>
      </c>
      <c r="J1204" s="1" t="s">
        <v>809</v>
      </c>
      <c r="K1204" s="1">
        <v>1.0</v>
      </c>
      <c r="L1204" s="1">
        <v>0.0</v>
      </c>
    </row>
    <row r="1205">
      <c r="A1205" s="1">
        <v>433.0</v>
      </c>
      <c r="B1205" s="1" t="s">
        <v>825</v>
      </c>
      <c r="C1205" s="1" t="s">
        <v>807</v>
      </c>
      <c r="D1205" s="1" t="s">
        <v>812</v>
      </c>
      <c r="E1205" s="1">
        <v>0.75</v>
      </c>
      <c r="F1205" s="1">
        <v>-0.25</v>
      </c>
      <c r="G1205" s="1">
        <v>55.0</v>
      </c>
      <c r="H1205" s="1" t="s">
        <v>809</v>
      </c>
      <c r="I1205" s="1" t="s">
        <v>809</v>
      </c>
      <c r="J1205" s="1">
        <v>26.0</v>
      </c>
      <c r="K1205" s="1">
        <v>1.0</v>
      </c>
      <c r="L1205" s="1">
        <v>30000.0</v>
      </c>
    </row>
    <row r="1206">
      <c r="A1206" s="1">
        <v>433.0</v>
      </c>
      <c r="B1206" s="1" t="s">
        <v>825</v>
      </c>
      <c r="C1206" s="1" t="s">
        <v>810</v>
      </c>
      <c r="D1206" s="1" t="s">
        <v>812</v>
      </c>
      <c r="E1206" s="1">
        <v>0.75</v>
      </c>
      <c r="F1206" s="1">
        <v>-0.25</v>
      </c>
      <c r="G1206" s="1">
        <v>35.0</v>
      </c>
      <c r="H1206" s="1" t="s">
        <v>809</v>
      </c>
      <c r="I1206" s="1" t="s">
        <v>809</v>
      </c>
      <c r="J1206" s="1">
        <v>26.0</v>
      </c>
      <c r="K1206" s="1">
        <v>1.0</v>
      </c>
      <c r="L1206" s="1">
        <v>30000.0</v>
      </c>
    </row>
    <row r="1207">
      <c r="A1207" s="1">
        <v>433.0</v>
      </c>
      <c r="B1207" s="1" t="s">
        <v>825</v>
      </c>
      <c r="C1207" s="1" t="s">
        <v>809</v>
      </c>
      <c r="D1207" s="1" t="s">
        <v>929</v>
      </c>
      <c r="E1207" s="1" t="s">
        <v>809</v>
      </c>
      <c r="F1207" s="1" t="s">
        <v>809</v>
      </c>
      <c r="G1207" s="1" t="s">
        <v>809</v>
      </c>
      <c r="H1207" s="1" t="s">
        <v>809</v>
      </c>
      <c r="I1207" s="1" t="s">
        <v>809</v>
      </c>
      <c r="J1207" s="1" t="s">
        <v>809</v>
      </c>
      <c r="K1207" s="1">
        <v>1.0</v>
      </c>
      <c r="L1207" s="1">
        <v>120000.0</v>
      </c>
    </row>
    <row r="1208">
      <c r="A1208" s="1">
        <v>434.0</v>
      </c>
      <c r="B1208" s="1" t="s">
        <v>806</v>
      </c>
      <c r="C1208" s="1" t="s">
        <v>807</v>
      </c>
      <c r="D1208" s="1" t="s">
        <v>836</v>
      </c>
      <c r="E1208" s="1">
        <v>0.0</v>
      </c>
      <c r="F1208" s="1">
        <v>0.0</v>
      </c>
      <c r="G1208" s="1" t="s">
        <v>809</v>
      </c>
      <c r="H1208" s="1" t="s">
        <v>809</v>
      </c>
      <c r="I1208" s="1" t="s">
        <v>809</v>
      </c>
      <c r="J1208" s="1" t="s">
        <v>809</v>
      </c>
      <c r="K1208" s="1">
        <v>1.0</v>
      </c>
      <c r="L1208" s="1">
        <v>45000.0</v>
      </c>
    </row>
    <row r="1209">
      <c r="A1209" s="1">
        <v>434.0</v>
      </c>
      <c r="B1209" s="1" t="s">
        <v>806</v>
      </c>
      <c r="C1209" s="1" t="s">
        <v>810</v>
      </c>
      <c r="D1209" s="1" t="s">
        <v>836</v>
      </c>
      <c r="E1209" s="1">
        <v>0.0</v>
      </c>
      <c r="F1209" s="1">
        <v>0.0</v>
      </c>
      <c r="G1209" s="1" t="s">
        <v>809</v>
      </c>
      <c r="H1209" s="1" t="s">
        <v>809</v>
      </c>
      <c r="I1209" s="1" t="s">
        <v>809</v>
      </c>
      <c r="J1209" s="1" t="s">
        <v>809</v>
      </c>
      <c r="K1209" s="1">
        <v>1.0</v>
      </c>
      <c r="L1209" s="1">
        <v>45000.0</v>
      </c>
    </row>
    <row r="1210">
      <c r="A1210" s="1">
        <v>434.0</v>
      </c>
      <c r="B1210" s="1" t="s">
        <v>806</v>
      </c>
      <c r="C1210" s="1" t="s">
        <v>809</v>
      </c>
      <c r="D1210" s="1" t="s">
        <v>915</v>
      </c>
      <c r="E1210" s="1" t="s">
        <v>809</v>
      </c>
      <c r="F1210" s="1" t="s">
        <v>809</v>
      </c>
      <c r="G1210" s="1" t="s">
        <v>809</v>
      </c>
      <c r="H1210" s="1" t="s">
        <v>809</v>
      </c>
      <c r="I1210" s="1" t="s">
        <v>809</v>
      </c>
      <c r="J1210" s="1" t="s">
        <v>809</v>
      </c>
      <c r="K1210" s="1">
        <v>1.0</v>
      </c>
      <c r="L1210" s="1">
        <v>145000.0</v>
      </c>
    </row>
    <row r="1211">
      <c r="A1211" s="1">
        <v>435.0</v>
      </c>
      <c r="B1211" s="1" t="s">
        <v>825</v>
      </c>
      <c r="C1211" s="1" t="s">
        <v>807</v>
      </c>
      <c r="D1211" s="1" t="s">
        <v>808</v>
      </c>
      <c r="E1211" s="1">
        <v>5.0</v>
      </c>
      <c r="F1211" s="1">
        <v>0.0</v>
      </c>
      <c r="G1211" s="1" t="s">
        <v>809</v>
      </c>
      <c r="H1211" s="1" t="s">
        <v>809</v>
      </c>
      <c r="I1211" s="1" t="s">
        <v>809</v>
      </c>
      <c r="J1211" s="1" t="s">
        <v>809</v>
      </c>
      <c r="K1211" s="1">
        <v>1.0</v>
      </c>
      <c r="L1211" s="1">
        <v>0.0</v>
      </c>
    </row>
    <row r="1212">
      <c r="A1212" s="1">
        <v>435.0</v>
      </c>
      <c r="B1212" s="1" t="s">
        <v>825</v>
      </c>
      <c r="C1212" s="1" t="s">
        <v>810</v>
      </c>
      <c r="D1212" s="1" t="s">
        <v>808</v>
      </c>
      <c r="E1212" s="1">
        <v>5.5</v>
      </c>
      <c r="F1212" s="1">
        <v>-0.5</v>
      </c>
      <c r="G1212" s="1">
        <v>90.0</v>
      </c>
      <c r="H1212" s="1" t="s">
        <v>809</v>
      </c>
      <c r="I1212" s="1" t="s">
        <v>809</v>
      </c>
      <c r="J1212" s="1" t="s">
        <v>809</v>
      </c>
      <c r="K1212" s="1">
        <v>1.0</v>
      </c>
      <c r="L1212" s="1">
        <v>0.0</v>
      </c>
    </row>
    <row r="1213">
      <c r="A1213" s="1">
        <v>435.0</v>
      </c>
      <c r="B1213" s="1" t="s">
        <v>825</v>
      </c>
      <c r="C1213" s="1" t="s">
        <v>809</v>
      </c>
      <c r="D1213" s="1" t="s">
        <v>912</v>
      </c>
      <c r="E1213" s="1" t="s">
        <v>809</v>
      </c>
      <c r="F1213" s="1" t="s">
        <v>809</v>
      </c>
      <c r="G1213" s="1" t="s">
        <v>809</v>
      </c>
      <c r="H1213" s="1" t="s">
        <v>809</v>
      </c>
      <c r="I1213" s="1" t="s">
        <v>809</v>
      </c>
      <c r="J1213" s="1" t="s">
        <v>809</v>
      </c>
      <c r="K1213" s="1">
        <v>1.0</v>
      </c>
      <c r="L1213" s="1">
        <v>145000.0</v>
      </c>
    </row>
    <row r="1214">
      <c r="A1214" s="1">
        <v>436.0</v>
      </c>
      <c r="B1214" s="1" t="s">
        <v>806</v>
      </c>
      <c r="C1214" s="1" t="s">
        <v>807</v>
      </c>
      <c r="D1214" s="1" t="s">
        <v>1016</v>
      </c>
      <c r="E1214" s="1">
        <v>0.0</v>
      </c>
      <c r="F1214" s="1">
        <v>0.0</v>
      </c>
      <c r="G1214" s="1" t="s">
        <v>809</v>
      </c>
      <c r="H1214" s="1" t="s">
        <v>809</v>
      </c>
      <c r="I1214" s="1" t="s">
        <v>809</v>
      </c>
      <c r="J1214" s="1" t="s">
        <v>809</v>
      </c>
      <c r="K1214" s="1">
        <v>1.0</v>
      </c>
      <c r="L1214" s="1">
        <v>485000.0</v>
      </c>
    </row>
    <row r="1215">
      <c r="A1215" s="1">
        <v>436.0</v>
      </c>
      <c r="B1215" s="1" t="s">
        <v>806</v>
      </c>
      <c r="C1215" s="1" t="s">
        <v>810</v>
      </c>
      <c r="D1215" s="1" t="s">
        <v>1016</v>
      </c>
      <c r="E1215" s="1">
        <v>0.0</v>
      </c>
      <c r="F1215" s="1">
        <v>0.0</v>
      </c>
      <c r="G1215" s="1" t="s">
        <v>809</v>
      </c>
      <c r="H1215" s="1" t="s">
        <v>809</v>
      </c>
      <c r="I1215" s="1" t="s">
        <v>809</v>
      </c>
      <c r="J1215" s="1" t="s">
        <v>809</v>
      </c>
      <c r="K1215" s="1">
        <v>1.0</v>
      </c>
      <c r="L1215" s="1">
        <v>485000.0</v>
      </c>
    </row>
    <row r="1216">
      <c r="A1216" s="1">
        <v>436.0</v>
      </c>
      <c r="B1216" s="1" t="s">
        <v>806</v>
      </c>
      <c r="C1216" s="1" t="s">
        <v>809</v>
      </c>
      <c r="D1216" s="1" t="s">
        <v>961</v>
      </c>
      <c r="E1216" s="1" t="s">
        <v>809</v>
      </c>
      <c r="F1216" s="1" t="s">
        <v>809</v>
      </c>
      <c r="G1216" s="1" t="s">
        <v>809</v>
      </c>
      <c r="H1216" s="1" t="s">
        <v>809</v>
      </c>
      <c r="I1216" s="1" t="s">
        <v>809</v>
      </c>
      <c r="J1216" s="1" t="s">
        <v>809</v>
      </c>
      <c r="K1216" s="1">
        <v>1.0</v>
      </c>
      <c r="L1216" s="1">
        <v>180000.0</v>
      </c>
    </row>
    <row r="1217">
      <c r="A1217" s="1">
        <v>437.0</v>
      </c>
      <c r="B1217" s="1" t="s">
        <v>806</v>
      </c>
      <c r="C1217" s="1" t="s">
        <v>807</v>
      </c>
      <c r="D1217" s="1" t="s">
        <v>999</v>
      </c>
      <c r="E1217" s="1">
        <v>0.0</v>
      </c>
      <c r="F1217" s="1">
        <v>0.0</v>
      </c>
      <c r="G1217" s="1" t="s">
        <v>809</v>
      </c>
      <c r="H1217" s="1" t="s">
        <v>809</v>
      </c>
      <c r="I1217" s="1" t="s">
        <v>809</v>
      </c>
      <c r="J1217" s="1" t="s">
        <v>809</v>
      </c>
      <c r="K1217" s="1">
        <v>1.0</v>
      </c>
      <c r="L1217" s="1">
        <v>270000.0</v>
      </c>
    </row>
    <row r="1218">
      <c r="A1218" s="1">
        <v>437.0</v>
      </c>
      <c r="B1218" s="1" t="s">
        <v>806</v>
      </c>
      <c r="C1218" s="1" t="s">
        <v>810</v>
      </c>
      <c r="D1218" s="1" t="s">
        <v>999</v>
      </c>
      <c r="E1218" s="1">
        <v>0.0</v>
      </c>
      <c r="F1218" s="1">
        <v>0.0</v>
      </c>
      <c r="G1218" s="1" t="s">
        <v>809</v>
      </c>
      <c r="H1218" s="1" t="s">
        <v>809</v>
      </c>
      <c r="I1218" s="1" t="s">
        <v>809</v>
      </c>
      <c r="J1218" s="1" t="s">
        <v>809</v>
      </c>
      <c r="K1218" s="1">
        <v>1.0</v>
      </c>
      <c r="L1218" s="1">
        <v>270000.0</v>
      </c>
    </row>
    <row r="1219">
      <c r="A1219" s="1">
        <v>437.0</v>
      </c>
      <c r="B1219" s="1" t="s">
        <v>806</v>
      </c>
      <c r="C1219" s="1" t="s">
        <v>809</v>
      </c>
      <c r="D1219" s="1" t="s">
        <v>912</v>
      </c>
      <c r="E1219" s="1" t="s">
        <v>809</v>
      </c>
      <c r="F1219" s="1" t="s">
        <v>809</v>
      </c>
      <c r="G1219" s="1" t="s">
        <v>809</v>
      </c>
      <c r="H1219" s="1" t="s">
        <v>809</v>
      </c>
      <c r="I1219" s="1" t="s">
        <v>809</v>
      </c>
      <c r="J1219" s="1" t="s">
        <v>809</v>
      </c>
      <c r="K1219" s="1">
        <v>1.0</v>
      </c>
      <c r="L1219" s="1">
        <v>127000.0</v>
      </c>
    </row>
    <row r="1220">
      <c r="A1220" s="1">
        <v>438.0</v>
      </c>
      <c r="B1220" s="1" t="s">
        <v>806</v>
      </c>
      <c r="C1220" s="1" t="s">
        <v>807</v>
      </c>
      <c r="D1220" s="1" t="s">
        <v>836</v>
      </c>
      <c r="E1220" s="1">
        <v>0.0</v>
      </c>
      <c r="F1220" s="1">
        <v>0.0</v>
      </c>
      <c r="G1220" s="1" t="s">
        <v>809</v>
      </c>
      <c r="H1220" s="1" t="s">
        <v>809</v>
      </c>
      <c r="I1220" s="1" t="s">
        <v>809</v>
      </c>
      <c r="J1220" s="1" t="s">
        <v>809</v>
      </c>
      <c r="K1220" s="1">
        <v>1.0</v>
      </c>
      <c r="L1220" s="1">
        <v>55000.0</v>
      </c>
    </row>
    <row r="1221">
      <c r="A1221" s="1">
        <v>438.0</v>
      </c>
      <c r="B1221" s="1" t="s">
        <v>806</v>
      </c>
      <c r="C1221" s="1" t="s">
        <v>810</v>
      </c>
      <c r="D1221" s="1" t="s">
        <v>836</v>
      </c>
      <c r="E1221" s="1">
        <v>0.0</v>
      </c>
      <c r="F1221" s="1">
        <v>0.0</v>
      </c>
      <c r="G1221" s="1" t="s">
        <v>809</v>
      </c>
      <c r="H1221" s="1" t="s">
        <v>809</v>
      </c>
      <c r="I1221" s="1" t="s">
        <v>809</v>
      </c>
      <c r="J1221" s="1" t="s">
        <v>809</v>
      </c>
      <c r="K1221" s="1">
        <v>1.0</v>
      </c>
      <c r="L1221" s="1">
        <v>55000.0</v>
      </c>
    </row>
    <row r="1222">
      <c r="A1222" s="1">
        <v>438.0</v>
      </c>
      <c r="B1222" s="1" t="s">
        <v>806</v>
      </c>
      <c r="C1222" s="1" t="s">
        <v>809</v>
      </c>
      <c r="D1222" s="1" t="s">
        <v>829</v>
      </c>
      <c r="E1222" s="1" t="s">
        <v>809</v>
      </c>
      <c r="F1222" s="1" t="s">
        <v>809</v>
      </c>
      <c r="G1222" s="1" t="s">
        <v>809</v>
      </c>
      <c r="H1222" s="1" t="s">
        <v>809</v>
      </c>
      <c r="I1222" s="1" t="s">
        <v>809</v>
      </c>
      <c r="J1222" s="1" t="s">
        <v>809</v>
      </c>
      <c r="K1222" s="1">
        <v>1.0</v>
      </c>
      <c r="L1222" s="1">
        <v>130000.0</v>
      </c>
    </row>
    <row r="1223">
      <c r="A1223" s="1">
        <v>439.0</v>
      </c>
      <c r="B1223" s="1" t="s">
        <v>806</v>
      </c>
      <c r="C1223" s="1" t="s">
        <v>807</v>
      </c>
      <c r="D1223" s="1" t="s">
        <v>836</v>
      </c>
      <c r="E1223" s="1">
        <v>1.25</v>
      </c>
      <c r="F1223" s="1">
        <v>-3.5</v>
      </c>
      <c r="G1223" s="1">
        <v>35.0</v>
      </c>
      <c r="H1223" s="1" t="s">
        <v>809</v>
      </c>
      <c r="I1223" s="1">
        <v>30.0</v>
      </c>
      <c r="J1223" s="1">
        <v>27.0</v>
      </c>
      <c r="K1223" s="1">
        <v>1.0</v>
      </c>
      <c r="L1223" s="1">
        <v>45000.0</v>
      </c>
    </row>
    <row r="1224">
      <c r="A1224" s="1">
        <v>439.0</v>
      </c>
      <c r="B1224" s="1" t="s">
        <v>806</v>
      </c>
      <c r="C1224" s="1" t="s">
        <v>810</v>
      </c>
      <c r="D1224" s="1" t="s">
        <v>836</v>
      </c>
      <c r="E1224" s="1">
        <v>1.0</v>
      </c>
      <c r="F1224" s="1">
        <v>-2.25</v>
      </c>
      <c r="G1224" s="1">
        <v>10.0</v>
      </c>
      <c r="H1224" s="1" t="s">
        <v>809</v>
      </c>
      <c r="I1224" s="1">
        <v>30.0</v>
      </c>
      <c r="J1224" s="1">
        <v>27.0</v>
      </c>
      <c r="K1224" s="1">
        <v>1.0</v>
      </c>
      <c r="L1224" s="1">
        <v>45000.0</v>
      </c>
    </row>
    <row r="1225">
      <c r="A1225" s="1">
        <v>439.0</v>
      </c>
      <c r="B1225" s="1" t="s">
        <v>806</v>
      </c>
      <c r="C1225" s="1" t="s">
        <v>809</v>
      </c>
      <c r="D1225" s="1" t="s">
        <v>915</v>
      </c>
      <c r="E1225" s="1" t="s">
        <v>809</v>
      </c>
      <c r="F1225" s="1" t="s">
        <v>809</v>
      </c>
      <c r="G1225" s="1" t="s">
        <v>809</v>
      </c>
      <c r="H1225" s="1" t="s">
        <v>809</v>
      </c>
      <c r="I1225" s="1" t="s">
        <v>809</v>
      </c>
      <c r="J1225" s="1" t="s">
        <v>809</v>
      </c>
      <c r="K1225" s="1">
        <v>1.0</v>
      </c>
      <c r="L1225" s="1">
        <v>130000.0</v>
      </c>
    </row>
    <row r="1226">
      <c r="A1226" s="1">
        <v>440.0</v>
      </c>
      <c r="B1226" s="1" t="s">
        <v>806</v>
      </c>
      <c r="C1226" s="1" t="s">
        <v>807</v>
      </c>
      <c r="D1226" s="1" t="s">
        <v>836</v>
      </c>
      <c r="E1226" s="1">
        <v>0.25</v>
      </c>
      <c r="F1226" s="1">
        <v>0.0</v>
      </c>
      <c r="G1226" s="1" t="s">
        <v>809</v>
      </c>
      <c r="H1226" s="1" t="s">
        <v>809</v>
      </c>
      <c r="I1226" s="1" t="s">
        <v>809</v>
      </c>
      <c r="J1226" s="1" t="s">
        <v>809</v>
      </c>
      <c r="K1226" s="1">
        <v>1.0</v>
      </c>
      <c r="L1226" s="1">
        <v>45000.0</v>
      </c>
    </row>
    <row r="1227">
      <c r="A1227" s="1">
        <v>440.0</v>
      </c>
      <c r="B1227" s="1" t="s">
        <v>806</v>
      </c>
      <c r="C1227" s="1" t="s">
        <v>810</v>
      </c>
      <c r="D1227" s="1" t="s">
        <v>836</v>
      </c>
      <c r="E1227" s="1">
        <v>0.25</v>
      </c>
      <c r="F1227" s="1">
        <v>0.0</v>
      </c>
      <c r="G1227" s="1" t="s">
        <v>809</v>
      </c>
      <c r="H1227" s="1" t="s">
        <v>809</v>
      </c>
      <c r="I1227" s="1" t="s">
        <v>809</v>
      </c>
      <c r="J1227" s="1" t="s">
        <v>809</v>
      </c>
      <c r="K1227" s="1">
        <v>1.0</v>
      </c>
      <c r="L1227" s="1">
        <v>45000.0</v>
      </c>
    </row>
    <row r="1228">
      <c r="A1228" s="1">
        <v>440.0</v>
      </c>
      <c r="B1228" s="1" t="s">
        <v>806</v>
      </c>
      <c r="C1228" s="1" t="s">
        <v>809</v>
      </c>
      <c r="D1228" s="1" t="s">
        <v>929</v>
      </c>
      <c r="E1228" s="1" t="s">
        <v>809</v>
      </c>
      <c r="F1228" s="1" t="s">
        <v>809</v>
      </c>
      <c r="G1228" s="1" t="s">
        <v>809</v>
      </c>
      <c r="H1228" s="1" t="s">
        <v>809</v>
      </c>
      <c r="I1228" s="1" t="s">
        <v>809</v>
      </c>
      <c r="J1228" s="1" t="s">
        <v>809</v>
      </c>
      <c r="K1228" s="1">
        <v>1.0</v>
      </c>
      <c r="L1228" s="1">
        <v>120000.0</v>
      </c>
    </row>
    <row r="1229">
      <c r="A1229" s="1">
        <v>441.0</v>
      </c>
      <c r="B1229" s="1" t="s">
        <v>806</v>
      </c>
      <c r="C1229" s="1" t="s">
        <v>807</v>
      </c>
      <c r="D1229" s="1" t="s">
        <v>812</v>
      </c>
      <c r="E1229" s="1">
        <v>0.0</v>
      </c>
      <c r="F1229" s="1">
        <v>0.0</v>
      </c>
      <c r="G1229" s="1" t="s">
        <v>809</v>
      </c>
      <c r="H1229" s="1" t="s">
        <v>809</v>
      </c>
      <c r="I1229" s="1" t="s">
        <v>809</v>
      </c>
      <c r="J1229" s="1" t="s">
        <v>809</v>
      </c>
      <c r="K1229" s="1">
        <v>1.0</v>
      </c>
      <c r="L1229" s="1">
        <v>30000.0</v>
      </c>
    </row>
    <row r="1230">
      <c r="A1230" s="1">
        <v>441.0</v>
      </c>
      <c r="B1230" s="1" t="s">
        <v>806</v>
      </c>
      <c r="C1230" s="1" t="s">
        <v>810</v>
      </c>
      <c r="D1230" s="1" t="s">
        <v>812</v>
      </c>
      <c r="E1230" s="1">
        <v>0.0</v>
      </c>
      <c r="F1230" s="1">
        <v>0.0</v>
      </c>
      <c r="G1230" s="1" t="s">
        <v>809</v>
      </c>
      <c r="H1230" s="1" t="s">
        <v>809</v>
      </c>
      <c r="I1230" s="1" t="s">
        <v>809</v>
      </c>
      <c r="J1230" s="1" t="s">
        <v>809</v>
      </c>
      <c r="K1230" s="1">
        <v>1.0</v>
      </c>
      <c r="L1230" s="1">
        <v>30000.0</v>
      </c>
    </row>
    <row r="1231">
      <c r="A1231" s="1">
        <v>441.0</v>
      </c>
      <c r="B1231" s="1" t="s">
        <v>806</v>
      </c>
      <c r="C1231" s="1" t="s">
        <v>809</v>
      </c>
      <c r="D1231" s="1" t="s">
        <v>1017</v>
      </c>
      <c r="E1231" s="1" t="s">
        <v>809</v>
      </c>
      <c r="F1231" s="1" t="s">
        <v>809</v>
      </c>
      <c r="G1231" s="1" t="s">
        <v>809</v>
      </c>
      <c r="H1231" s="1" t="s">
        <v>809</v>
      </c>
      <c r="I1231" s="1" t="s">
        <v>809</v>
      </c>
      <c r="J1231" s="1" t="s">
        <v>809</v>
      </c>
      <c r="K1231" s="1">
        <v>1.0</v>
      </c>
      <c r="L1231" s="1">
        <v>156000.0</v>
      </c>
    </row>
    <row r="1232">
      <c r="A1232" s="1">
        <v>442.0</v>
      </c>
      <c r="B1232" s="1" t="s">
        <v>806</v>
      </c>
      <c r="C1232" s="1" t="s">
        <v>807</v>
      </c>
      <c r="D1232" s="1" t="s">
        <v>815</v>
      </c>
      <c r="E1232" s="1">
        <v>0.0</v>
      </c>
      <c r="F1232" s="1">
        <v>0.0</v>
      </c>
      <c r="G1232" s="1" t="s">
        <v>809</v>
      </c>
      <c r="H1232" s="1" t="s">
        <v>809</v>
      </c>
      <c r="I1232" s="1" t="s">
        <v>809</v>
      </c>
      <c r="J1232" s="1" t="s">
        <v>809</v>
      </c>
      <c r="K1232" s="1">
        <v>1.0</v>
      </c>
      <c r="L1232" s="1">
        <v>606000.0</v>
      </c>
    </row>
    <row r="1233">
      <c r="A1233" s="1">
        <v>442.0</v>
      </c>
      <c r="B1233" s="1" t="s">
        <v>806</v>
      </c>
      <c r="C1233" s="1" t="s">
        <v>810</v>
      </c>
      <c r="D1233" s="1" t="s">
        <v>815</v>
      </c>
      <c r="E1233" s="1">
        <v>0.0</v>
      </c>
      <c r="F1233" s="1">
        <v>0.0</v>
      </c>
      <c r="G1233" s="1" t="s">
        <v>809</v>
      </c>
      <c r="H1233" s="1" t="s">
        <v>809</v>
      </c>
      <c r="I1233" s="1" t="s">
        <v>809</v>
      </c>
      <c r="J1233" s="1" t="s">
        <v>809</v>
      </c>
      <c r="K1233" s="1">
        <v>1.0</v>
      </c>
      <c r="L1233" s="1">
        <v>606000.0</v>
      </c>
    </row>
    <row r="1234">
      <c r="A1234" s="1">
        <v>442.0</v>
      </c>
      <c r="B1234" s="1" t="s">
        <v>806</v>
      </c>
      <c r="C1234" s="1" t="s">
        <v>809</v>
      </c>
      <c r="D1234" s="1" t="s">
        <v>915</v>
      </c>
      <c r="E1234" s="1" t="s">
        <v>809</v>
      </c>
      <c r="F1234" s="1" t="s">
        <v>809</v>
      </c>
      <c r="G1234" s="1" t="s">
        <v>809</v>
      </c>
      <c r="H1234" s="1" t="s">
        <v>809</v>
      </c>
      <c r="I1234" s="1" t="s">
        <v>809</v>
      </c>
      <c r="J1234" s="1" t="s">
        <v>809</v>
      </c>
      <c r="K1234" s="1">
        <v>1.0</v>
      </c>
      <c r="L1234" s="1">
        <v>96000.0</v>
      </c>
    </row>
    <row r="1235">
      <c r="A1235" s="1">
        <v>443.0</v>
      </c>
      <c r="B1235" s="1" t="s">
        <v>806</v>
      </c>
      <c r="C1235" s="1" t="s">
        <v>807</v>
      </c>
      <c r="D1235" s="1" t="s">
        <v>808</v>
      </c>
      <c r="E1235" s="1">
        <v>4.5</v>
      </c>
      <c r="F1235" s="1">
        <v>0.0</v>
      </c>
      <c r="G1235" s="1" t="s">
        <v>809</v>
      </c>
      <c r="H1235" s="1" t="s">
        <v>809</v>
      </c>
      <c r="I1235" s="1" t="s">
        <v>809</v>
      </c>
      <c r="J1235" s="1" t="s">
        <v>809</v>
      </c>
      <c r="K1235" s="1">
        <v>1.0</v>
      </c>
      <c r="L1235" s="1">
        <v>150000.0</v>
      </c>
    </row>
    <row r="1236">
      <c r="A1236" s="1">
        <v>443.0</v>
      </c>
      <c r="B1236" s="1" t="s">
        <v>806</v>
      </c>
      <c r="C1236" s="1" t="s">
        <v>810</v>
      </c>
      <c r="D1236" s="1" t="s">
        <v>808</v>
      </c>
      <c r="E1236" s="1">
        <v>4.5</v>
      </c>
      <c r="F1236" s="1">
        <v>0.0</v>
      </c>
      <c r="G1236" s="1" t="s">
        <v>809</v>
      </c>
      <c r="H1236" s="1" t="s">
        <v>809</v>
      </c>
      <c r="I1236" s="1" t="s">
        <v>809</v>
      </c>
      <c r="J1236" s="1" t="s">
        <v>809</v>
      </c>
      <c r="K1236" s="1">
        <v>1.0</v>
      </c>
      <c r="L1236" s="1">
        <v>150000.0</v>
      </c>
    </row>
    <row r="1237">
      <c r="A1237" s="1">
        <v>444.0</v>
      </c>
      <c r="B1237" s="1" t="s">
        <v>806</v>
      </c>
      <c r="C1237" s="1" t="s">
        <v>807</v>
      </c>
      <c r="D1237" s="1" t="s">
        <v>812</v>
      </c>
      <c r="E1237" s="1">
        <v>-2.5</v>
      </c>
      <c r="F1237" s="1">
        <v>-1.5</v>
      </c>
      <c r="G1237" s="1">
        <v>5.0</v>
      </c>
      <c r="H1237" s="1" t="s">
        <v>809</v>
      </c>
      <c r="I1237" s="1" t="s">
        <v>809</v>
      </c>
      <c r="J1237" s="1" t="s">
        <v>809</v>
      </c>
      <c r="K1237" s="1">
        <v>1.0</v>
      </c>
      <c r="L1237" s="1">
        <v>117500.0</v>
      </c>
    </row>
    <row r="1238">
      <c r="A1238" s="1">
        <v>444.0</v>
      </c>
      <c r="B1238" s="1" t="s">
        <v>806</v>
      </c>
      <c r="C1238" s="1" t="s">
        <v>810</v>
      </c>
      <c r="D1238" s="1" t="s">
        <v>812</v>
      </c>
      <c r="E1238" s="1">
        <v>-2.5</v>
      </c>
      <c r="F1238" s="1">
        <v>-1.5</v>
      </c>
      <c r="G1238" s="1">
        <v>175.0</v>
      </c>
      <c r="H1238" s="1" t="s">
        <v>809</v>
      </c>
      <c r="I1238" s="1" t="s">
        <v>809</v>
      </c>
      <c r="J1238" s="1" t="s">
        <v>809</v>
      </c>
      <c r="K1238" s="1">
        <v>1.0</v>
      </c>
      <c r="L1238" s="1">
        <v>117500.0</v>
      </c>
    </row>
    <row r="1239">
      <c r="A1239" s="1">
        <v>445.0</v>
      </c>
      <c r="B1239" s="1" t="s">
        <v>806</v>
      </c>
      <c r="C1239" s="1" t="s">
        <v>807</v>
      </c>
      <c r="D1239" s="1" t="s">
        <v>812</v>
      </c>
      <c r="E1239" s="1">
        <v>2.5</v>
      </c>
      <c r="F1239" s="1">
        <v>0.0</v>
      </c>
      <c r="G1239" s="1" t="s">
        <v>809</v>
      </c>
      <c r="H1239" s="1" t="s">
        <v>809</v>
      </c>
      <c r="I1239" s="1" t="s">
        <v>809</v>
      </c>
      <c r="J1239" s="1" t="s">
        <v>809</v>
      </c>
      <c r="K1239" s="1">
        <v>1.0</v>
      </c>
      <c r="L1239" s="1">
        <v>45000.0</v>
      </c>
    </row>
    <row r="1240">
      <c r="A1240" s="1">
        <v>445.0</v>
      </c>
      <c r="B1240" s="1" t="s">
        <v>806</v>
      </c>
      <c r="C1240" s="1" t="s">
        <v>810</v>
      </c>
      <c r="D1240" s="1" t="s">
        <v>812</v>
      </c>
      <c r="E1240" s="1">
        <v>2.5</v>
      </c>
      <c r="F1240" s="1">
        <v>0.0</v>
      </c>
      <c r="G1240" s="1" t="s">
        <v>809</v>
      </c>
      <c r="H1240" s="1" t="s">
        <v>809</v>
      </c>
      <c r="I1240" s="1" t="s">
        <v>809</v>
      </c>
      <c r="J1240" s="1" t="s">
        <v>809</v>
      </c>
      <c r="K1240" s="1">
        <v>1.0</v>
      </c>
      <c r="L1240" s="1">
        <v>45000.0</v>
      </c>
    </row>
    <row r="1241">
      <c r="A1241" s="1">
        <v>445.0</v>
      </c>
      <c r="B1241" s="1" t="s">
        <v>806</v>
      </c>
      <c r="C1241" s="1" t="s">
        <v>809</v>
      </c>
      <c r="D1241" s="1" t="s">
        <v>1018</v>
      </c>
      <c r="E1241" s="1" t="s">
        <v>809</v>
      </c>
      <c r="F1241" s="1" t="s">
        <v>809</v>
      </c>
      <c r="G1241" s="1" t="s">
        <v>809</v>
      </c>
      <c r="H1241" s="1" t="s">
        <v>809</v>
      </c>
      <c r="I1241" s="1" t="s">
        <v>809</v>
      </c>
      <c r="J1241" s="1" t="s">
        <v>809</v>
      </c>
      <c r="K1241" s="1">
        <v>1.0</v>
      </c>
      <c r="L1241" s="1">
        <v>220000.0</v>
      </c>
    </row>
    <row r="1242">
      <c r="A1242" s="1">
        <v>445.0</v>
      </c>
      <c r="B1242" s="1" t="s">
        <v>825</v>
      </c>
      <c r="C1242" s="1" t="s">
        <v>807</v>
      </c>
      <c r="D1242" s="1" t="s">
        <v>812</v>
      </c>
      <c r="E1242" s="1">
        <v>5.0</v>
      </c>
      <c r="F1242" s="1">
        <v>0.0</v>
      </c>
      <c r="G1242" s="1" t="s">
        <v>809</v>
      </c>
      <c r="H1242" s="1" t="s">
        <v>809</v>
      </c>
      <c r="I1242" s="1" t="s">
        <v>809</v>
      </c>
      <c r="J1242" s="1" t="s">
        <v>809</v>
      </c>
      <c r="K1242" s="1">
        <v>1.0</v>
      </c>
      <c r="L1242" s="1">
        <v>0.0</v>
      </c>
    </row>
    <row r="1243">
      <c r="A1243" s="1">
        <v>445.0</v>
      </c>
      <c r="B1243" s="1" t="s">
        <v>825</v>
      </c>
      <c r="C1243" s="1" t="s">
        <v>810</v>
      </c>
      <c r="D1243" s="1" t="s">
        <v>812</v>
      </c>
      <c r="E1243" s="1">
        <v>5.0</v>
      </c>
      <c r="F1243" s="1">
        <v>0.0</v>
      </c>
      <c r="G1243" s="1" t="s">
        <v>809</v>
      </c>
      <c r="H1243" s="1" t="s">
        <v>809</v>
      </c>
      <c r="I1243" s="1" t="s">
        <v>809</v>
      </c>
      <c r="J1243" s="1" t="s">
        <v>809</v>
      </c>
      <c r="K1243" s="1">
        <v>1.0</v>
      </c>
      <c r="L1243" s="1">
        <v>0.0</v>
      </c>
    </row>
    <row r="1244">
      <c r="A1244" s="1">
        <v>445.0</v>
      </c>
      <c r="B1244" s="1" t="s">
        <v>825</v>
      </c>
      <c r="C1244" s="1" t="s">
        <v>809</v>
      </c>
      <c r="D1244" s="1" t="s">
        <v>1019</v>
      </c>
      <c r="E1244" s="1" t="s">
        <v>809</v>
      </c>
      <c r="F1244" s="1" t="s">
        <v>809</v>
      </c>
      <c r="G1244" s="1" t="s">
        <v>809</v>
      </c>
      <c r="H1244" s="1" t="s">
        <v>809</v>
      </c>
      <c r="I1244" s="1" t="s">
        <v>809</v>
      </c>
      <c r="J1244" s="1" t="s">
        <v>809</v>
      </c>
      <c r="K1244" s="1">
        <v>1.0</v>
      </c>
      <c r="L1244" s="1">
        <v>170000.0</v>
      </c>
    </row>
    <row r="1245">
      <c r="A1245" s="1">
        <v>446.0</v>
      </c>
      <c r="B1245" s="1" t="s">
        <v>806</v>
      </c>
      <c r="C1245" s="1" t="s">
        <v>807</v>
      </c>
      <c r="D1245" s="1" t="s">
        <v>1020</v>
      </c>
      <c r="E1245" s="1">
        <v>1.25</v>
      </c>
      <c r="F1245" s="1">
        <v>-1.25</v>
      </c>
      <c r="G1245" s="1">
        <v>20.0</v>
      </c>
      <c r="H1245" s="1">
        <v>2.75</v>
      </c>
      <c r="I1245" s="1">
        <v>32.0</v>
      </c>
      <c r="J1245" s="1">
        <v>26.0</v>
      </c>
      <c r="K1245" s="1">
        <v>1.0</v>
      </c>
      <c r="L1245" s="1">
        <v>670000.0</v>
      </c>
    </row>
    <row r="1246">
      <c r="A1246" s="1">
        <v>446.0</v>
      </c>
      <c r="B1246" s="1" t="s">
        <v>806</v>
      </c>
      <c r="C1246" s="1" t="s">
        <v>810</v>
      </c>
      <c r="D1246" s="1" t="s">
        <v>1020</v>
      </c>
      <c r="E1246" s="1">
        <v>-0.25</v>
      </c>
      <c r="F1246" s="1">
        <v>-1.25</v>
      </c>
      <c r="G1246" s="1">
        <v>70.0</v>
      </c>
      <c r="H1246" s="1">
        <v>2.75</v>
      </c>
      <c r="I1246" s="1">
        <v>30.0</v>
      </c>
      <c r="J1246" s="1">
        <v>26.0</v>
      </c>
      <c r="K1246" s="1">
        <v>1.0</v>
      </c>
      <c r="L1246" s="1">
        <v>670000.0</v>
      </c>
    </row>
    <row r="1247">
      <c r="A1247" s="1">
        <v>446.0</v>
      </c>
      <c r="B1247" s="1" t="s">
        <v>806</v>
      </c>
      <c r="C1247" s="1" t="s">
        <v>809</v>
      </c>
      <c r="D1247" s="1" t="s">
        <v>929</v>
      </c>
      <c r="E1247" s="1" t="s">
        <v>809</v>
      </c>
      <c r="F1247" s="1" t="s">
        <v>809</v>
      </c>
      <c r="G1247" s="1" t="s">
        <v>809</v>
      </c>
      <c r="H1247" s="1" t="s">
        <v>809</v>
      </c>
      <c r="I1247" s="1" t="s">
        <v>809</v>
      </c>
      <c r="J1247" s="1" t="s">
        <v>809</v>
      </c>
      <c r="K1247" s="1">
        <v>1.0</v>
      </c>
      <c r="L1247" s="1">
        <v>120000.0</v>
      </c>
    </row>
    <row r="1248">
      <c r="A1248" s="1">
        <v>447.0</v>
      </c>
      <c r="B1248" s="1" t="s">
        <v>806</v>
      </c>
      <c r="C1248" s="1" t="s">
        <v>807</v>
      </c>
      <c r="D1248" s="1" t="s">
        <v>812</v>
      </c>
      <c r="E1248" s="1">
        <v>0.0</v>
      </c>
      <c r="F1248" s="1">
        <v>0.0</v>
      </c>
      <c r="G1248" s="1" t="s">
        <v>809</v>
      </c>
      <c r="H1248" s="1" t="s">
        <v>809</v>
      </c>
      <c r="I1248" s="1" t="s">
        <v>809</v>
      </c>
      <c r="J1248" s="1" t="s">
        <v>809</v>
      </c>
      <c r="K1248" s="1">
        <v>1.0</v>
      </c>
      <c r="L1248" s="1">
        <v>30000.0</v>
      </c>
    </row>
    <row r="1249">
      <c r="A1249" s="1">
        <v>447.0</v>
      </c>
      <c r="B1249" s="1" t="s">
        <v>806</v>
      </c>
      <c r="C1249" s="1" t="s">
        <v>810</v>
      </c>
      <c r="D1249" s="1" t="s">
        <v>812</v>
      </c>
      <c r="E1249" s="1">
        <v>0.0</v>
      </c>
      <c r="F1249" s="1">
        <v>-3.0</v>
      </c>
      <c r="G1249" s="1">
        <v>90.0</v>
      </c>
      <c r="H1249" s="1" t="s">
        <v>809</v>
      </c>
      <c r="I1249" s="1" t="s">
        <v>809</v>
      </c>
      <c r="J1249" s="1" t="s">
        <v>809</v>
      </c>
      <c r="K1249" s="1">
        <v>1.0</v>
      </c>
      <c r="L1249" s="1">
        <v>30000.0</v>
      </c>
    </row>
    <row r="1250">
      <c r="A1250" s="1">
        <v>447.0</v>
      </c>
      <c r="B1250" s="1" t="s">
        <v>806</v>
      </c>
      <c r="C1250" s="1" t="s">
        <v>809</v>
      </c>
      <c r="D1250" s="1" t="s">
        <v>912</v>
      </c>
      <c r="E1250" s="1" t="s">
        <v>809</v>
      </c>
      <c r="F1250" s="1" t="s">
        <v>809</v>
      </c>
      <c r="G1250" s="1" t="s">
        <v>809</v>
      </c>
      <c r="H1250" s="1" t="s">
        <v>809</v>
      </c>
      <c r="I1250" s="1" t="s">
        <v>809</v>
      </c>
      <c r="J1250" s="1" t="s">
        <v>809</v>
      </c>
      <c r="K1250" s="1">
        <v>1.0</v>
      </c>
      <c r="L1250" s="1">
        <v>85000.0</v>
      </c>
    </row>
    <row r="1251">
      <c r="A1251" s="1">
        <v>448.0</v>
      </c>
      <c r="B1251" s="1" t="s">
        <v>806</v>
      </c>
      <c r="C1251" s="1" t="s">
        <v>807</v>
      </c>
      <c r="D1251" s="1" t="s">
        <v>842</v>
      </c>
      <c r="E1251" s="1">
        <v>0.0</v>
      </c>
      <c r="F1251" s="1">
        <v>0.0</v>
      </c>
      <c r="G1251" s="1" t="s">
        <v>809</v>
      </c>
      <c r="H1251" s="1" t="s">
        <v>809</v>
      </c>
      <c r="I1251" s="1" t="s">
        <v>809</v>
      </c>
      <c r="J1251" s="1" t="s">
        <v>809</v>
      </c>
      <c r="K1251" s="1">
        <v>1.0</v>
      </c>
      <c r="L1251" s="1">
        <v>98000.0</v>
      </c>
    </row>
    <row r="1252">
      <c r="A1252" s="1">
        <v>448.0</v>
      </c>
      <c r="B1252" s="1" t="s">
        <v>806</v>
      </c>
      <c r="C1252" s="1" t="s">
        <v>810</v>
      </c>
      <c r="D1252" s="1" t="s">
        <v>842</v>
      </c>
      <c r="E1252" s="1">
        <v>0.0</v>
      </c>
      <c r="F1252" s="1">
        <v>0.0</v>
      </c>
      <c r="G1252" s="1" t="s">
        <v>809</v>
      </c>
      <c r="H1252" s="1" t="s">
        <v>809</v>
      </c>
      <c r="I1252" s="1" t="s">
        <v>809</v>
      </c>
      <c r="J1252" s="1" t="s">
        <v>809</v>
      </c>
      <c r="K1252" s="1">
        <v>1.0</v>
      </c>
      <c r="L1252" s="1">
        <v>0.0</v>
      </c>
    </row>
    <row r="1253">
      <c r="A1253" s="1">
        <v>449.0</v>
      </c>
      <c r="B1253" s="1" t="s">
        <v>806</v>
      </c>
      <c r="C1253" s="1" t="s">
        <v>807</v>
      </c>
      <c r="D1253" s="1" t="s">
        <v>836</v>
      </c>
      <c r="E1253" s="1">
        <v>0.0</v>
      </c>
      <c r="F1253" s="1">
        <v>-0.75</v>
      </c>
      <c r="G1253" s="1">
        <v>165.0</v>
      </c>
      <c r="H1253" s="1" t="s">
        <v>809</v>
      </c>
      <c r="I1253" s="1">
        <v>30.0</v>
      </c>
      <c r="J1253" s="1">
        <v>26.0</v>
      </c>
      <c r="K1253" s="1">
        <v>1.0</v>
      </c>
      <c r="L1253" s="1">
        <v>56000.0</v>
      </c>
    </row>
    <row r="1254">
      <c r="A1254" s="1">
        <v>449.0</v>
      </c>
      <c r="B1254" s="1" t="s">
        <v>806</v>
      </c>
      <c r="C1254" s="1" t="s">
        <v>810</v>
      </c>
      <c r="D1254" s="1" t="s">
        <v>836</v>
      </c>
      <c r="E1254" s="1">
        <v>-0.25</v>
      </c>
      <c r="F1254" s="1">
        <v>-0.5</v>
      </c>
      <c r="G1254" s="1">
        <v>175.0</v>
      </c>
      <c r="H1254" s="1" t="s">
        <v>809</v>
      </c>
      <c r="I1254" s="1">
        <v>30.0</v>
      </c>
      <c r="J1254" s="1">
        <v>26.0</v>
      </c>
      <c r="K1254" s="1">
        <v>1.0</v>
      </c>
      <c r="L1254" s="1">
        <v>56000.0</v>
      </c>
    </row>
    <row r="1255">
      <c r="A1255" s="1">
        <v>449.0</v>
      </c>
      <c r="B1255" s="1" t="s">
        <v>806</v>
      </c>
      <c r="C1255" s="1" t="s">
        <v>809</v>
      </c>
      <c r="D1255" s="1" t="s">
        <v>829</v>
      </c>
      <c r="E1255" s="1" t="s">
        <v>809</v>
      </c>
      <c r="F1255" s="1" t="s">
        <v>809</v>
      </c>
      <c r="G1255" s="1" t="s">
        <v>809</v>
      </c>
      <c r="H1255" s="1" t="s">
        <v>809</v>
      </c>
      <c r="I1255" s="1" t="s">
        <v>809</v>
      </c>
      <c r="J1255" s="1" t="s">
        <v>809</v>
      </c>
      <c r="K1255" s="1">
        <v>1.0</v>
      </c>
      <c r="L1255" s="1">
        <v>130000.0</v>
      </c>
    </row>
    <row r="1256">
      <c r="A1256" s="1">
        <v>450.0</v>
      </c>
      <c r="B1256" s="1" t="s">
        <v>806</v>
      </c>
      <c r="C1256" s="1" t="s">
        <v>807</v>
      </c>
      <c r="D1256" s="1" t="s">
        <v>836</v>
      </c>
      <c r="E1256" s="1">
        <v>0.0</v>
      </c>
      <c r="F1256" s="1">
        <v>0.0</v>
      </c>
      <c r="G1256" s="1" t="s">
        <v>809</v>
      </c>
      <c r="H1256" s="1" t="s">
        <v>809</v>
      </c>
      <c r="I1256" s="1" t="s">
        <v>809</v>
      </c>
      <c r="J1256" s="1" t="s">
        <v>809</v>
      </c>
      <c r="K1256" s="1">
        <v>1.0</v>
      </c>
      <c r="L1256" s="1">
        <v>48500.0</v>
      </c>
    </row>
    <row r="1257">
      <c r="A1257" s="1">
        <v>450.0</v>
      </c>
      <c r="B1257" s="1" t="s">
        <v>806</v>
      </c>
      <c r="C1257" s="1" t="s">
        <v>810</v>
      </c>
      <c r="D1257" s="1" t="s">
        <v>836</v>
      </c>
      <c r="E1257" s="1">
        <v>0.0</v>
      </c>
      <c r="F1257" s="1">
        <v>0.0</v>
      </c>
      <c r="G1257" s="1" t="s">
        <v>809</v>
      </c>
      <c r="H1257" s="1" t="s">
        <v>809</v>
      </c>
      <c r="I1257" s="1" t="s">
        <v>809</v>
      </c>
      <c r="J1257" s="1" t="s">
        <v>809</v>
      </c>
      <c r="K1257" s="1">
        <v>1.0</v>
      </c>
      <c r="L1257" s="1">
        <v>48500.0</v>
      </c>
    </row>
    <row r="1258">
      <c r="A1258" s="1">
        <v>450.0</v>
      </c>
      <c r="B1258" s="1" t="s">
        <v>806</v>
      </c>
      <c r="C1258" s="1" t="s">
        <v>809</v>
      </c>
      <c r="D1258" s="1" t="s">
        <v>1021</v>
      </c>
      <c r="E1258" s="1" t="s">
        <v>809</v>
      </c>
      <c r="F1258" s="1" t="s">
        <v>809</v>
      </c>
      <c r="G1258" s="1" t="s">
        <v>809</v>
      </c>
      <c r="H1258" s="1" t="s">
        <v>809</v>
      </c>
      <c r="I1258" s="1" t="s">
        <v>809</v>
      </c>
      <c r="J1258" s="1" t="s">
        <v>809</v>
      </c>
      <c r="K1258" s="1">
        <v>1.0</v>
      </c>
      <c r="L1258" s="1">
        <v>130000.0</v>
      </c>
    </row>
    <row r="1259">
      <c r="A1259" s="1">
        <v>451.0</v>
      </c>
      <c r="B1259" s="1" t="s">
        <v>806</v>
      </c>
      <c r="C1259" s="1" t="s">
        <v>807</v>
      </c>
      <c r="D1259" s="1" t="s">
        <v>836</v>
      </c>
      <c r="E1259" s="1">
        <v>0.0</v>
      </c>
      <c r="F1259" s="1">
        <v>-4.0</v>
      </c>
      <c r="G1259" s="1">
        <v>5.0</v>
      </c>
      <c r="H1259" s="1" t="s">
        <v>809</v>
      </c>
      <c r="I1259" s="1" t="s">
        <v>809</v>
      </c>
      <c r="J1259" s="1" t="s">
        <v>809</v>
      </c>
      <c r="K1259" s="1">
        <v>1.0</v>
      </c>
      <c r="L1259" s="1">
        <v>36000.0</v>
      </c>
    </row>
    <row r="1260">
      <c r="A1260" s="1">
        <v>451.0</v>
      </c>
      <c r="B1260" s="1" t="s">
        <v>806</v>
      </c>
      <c r="C1260" s="1" t="s">
        <v>810</v>
      </c>
      <c r="D1260" s="1" t="s">
        <v>836</v>
      </c>
      <c r="E1260" s="1">
        <v>-2.0</v>
      </c>
      <c r="F1260" s="1">
        <v>0.0</v>
      </c>
      <c r="G1260" s="1" t="s">
        <v>809</v>
      </c>
      <c r="H1260" s="1" t="s">
        <v>809</v>
      </c>
      <c r="I1260" s="1" t="s">
        <v>809</v>
      </c>
      <c r="J1260" s="1" t="s">
        <v>809</v>
      </c>
      <c r="K1260" s="1">
        <v>1.0</v>
      </c>
      <c r="L1260" s="1">
        <v>36000.0</v>
      </c>
    </row>
    <row r="1261">
      <c r="A1261" s="1">
        <v>452.0</v>
      </c>
      <c r="B1261" s="1" t="s">
        <v>806</v>
      </c>
      <c r="C1261" s="1" t="s">
        <v>807</v>
      </c>
      <c r="D1261" s="1" t="s">
        <v>865</v>
      </c>
      <c r="E1261" s="1">
        <v>0.5</v>
      </c>
      <c r="F1261" s="1">
        <v>-0.5</v>
      </c>
      <c r="G1261" s="1">
        <v>20.0</v>
      </c>
      <c r="H1261" s="1" t="s">
        <v>809</v>
      </c>
      <c r="I1261" s="1">
        <v>30.0</v>
      </c>
      <c r="J1261" s="1">
        <v>26.0</v>
      </c>
      <c r="K1261" s="1">
        <v>1.0</v>
      </c>
      <c r="L1261" s="1">
        <v>30000.0</v>
      </c>
    </row>
    <row r="1262">
      <c r="A1262" s="1">
        <v>452.0</v>
      </c>
      <c r="B1262" s="1" t="s">
        <v>806</v>
      </c>
      <c r="C1262" s="1" t="s">
        <v>810</v>
      </c>
      <c r="D1262" s="1" t="s">
        <v>865</v>
      </c>
      <c r="E1262" s="1">
        <v>0.5</v>
      </c>
      <c r="F1262" s="1">
        <v>-0.5</v>
      </c>
      <c r="G1262" s="1">
        <v>0.0</v>
      </c>
      <c r="H1262" s="1" t="s">
        <v>809</v>
      </c>
      <c r="I1262" s="1">
        <v>30.0</v>
      </c>
      <c r="J1262" s="1">
        <v>26.0</v>
      </c>
      <c r="K1262" s="1">
        <v>1.0</v>
      </c>
      <c r="L1262" s="1">
        <v>30000.0</v>
      </c>
    </row>
    <row r="1263">
      <c r="A1263" s="1">
        <v>452.0</v>
      </c>
      <c r="B1263" s="1" t="s">
        <v>806</v>
      </c>
      <c r="C1263" s="1" t="s">
        <v>809</v>
      </c>
      <c r="D1263" s="1" t="s">
        <v>957</v>
      </c>
      <c r="E1263" s="1" t="s">
        <v>809</v>
      </c>
      <c r="F1263" s="1" t="s">
        <v>809</v>
      </c>
      <c r="G1263" s="1" t="s">
        <v>809</v>
      </c>
      <c r="H1263" s="1" t="s">
        <v>809</v>
      </c>
      <c r="I1263" s="1" t="s">
        <v>809</v>
      </c>
      <c r="J1263" s="1" t="s">
        <v>809</v>
      </c>
      <c r="K1263" s="1">
        <v>1.0</v>
      </c>
      <c r="L1263" s="1">
        <v>120000.0</v>
      </c>
    </row>
    <row r="1264">
      <c r="A1264" s="1">
        <v>453.0</v>
      </c>
      <c r="B1264" s="1" t="s">
        <v>806</v>
      </c>
      <c r="C1264" s="1" t="s">
        <v>807</v>
      </c>
      <c r="D1264" s="1" t="s">
        <v>864</v>
      </c>
      <c r="E1264" s="1">
        <v>-1.0</v>
      </c>
      <c r="F1264" s="1">
        <v>-0.5</v>
      </c>
      <c r="G1264" s="1">
        <v>180.0</v>
      </c>
      <c r="H1264" s="1">
        <v>1.5</v>
      </c>
      <c r="I1264" s="1">
        <v>30.0</v>
      </c>
      <c r="J1264" s="1">
        <v>26.0</v>
      </c>
      <c r="K1264" s="1">
        <v>1.0</v>
      </c>
      <c r="L1264" s="1">
        <v>330000.0</v>
      </c>
    </row>
    <row r="1265">
      <c r="A1265" s="1">
        <v>453.0</v>
      </c>
      <c r="B1265" s="1" t="s">
        <v>806</v>
      </c>
      <c r="C1265" s="1" t="s">
        <v>810</v>
      </c>
      <c r="D1265" s="1" t="s">
        <v>864</v>
      </c>
      <c r="E1265" s="1">
        <v>-1.0</v>
      </c>
      <c r="F1265" s="1">
        <v>-1.0</v>
      </c>
      <c r="G1265" s="1">
        <v>180.0</v>
      </c>
      <c r="H1265" s="1">
        <v>1.5</v>
      </c>
      <c r="I1265" s="1">
        <v>30.0</v>
      </c>
      <c r="J1265" s="1">
        <v>26.0</v>
      </c>
      <c r="K1265" s="1">
        <v>1.0</v>
      </c>
      <c r="L1265" s="1">
        <v>330000.0</v>
      </c>
    </row>
    <row r="1266">
      <c r="A1266" s="1">
        <v>453.0</v>
      </c>
      <c r="B1266" s="1" t="s">
        <v>806</v>
      </c>
      <c r="C1266" s="1" t="s">
        <v>809</v>
      </c>
      <c r="D1266" s="1" t="s">
        <v>1022</v>
      </c>
      <c r="E1266" s="1" t="s">
        <v>809</v>
      </c>
      <c r="F1266" s="1" t="s">
        <v>809</v>
      </c>
      <c r="G1266" s="1" t="s">
        <v>809</v>
      </c>
      <c r="H1266" s="1" t="s">
        <v>809</v>
      </c>
      <c r="I1266" s="1" t="s">
        <v>809</v>
      </c>
      <c r="J1266" s="1" t="s">
        <v>809</v>
      </c>
      <c r="K1266" s="1">
        <v>1.0</v>
      </c>
      <c r="L1266" s="1">
        <v>135000.0</v>
      </c>
    </row>
    <row r="1267">
      <c r="A1267" s="1">
        <v>454.0</v>
      </c>
      <c r="B1267" s="1" t="s">
        <v>806</v>
      </c>
      <c r="C1267" s="1" t="s">
        <v>807</v>
      </c>
      <c r="D1267" s="1" t="s">
        <v>836</v>
      </c>
      <c r="E1267" s="1">
        <v>-1.0</v>
      </c>
      <c r="F1267" s="1">
        <v>-1.25</v>
      </c>
      <c r="G1267" s="1">
        <v>40.0</v>
      </c>
      <c r="H1267" s="1" t="s">
        <v>809</v>
      </c>
      <c r="I1267" s="1">
        <v>30.0</v>
      </c>
      <c r="J1267" s="1">
        <v>26.0</v>
      </c>
      <c r="K1267" s="1">
        <v>1.0</v>
      </c>
      <c r="L1267" s="1">
        <v>45000.0</v>
      </c>
    </row>
    <row r="1268">
      <c r="A1268" s="1">
        <v>454.0</v>
      </c>
      <c r="B1268" s="1" t="s">
        <v>806</v>
      </c>
      <c r="C1268" s="1" t="s">
        <v>810</v>
      </c>
      <c r="D1268" s="1" t="s">
        <v>836</v>
      </c>
      <c r="E1268" s="1">
        <v>-3.75</v>
      </c>
      <c r="F1268" s="1">
        <v>-0.75</v>
      </c>
      <c r="G1268" s="1">
        <v>110.0</v>
      </c>
      <c r="H1268" s="1" t="s">
        <v>809</v>
      </c>
      <c r="I1268" s="1">
        <v>30.0</v>
      </c>
      <c r="J1268" s="1">
        <v>26.0</v>
      </c>
      <c r="K1268" s="1">
        <v>1.0</v>
      </c>
      <c r="L1268" s="1">
        <v>45000.0</v>
      </c>
    </row>
    <row r="1269">
      <c r="A1269" s="1">
        <v>454.0</v>
      </c>
      <c r="B1269" s="1" t="s">
        <v>806</v>
      </c>
      <c r="C1269" s="1" t="s">
        <v>809</v>
      </c>
      <c r="D1269" s="1" t="s">
        <v>1023</v>
      </c>
      <c r="E1269" s="1" t="s">
        <v>809</v>
      </c>
      <c r="F1269" s="1" t="s">
        <v>809</v>
      </c>
      <c r="G1269" s="1" t="s">
        <v>809</v>
      </c>
      <c r="H1269" s="1" t="s">
        <v>809</v>
      </c>
      <c r="I1269" s="1" t="s">
        <v>809</v>
      </c>
      <c r="J1269" s="1" t="s">
        <v>809</v>
      </c>
      <c r="K1269" s="1">
        <v>1.0</v>
      </c>
      <c r="L1269" s="1">
        <v>120000.0</v>
      </c>
    </row>
    <row r="1270">
      <c r="A1270" s="1">
        <v>455.0</v>
      </c>
      <c r="B1270" s="1" t="s">
        <v>806</v>
      </c>
      <c r="C1270" s="1" t="s">
        <v>807</v>
      </c>
      <c r="D1270" s="1" t="s">
        <v>836</v>
      </c>
      <c r="E1270" s="1">
        <v>-4.5</v>
      </c>
      <c r="F1270" s="1">
        <v>0.0</v>
      </c>
      <c r="G1270" s="1" t="s">
        <v>809</v>
      </c>
      <c r="H1270" s="1" t="s">
        <v>809</v>
      </c>
      <c r="I1270" s="1">
        <v>30.0</v>
      </c>
      <c r="J1270" s="1">
        <v>28.0</v>
      </c>
      <c r="K1270" s="1">
        <v>1.0</v>
      </c>
      <c r="L1270" s="1">
        <v>80000.0</v>
      </c>
    </row>
    <row r="1271">
      <c r="A1271" s="1">
        <v>455.0</v>
      </c>
      <c r="B1271" s="1" t="s">
        <v>806</v>
      </c>
      <c r="C1271" s="1" t="s">
        <v>810</v>
      </c>
      <c r="D1271" s="1" t="s">
        <v>836</v>
      </c>
      <c r="E1271" s="1">
        <v>-4.5</v>
      </c>
      <c r="F1271" s="1">
        <v>0.0</v>
      </c>
      <c r="G1271" s="1" t="s">
        <v>809</v>
      </c>
      <c r="H1271" s="1" t="s">
        <v>809</v>
      </c>
      <c r="I1271" s="1">
        <v>30.0</v>
      </c>
      <c r="J1271" s="1">
        <v>28.0</v>
      </c>
      <c r="K1271" s="1">
        <v>1.0</v>
      </c>
      <c r="L1271" s="1">
        <v>80000.0</v>
      </c>
    </row>
    <row r="1272">
      <c r="A1272" s="1">
        <v>455.0</v>
      </c>
      <c r="B1272" s="1" t="s">
        <v>806</v>
      </c>
      <c r="C1272" s="1" t="s">
        <v>809</v>
      </c>
      <c r="D1272" s="1" t="s">
        <v>829</v>
      </c>
      <c r="E1272" s="1" t="s">
        <v>809</v>
      </c>
      <c r="F1272" s="1" t="s">
        <v>809</v>
      </c>
      <c r="G1272" s="1" t="s">
        <v>809</v>
      </c>
      <c r="H1272" s="1" t="s">
        <v>809</v>
      </c>
      <c r="I1272" s="1" t="s">
        <v>809</v>
      </c>
      <c r="J1272" s="1" t="s">
        <v>809</v>
      </c>
      <c r="K1272" s="1">
        <v>1.0</v>
      </c>
      <c r="L1272" s="1">
        <v>130000.0</v>
      </c>
    </row>
    <row r="1273">
      <c r="A1273" s="1">
        <v>456.0</v>
      </c>
      <c r="B1273" s="1" t="s">
        <v>806</v>
      </c>
      <c r="C1273" s="1" t="s">
        <v>807</v>
      </c>
      <c r="D1273" s="1" t="s">
        <v>836</v>
      </c>
      <c r="E1273" s="1">
        <v>0.0</v>
      </c>
      <c r="F1273" s="1">
        <v>-1.75</v>
      </c>
      <c r="G1273" s="1">
        <v>0.0</v>
      </c>
      <c r="H1273" s="1" t="s">
        <v>809</v>
      </c>
      <c r="I1273" s="1">
        <v>30.0</v>
      </c>
      <c r="J1273" s="1">
        <v>27.0</v>
      </c>
      <c r="K1273" s="1">
        <v>1.0</v>
      </c>
      <c r="L1273" s="1">
        <v>46000.0</v>
      </c>
    </row>
    <row r="1274">
      <c r="A1274" s="1">
        <v>456.0</v>
      </c>
      <c r="B1274" s="1" t="s">
        <v>806</v>
      </c>
      <c r="C1274" s="1" t="s">
        <v>810</v>
      </c>
      <c r="D1274" s="1" t="s">
        <v>836</v>
      </c>
      <c r="E1274" s="1">
        <v>0.0</v>
      </c>
      <c r="F1274" s="1">
        <v>-2.5</v>
      </c>
      <c r="G1274" s="1">
        <v>175.0</v>
      </c>
      <c r="H1274" s="1" t="s">
        <v>809</v>
      </c>
      <c r="I1274" s="1">
        <v>30.0</v>
      </c>
      <c r="J1274" s="1">
        <v>27.0</v>
      </c>
      <c r="K1274" s="1">
        <v>1.0</v>
      </c>
      <c r="L1274" s="1">
        <v>46000.0</v>
      </c>
    </row>
    <row r="1275">
      <c r="A1275" s="1">
        <v>456.0</v>
      </c>
      <c r="B1275" s="1" t="s">
        <v>825</v>
      </c>
      <c r="C1275" s="1" t="s">
        <v>807</v>
      </c>
      <c r="D1275" s="1" t="s">
        <v>808</v>
      </c>
      <c r="E1275" s="1">
        <v>0.0</v>
      </c>
      <c r="F1275" s="1">
        <v>0.0</v>
      </c>
      <c r="G1275" s="1" t="s">
        <v>809</v>
      </c>
      <c r="H1275" s="1" t="s">
        <v>809</v>
      </c>
      <c r="I1275" s="1">
        <v>0.0</v>
      </c>
      <c r="J1275" s="1">
        <v>30.0</v>
      </c>
      <c r="K1275" s="1">
        <v>1.0</v>
      </c>
      <c r="L1275" s="1">
        <v>10000.0</v>
      </c>
    </row>
    <row r="1276">
      <c r="A1276" s="1">
        <v>456.0</v>
      </c>
      <c r="B1276" s="1" t="s">
        <v>825</v>
      </c>
      <c r="C1276" s="1" t="s">
        <v>810</v>
      </c>
      <c r="D1276" s="1" t="s">
        <v>808</v>
      </c>
      <c r="E1276" s="1">
        <v>0.0</v>
      </c>
      <c r="F1276" s="1">
        <v>0.0</v>
      </c>
      <c r="G1276" s="1" t="s">
        <v>809</v>
      </c>
      <c r="H1276" s="1" t="s">
        <v>809</v>
      </c>
      <c r="I1276" s="1">
        <v>0.0</v>
      </c>
      <c r="J1276" s="1">
        <v>30.0</v>
      </c>
      <c r="K1276" s="1">
        <v>1.0</v>
      </c>
      <c r="L1276" s="1">
        <v>10000.0</v>
      </c>
    </row>
    <row r="1277">
      <c r="A1277" s="1">
        <v>456.0</v>
      </c>
      <c r="B1277" s="1" t="s">
        <v>825</v>
      </c>
      <c r="C1277" s="1">
        <v>2.0</v>
      </c>
      <c r="D1277" s="1" t="s">
        <v>880</v>
      </c>
      <c r="E1277" s="1" t="s">
        <v>809</v>
      </c>
      <c r="F1277" s="1" t="s">
        <v>809</v>
      </c>
      <c r="G1277" s="1" t="s">
        <v>809</v>
      </c>
      <c r="H1277" s="1" t="s">
        <v>809</v>
      </c>
      <c r="I1277" s="1" t="s">
        <v>809</v>
      </c>
      <c r="J1277" s="1" t="s">
        <v>809</v>
      </c>
      <c r="K1277" s="1">
        <v>2.0</v>
      </c>
      <c r="L1277" s="1">
        <v>20000.0</v>
      </c>
    </row>
    <row r="1278">
      <c r="A1278" s="1">
        <v>457.0</v>
      </c>
      <c r="B1278" s="1" t="s">
        <v>806</v>
      </c>
      <c r="C1278" s="1" t="s">
        <v>807</v>
      </c>
      <c r="D1278" s="1" t="s">
        <v>858</v>
      </c>
      <c r="E1278" s="1">
        <v>1.25</v>
      </c>
      <c r="F1278" s="1">
        <v>0.0</v>
      </c>
      <c r="G1278" s="1" t="s">
        <v>809</v>
      </c>
      <c r="H1278" s="1">
        <v>2.0</v>
      </c>
      <c r="I1278" s="1">
        <v>33.0</v>
      </c>
      <c r="J1278" s="1" t="s">
        <v>809</v>
      </c>
      <c r="K1278" s="1">
        <v>1.0</v>
      </c>
      <c r="L1278" s="1">
        <v>300000.0</v>
      </c>
    </row>
    <row r="1279">
      <c r="A1279" s="1">
        <v>457.0</v>
      </c>
      <c r="B1279" s="1" t="s">
        <v>806</v>
      </c>
      <c r="C1279" s="1" t="s">
        <v>810</v>
      </c>
      <c r="D1279" s="1" t="s">
        <v>858</v>
      </c>
      <c r="E1279" s="1">
        <v>0.5</v>
      </c>
      <c r="F1279" s="1">
        <v>0.0</v>
      </c>
      <c r="G1279" s="1" t="s">
        <v>809</v>
      </c>
      <c r="H1279" s="1">
        <v>2.0</v>
      </c>
      <c r="I1279" s="1">
        <v>31.0</v>
      </c>
      <c r="J1279" s="1" t="s">
        <v>809</v>
      </c>
      <c r="K1279" s="1">
        <v>1.0</v>
      </c>
      <c r="L1279" s="1">
        <v>300000.0</v>
      </c>
    </row>
    <row r="1280">
      <c r="A1280" s="1">
        <v>457.0</v>
      </c>
      <c r="B1280" s="1" t="s">
        <v>806</v>
      </c>
      <c r="C1280" s="1" t="s">
        <v>809</v>
      </c>
      <c r="D1280" s="1" t="s">
        <v>829</v>
      </c>
      <c r="E1280" s="1" t="s">
        <v>809</v>
      </c>
      <c r="F1280" s="1" t="s">
        <v>809</v>
      </c>
      <c r="G1280" s="1" t="s">
        <v>809</v>
      </c>
      <c r="H1280" s="1" t="s">
        <v>809</v>
      </c>
      <c r="I1280" s="1" t="s">
        <v>809</v>
      </c>
      <c r="J1280" s="1" t="s">
        <v>809</v>
      </c>
      <c r="K1280" s="1">
        <v>1.0</v>
      </c>
      <c r="L1280" s="1">
        <v>140000.0</v>
      </c>
    </row>
    <row r="1281">
      <c r="A1281" s="1">
        <v>458.0</v>
      </c>
      <c r="B1281" s="1" t="s">
        <v>806</v>
      </c>
      <c r="C1281" s="1" t="s">
        <v>807</v>
      </c>
      <c r="D1281" s="1" t="s">
        <v>836</v>
      </c>
      <c r="E1281" s="1">
        <v>0.0</v>
      </c>
      <c r="F1281" s="1">
        <v>0.0</v>
      </c>
      <c r="G1281" s="1" t="s">
        <v>809</v>
      </c>
      <c r="H1281" s="1" t="s">
        <v>809</v>
      </c>
      <c r="I1281" s="1" t="s">
        <v>809</v>
      </c>
      <c r="J1281" s="1" t="s">
        <v>809</v>
      </c>
      <c r="K1281" s="1">
        <v>1.0</v>
      </c>
      <c r="L1281" s="1">
        <v>41500.0</v>
      </c>
    </row>
    <row r="1282">
      <c r="A1282" s="1">
        <v>458.0</v>
      </c>
      <c r="B1282" s="1" t="s">
        <v>806</v>
      </c>
      <c r="C1282" s="1" t="s">
        <v>810</v>
      </c>
      <c r="D1282" s="1" t="s">
        <v>836</v>
      </c>
      <c r="E1282" s="1">
        <v>0.0</v>
      </c>
      <c r="F1282" s="1">
        <v>0.0</v>
      </c>
      <c r="G1282" s="1" t="s">
        <v>809</v>
      </c>
      <c r="H1282" s="1" t="s">
        <v>809</v>
      </c>
      <c r="I1282" s="1" t="s">
        <v>809</v>
      </c>
      <c r="J1282" s="1" t="s">
        <v>809</v>
      </c>
      <c r="K1282" s="1">
        <v>1.0</v>
      </c>
      <c r="L1282" s="1">
        <v>41500.0</v>
      </c>
    </row>
    <row r="1283">
      <c r="A1283" s="1">
        <v>458.0</v>
      </c>
      <c r="B1283" s="1" t="s">
        <v>806</v>
      </c>
      <c r="C1283" s="1" t="s">
        <v>809</v>
      </c>
      <c r="D1283" s="1" t="s">
        <v>829</v>
      </c>
      <c r="E1283" s="1" t="s">
        <v>809</v>
      </c>
      <c r="F1283" s="1" t="s">
        <v>809</v>
      </c>
      <c r="G1283" s="1" t="s">
        <v>809</v>
      </c>
      <c r="H1283" s="1" t="s">
        <v>809</v>
      </c>
      <c r="I1283" s="1" t="s">
        <v>809</v>
      </c>
      <c r="J1283" s="1" t="s">
        <v>809</v>
      </c>
      <c r="K1283" s="1">
        <v>1.0</v>
      </c>
      <c r="L1283" s="1">
        <v>100000.0</v>
      </c>
    </row>
    <row r="1284">
      <c r="A1284" s="1">
        <v>459.0</v>
      </c>
      <c r="B1284" s="1" t="s">
        <v>825</v>
      </c>
      <c r="C1284" s="1" t="s">
        <v>807</v>
      </c>
      <c r="D1284" s="1" t="s">
        <v>808</v>
      </c>
      <c r="E1284" s="1">
        <v>0.0</v>
      </c>
      <c r="F1284" s="1">
        <v>0.0</v>
      </c>
      <c r="G1284" s="1" t="s">
        <v>809</v>
      </c>
      <c r="H1284" s="1" t="s">
        <v>809</v>
      </c>
      <c r="I1284" s="1" t="s">
        <v>809</v>
      </c>
      <c r="J1284" s="1" t="s">
        <v>809</v>
      </c>
      <c r="K1284" s="1">
        <v>1.0</v>
      </c>
      <c r="L1284" s="1">
        <v>5000.0</v>
      </c>
    </row>
    <row r="1285">
      <c r="A1285" s="1">
        <v>459.0</v>
      </c>
      <c r="B1285" s="1" t="s">
        <v>825</v>
      </c>
      <c r="C1285" s="1" t="s">
        <v>810</v>
      </c>
      <c r="D1285" s="1" t="s">
        <v>808</v>
      </c>
      <c r="E1285" s="1">
        <v>0.0</v>
      </c>
      <c r="F1285" s="1">
        <v>0.0</v>
      </c>
      <c r="G1285" s="1" t="s">
        <v>809</v>
      </c>
      <c r="H1285" s="1" t="s">
        <v>809</v>
      </c>
      <c r="I1285" s="1" t="s">
        <v>809</v>
      </c>
      <c r="J1285" s="1" t="s">
        <v>809</v>
      </c>
      <c r="K1285" s="1">
        <v>1.0</v>
      </c>
      <c r="L1285" s="1">
        <v>5000.0</v>
      </c>
    </row>
    <row r="1286">
      <c r="A1286" s="1">
        <v>459.0</v>
      </c>
      <c r="B1286" s="1" t="s">
        <v>825</v>
      </c>
      <c r="C1286" s="1" t="s">
        <v>809</v>
      </c>
      <c r="D1286" s="1" t="s">
        <v>814</v>
      </c>
      <c r="E1286" s="1" t="s">
        <v>809</v>
      </c>
      <c r="F1286" s="1" t="s">
        <v>809</v>
      </c>
      <c r="G1286" s="1" t="s">
        <v>809</v>
      </c>
      <c r="H1286" s="1" t="s">
        <v>809</v>
      </c>
      <c r="I1286" s="1" t="s">
        <v>809</v>
      </c>
      <c r="J1286" s="1" t="s">
        <v>809</v>
      </c>
      <c r="K1286" s="1">
        <v>1.0</v>
      </c>
      <c r="L1286" s="1">
        <v>40000.0</v>
      </c>
    </row>
    <row r="1287">
      <c r="A1287" s="1">
        <v>460.0</v>
      </c>
      <c r="B1287" s="1" t="s">
        <v>806</v>
      </c>
      <c r="C1287" s="1" t="s">
        <v>807</v>
      </c>
      <c r="D1287" s="1" t="s">
        <v>812</v>
      </c>
      <c r="E1287" s="1">
        <v>0.0</v>
      </c>
      <c r="F1287" s="1">
        <v>0.0</v>
      </c>
      <c r="G1287" s="1" t="s">
        <v>809</v>
      </c>
      <c r="H1287" s="1" t="s">
        <v>809</v>
      </c>
      <c r="I1287" s="1" t="s">
        <v>809</v>
      </c>
      <c r="J1287" s="1" t="s">
        <v>809</v>
      </c>
      <c r="K1287" s="1">
        <v>1.0</v>
      </c>
      <c r="L1287" s="1">
        <v>0.0</v>
      </c>
    </row>
    <row r="1288">
      <c r="A1288" s="1">
        <v>460.0</v>
      </c>
      <c r="B1288" s="1" t="s">
        <v>806</v>
      </c>
      <c r="C1288" s="1" t="s">
        <v>810</v>
      </c>
      <c r="D1288" s="1" t="s">
        <v>812</v>
      </c>
      <c r="E1288" s="1">
        <v>0.0</v>
      </c>
      <c r="F1288" s="1">
        <v>0.0</v>
      </c>
      <c r="G1288" s="1" t="s">
        <v>809</v>
      </c>
      <c r="H1288" s="1" t="s">
        <v>809</v>
      </c>
      <c r="I1288" s="1" t="s">
        <v>809</v>
      </c>
      <c r="J1288" s="1" t="s">
        <v>809</v>
      </c>
      <c r="K1288" s="1">
        <v>1.0</v>
      </c>
      <c r="L1288" s="1">
        <v>0.0</v>
      </c>
    </row>
    <row r="1289">
      <c r="A1289" s="1">
        <v>460.0</v>
      </c>
      <c r="B1289" s="1" t="s">
        <v>806</v>
      </c>
      <c r="C1289" s="1" t="s">
        <v>809</v>
      </c>
      <c r="D1289" s="1" t="s">
        <v>910</v>
      </c>
      <c r="E1289" s="1" t="s">
        <v>809</v>
      </c>
      <c r="F1289" s="1" t="s">
        <v>809</v>
      </c>
      <c r="G1289" s="1" t="s">
        <v>809</v>
      </c>
      <c r="H1289" s="1" t="s">
        <v>809</v>
      </c>
      <c r="I1289" s="1" t="s">
        <v>809</v>
      </c>
      <c r="J1289" s="1" t="s">
        <v>809</v>
      </c>
      <c r="K1289" s="1">
        <v>1.0</v>
      </c>
      <c r="L1289" s="1">
        <v>0.0</v>
      </c>
    </row>
    <row r="1290">
      <c r="A1290" s="1">
        <v>460.0</v>
      </c>
      <c r="B1290" s="1" t="s">
        <v>825</v>
      </c>
      <c r="C1290" s="1" t="s">
        <v>807</v>
      </c>
      <c r="D1290" s="1" t="s">
        <v>808</v>
      </c>
      <c r="E1290" s="1">
        <v>0.0</v>
      </c>
      <c r="F1290" s="1">
        <v>0.0</v>
      </c>
      <c r="G1290" s="1" t="s">
        <v>809</v>
      </c>
      <c r="H1290" s="1" t="s">
        <v>809</v>
      </c>
      <c r="I1290" s="1" t="s">
        <v>809</v>
      </c>
      <c r="J1290" s="1" t="s">
        <v>809</v>
      </c>
      <c r="K1290" s="1">
        <v>1.0</v>
      </c>
      <c r="L1290" s="1">
        <v>45000.0</v>
      </c>
    </row>
    <row r="1291">
      <c r="A1291" s="1">
        <v>460.0</v>
      </c>
      <c r="B1291" s="1" t="s">
        <v>825</v>
      </c>
      <c r="C1291" s="1" t="s">
        <v>810</v>
      </c>
      <c r="D1291" s="1" t="s">
        <v>808</v>
      </c>
      <c r="E1291" s="1">
        <v>0.0</v>
      </c>
      <c r="F1291" s="1">
        <v>0.0</v>
      </c>
      <c r="G1291" s="1" t="s">
        <v>809</v>
      </c>
      <c r="H1291" s="1" t="s">
        <v>809</v>
      </c>
      <c r="I1291" s="1" t="s">
        <v>809</v>
      </c>
      <c r="J1291" s="1" t="s">
        <v>809</v>
      </c>
      <c r="K1291" s="1">
        <v>1.0</v>
      </c>
      <c r="L1291" s="1">
        <v>45000.0</v>
      </c>
    </row>
    <row r="1292">
      <c r="A1292" s="1">
        <v>460.0</v>
      </c>
      <c r="B1292" s="1" t="s">
        <v>825</v>
      </c>
      <c r="C1292" s="1" t="s">
        <v>809</v>
      </c>
      <c r="D1292" s="1" t="s">
        <v>1024</v>
      </c>
      <c r="E1292" s="1" t="s">
        <v>809</v>
      </c>
      <c r="F1292" s="1" t="s">
        <v>809</v>
      </c>
      <c r="G1292" s="1" t="s">
        <v>809</v>
      </c>
      <c r="H1292" s="1" t="s">
        <v>809</v>
      </c>
      <c r="I1292" s="1" t="s">
        <v>809</v>
      </c>
      <c r="J1292" s="1" t="s">
        <v>809</v>
      </c>
      <c r="K1292" s="1">
        <v>1.0</v>
      </c>
      <c r="L1292" s="1">
        <v>222000.0</v>
      </c>
    </row>
    <row r="1293">
      <c r="A1293" s="1">
        <v>461.0</v>
      </c>
      <c r="B1293" s="1" t="s">
        <v>806</v>
      </c>
      <c r="C1293" s="1" t="s">
        <v>807</v>
      </c>
      <c r="D1293" s="1" t="s">
        <v>885</v>
      </c>
      <c r="E1293" s="1">
        <v>-2.25</v>
      </c>
      <c r="F1293" s="1">
        <v>-0.75</v>
      </c>
      <c r="G1293" s="1">
        <v>76.0</v>
      </c>
      <c r="H1293" s="1" t="s">
        <v>809</v>
      </c>
      <c r="I1293" s="1">
        <v>30.0</v>
      </c>
      <c r="J1293" s="1">
        <v>27.0</v>
      </c>
      <c r="K1293" s="1">
        <v>1.0</v>
      </c>
      <c r="L1293" s="1">
        <v>160000.0</v>
      </c>
    </row>
    <row r="1294">
      <c r="A1294" s="1">
        <v>461.0</v>
      </c>
      <c r="B1294" s="1" t="s">
        <v>806</v>
      </c>
      <c r="C1294" s="1" t="s">
        <v>810</v>
      </c>
      <c r="D1294" s="1" t="s">
        <v>885</v>
      </c>
      <c r="E1294" s="1">
        <v>-2.0</v>
      </c>
      <c r="F1294" s="1">
        <v>-0.5</v>
      </c>
      <c r="G1294" s="1">
        <v>110.0</v>
      </c>
      <c r="H1294" s="1" t="s">
        <v>809</v>
      </c>
      <c r="I1294" s="1">
        <v>30.0</v>
      </c>
      <c r="J1294" s="1">
        <v>27.0</v>
      </c>
      <c r="K1294" s="1">
        <v>1.0</v>
      </c>
      <c r="L1294" s="1">
        <v>160000.0</v>
      </c>
    </row>
    <row r="1295">
      <c r="A1295" s="1">
        <v>462.0</v>
      </c>
      <c r="B1295" s="1" t="s">
        <v>806</v>
      </c>
      <c r="C1295" s="1" t="s">
        <v>807</v>
      </c>
      <c r="D1295" s="1" t="s">
        <v>812</v>
      </c>
      <c r="E1295" s="1">
        <v>-1.0</v>
      </c>
      <c r="F1295" s="1">
        <v>-0.75</v>
      </c>
      <c r="G1295" s="1">
        <v>90.0</v>
      </c>
      <c r="H1295" s="1" t="s">
        <v>809</v>
      </c>
      <c r="I1295" s="1">
        <v>30.0</v>
      </c>
      <c r="J1295" s="1" t="s">
        <v>809</v>
      </c>
      <c r="K1295" s="1">
        <v>1.0</v>
      </c>
      <c r="L1295" s="1">
        <v>5000.0</v>
      </c>
    </row>
    <row r="1296">
      <c r="A1296" s="1">
        <v>462.0</v>
      </c>
      <c r="B1296" s="1" t="s">
        <v>806</v>
      </c>
      <c r="C1296" s="1" t="s">
        <v>810</v>
      </c>
      <c r="D1296" s="1" t="s">
        <v>812</v>
      </c>
      <c r="E1296" s="1">
        <v>-1.75</v>
      </c>
      <c r="F1296" s="1">
        <v>-1.0</v>
      </c>
      <c r="G1296" s="1">
        <v>100.0</v>
      </c>
      <c r="H1296" s="1" t="s">
        <v>809</v>
      </c>
      <c r="I1296" s="1">
        <v>30.0</v>
      </c>
      <c r="J1296" s="1" t="s">
        <v>809</v>
      </c>
      <c r="K1296" s="1">
        <v>1.0</v>
      </c>
      <c r="L1296" s="1">
        <v>5000.0</v>
      </c>
    </row>
    <row r="1297">
      <c r="A1297" s="1">
        <v>462.0</v>
      </c>
      <c r="B1297" s="1" t="s">
        <v>806</v>
      </c>
      <c r="C1297" s="1" t="s">
        <v>809</v>
      </c>
      <c r="D1297" s="1" t="s">
        <v>915</v>
      </c>
      <c r="E1297" s="1" t="s">
        <v>809</v>
      </c>
      <c r="F1297" s="1" t="s">
        <v>809</v>
      </c>
      <c r="G1297" s="1" t="s">
        <v>809</v>
      </c>
      <c r="H1297" s="1" t="s">
        <v>809</v>
      </c>
      <c r="I1297" s="1" t="s">
        <v>809</v>
      </c>
      <c r="J1297" s="1" t="s">
        <v>809</v>
      </c>
      <c r="K1297" s="1">
        <v>1.0</v>
      </c>
      <c r="L1297" s="1">
        <v>130000.0</v>
      </c>
    </row>
    <row r="1298">
      <c r="A1298" s="1">
        <v>463.0</v>
      </c>
      <c r="B1298" s="1" t="s">
        <v>806</v>
      </c>
      <c r="C1298" s="1" t="s">
        <v>807</v>
      </c>
      <c r="D1298" s="1" t="s">
        <v>812</v>
      </c>
      <c r="E1298" s="1">
        <v>0.0</v>
      </c>
      <c r="F1298" s="1">
        <v>0.0</v>
      </c>
      <c r="G1298" s="1" t="s">
        <v>809</v>
      </c>
      <c r="H1298" s="1" t="s">
        <v>809</v>
      </c>
      <c r="I1298" s="1" t="s">
        <v>809</v>
      </c>
      <c r="J1298" s="1" t="s">
        <v>809</v>
      </c>
      <c r="K1298" s="1">
        <v>1.0</v>
      </c>
      <c r="L1298" s="1">
        <v>30000.0</v>
      </c>
    </row>
    <row r="1299">
      <c r="A1299" s="1">
        <v>463.0</v>
      </c>
      <c r="B1299" s="1" t="s">
        <v>806</v>
      </c>
      <c r="C1299" s="1" t="s">
        <v>810</v>
      </c>
      <c r="D1299" s="1" t="s">
        <v>812</v>
      </c>
      <c r="E1299" s="1">
        <v>0.0</v>
      </c>
      <c r="F1299" s="1">
        <v>0.0</v>
      </c>
      <c r="G1299" s="1" t="s">
        <v>809</v>
      </c>
      <c r="H1299" s="1" t="s">
        <v>809</v>
      </c>
      <c r="I1299" s="1" t="s">
        <v>809</v>
      </c>
      <c r="J1299" s="1" t="s">
        <v>809</v>
      </c>
      <c r="K1299" s="1">
        <v>1.0</v>
      </c>
      <c r="L1299" s="1">
        <v>30000.0</v>
      </c>
    </row>
    <row r="1300">
      <c r="A1300" s="1">
        <v>463.0</v>
      </c>
      <c r="B1300" s="1" t="s">
        <v>806</v>
      </c>
      <c r="C1300" s="1" t="s">
        <v>809</v>
      </c>
      <c r="D1300" s="1" t="s">
        <v>929</v>
      </c>
      <c r="E1300" s="1" t="s">
        <v>809</v>
      </c>
      <c r="F1300" s="1" t="s">
        <v>809</v>
      </c>
      <c r="G1300" s="1" t="s">
        <v>809</v>
      </c>
      <c r="H1300" s="1" t="s">
        <v>809</v>
      </c>
      <c r="I1300" s="1" t="s">
        <v>809</v>
      </c>
      <c r="J1300" s="1" t="s">
        <v>809</v>
      </c>
      <c r="K1300" s="1">
        <v>1.0</v>
      </c>
      <c r="L1300" s="1">
        <v>40000.0</v>
      </c>
    </row>
    <row r="1301">
      <c r="A1301" s="1">
        <v>463.0</v>
      </c>
      <c r="B1301" s="1" t="s">
        <v>825</v>
      </c>
      <c r="C1301" s="1" t="s">
        <v>807</v>
      </c>
      <c r="D1301" s="1" t="s">
        <v>808</v>
      </c>
      <c r="E1301" s="1">
        <v>0.0</v>
      </c>
      <c r="F1301" s="1">
        <v>0.0</v>
      </c>
      <c r="G1301" s="1" t="s">
        <v>809</v>
      </c>
      <c r="H1301" s="1" t="s">
        <v>809</v>
      </c>
      <c r="I1301" s="1" t="s">
        <v>809</v>
      </c>
      <c r="J1301" s="1" t="s">
        <v>809</v>
      </c>
      <c r="K1301" s="1">
        <v>1.0</v>
      </c>
      <c r="L1301" s="1">
        <v>0.0</v>
      </c>
    </row>
    <row r="1302">
      <c r="A1302" s="1">
        <v>463.0</v>
      </c>
      <c r="B1302" s="1" t="s">
        <v>825</v>
      </c>
      <c r="C1302" s="1" t="s">
        <v>810</v>
      </c>
      <c r="D1302" s="1" t="s">
        <v>808</v>
      </c>
      <c r="E1302" s="1">
        <v>0.0</v>
      </c>
      <c r="F1302" s="1">
        <v>0.0</v>
      </c>
      <c r="G1302" s="1" t="s">
        <v>809</v>
      </c>
      <c r="H1302" s="1" t="s">
        <v>809</v>
      </c>
      <c r="I1302" s="1" t="s">
        <v>809</v>
      </c>
      <c r="J1302" s="1" t="s">
        <v>809</v>
      </c>
      <c r="K1302" s="1">
        <v>1.0</v>
      </c>
      <c r="L1302" s="1">
        <v>0.0</v>
      </c>
    </row>
    <row r="1303">
      <c r="A1303" s="1">
        <v>463.0</v>
      </c>
      <c r="B1303" s="1" t="s">
        <v>825</v>
      </c>
      <c r="C1303" s="1" t="s">
        <v>809</v>
      </c>
      <c r="D1303" s="1" t="s">
        <v>1009</v>
      </c>
      <c r="E1303" s="1" t="s">
        <v>809</v>
      </c>
      <c r="F1303" s="1" t="s">
        <v>809</v>
      </c>
      <c r="G1303" s="1" t="s">
        <v>809</v>
      </c>
      <c r="H1303" s="1" t="s">
        <v>809</v>
      </c>
      <c r="I1303" s="1" t="s">
        <v>809</v>
      </c>
      <c r="J1303" s="1" t="s">
        <v>809</v>
      </c>
      <c r="K1303" s="1">
        <v>1.0</v>
      </c>
      <c r="L1303" s="1">
        <v>220000.0</v>
      </c>
    </row>
    <row r="1304">
      <c r="A1304" s="1">
        <v>464.0</v>
      </c>
      <c r="B1304" s="1" t="s">
        <v>806</v>
      </c>
      <c r="C1304" s="1" t="s">
        <v>807</v>
      </c>
      <c r="D1304" s="1" t="s">
        <v>836</v>
      </c>
      <c r="E1304" s="1">
        <v>-1.5</v>
      </c>
      <c r="F1304" s="1">
        <v>-0.25</v>
      </c>
      <c r="G1304" s="1">
        <v>125.0</v>
      </c>
      <c r="H1304" s="1" t="s">
        <v>809</v>
      </c>
      <c r="I1304" s="1" t="s">
        <v>809</v>
      </c>
      <c r="J1304" s="1" t="s">
        <v>809</v>
      </c>
      <c r="K1304" s="1">
        <v>1.0</v>
      </c>
      <c r="L1304" s="1">
        <v>45000.0</v>
      </c>
    </row>
    <row r="1305">
      <c r="A1305" s="1">
        <v>464.0</v>
      </c>
      <c r="B1305" s="1" t="s">
        <v>806</v>
      </c>
      <c r="C1305" s="1" t="s">
        <v>810</v>
      </c>
      <c r="D1305" s="1" t="s">
        <v>836</v>
      </c>
      <c r="E1305" s="1">
        <v>-1.0</v>
      </c>
      <c r="F1305" s="1">
        <v>-0.5</v>
      </c>
      <c r="G1305" s="1">
        <v>110.0</v>
      </c>
      <c r="H1305" s="1" t="s">
        <v>809</v>
      </c>
      <c r="I1305" s="1" t="s">
        <v>809</v>
      </c>
      <c r="J1305" s="1" t="s">
        <v>809</v>
      </c>
      <c r="K1305" s="1">
        <v>1.0</v>
      </c>
      <c r="L1305" s="1">
        <v>45000.0</v>
      </c>
    </row>
    <row r="1306">
      <c r="A1306" s="1">
        <v>464.0</v>
      </c>
      <c r="B1306" s="1" t="s">
        <v>806</v>
      </c>
      <c r="C1306" s="1" t="s">
        <v>809</v>
      </c>
      <c r="D1306" s="1" t="s">
        <v>929</v>
      </c>
      <c r="E1306" s="1" t="s">
        <v>809</v>
      </c>
      <c r="F1306" s="1" t="s">
        <v>809</v>
      </c>
      <c r="G1306" s="1" t="s">
        <v>809</v>
      </c>
      <c r="H1306" s="1" t="s">
        <v>809</v>
      </c>
      <c r="I1306" s="1" t="s">
        <v>809</v>
      </c>
      <c r="J1306" s="1" t="s">
        <v>809</v>
      </c>
      <c r="K1306" s="1">
        <v>1.0</v>
      </c>
      <c r="L1306" s="1">
        <v>120000.0</v>
      </c>
    </row>
    <row r="1307">
      <c r="A1307" s="1">
        <v>465.0</v>
      </c>
      <c r="B1307" s="1" t="s">
        <v>806</v>
      </c>
      <c r="C1307" s="1" t="s">
        <v>807</v>
      </c>
      <c r="D1307" s="1" t="s">
        <v>882</v>
      </c>
      <c r="E1307" s="1">
        <v>0.0</v>
      </c>
      <c r="F1307" s="1">
        <v>0.0</v>
      </c>
      <c r="G1307" s="1" t="s">
        <v>809</v>
      </c>
      <c r="H1307" s="1" t="s">
        <v>809</v>
      </c>
      <c r="I1307" s="1" t="s">
        <v>809</v>
      </c>
      <c r="J1307" s="1" t="s">
        <v>809</v>
      </c>
      <c r="K1307" s="1">
        <v>1.0</v>
      </c>
      <c r="L1307" s="1">
        <v>90000.0</v>
      </c>
    </row>
    <row r="1308">
      <c r="A1308" s="1">
        <v>465.0</v>
      </c>
      <c r="B1308" s="1" t="s">
        <v>806</v>
      </c>
      <c r="C1308" s="1" t="s">
        <v>810</v>
      </c>
      <c r="D1308" s="1" t="s">
        <v>882</v>
      </c>
      <c r="E1308" s="1">
        <v>0.0</v>
      </c>
      <c r="F1308" s="1">
        <v>0.0</v>
      </c>
      <c r="G1308" s="1" t="s">
        <v>809</v>
      </c>
      <c r="H1308" s="1" t="s">
        <v>809</v>
      </c>
      <c r="I1308" s="1" t="s">
        <v>809</v>
      </c>
      <c r="J1308" s="1" t="s">
        <v>809</v>
      </c>
      <c r="K1308" s="1">
        <v>1.0</v>
      </c>
      <c r="L1308" s="1">
        <v>90000.0</v>
      </c>
    </row>
    <row r="1309">
      <c r="A1309" s="1">
        <v>465.0</v>
      </c>
      <c r="B1309" s="1" t="s">
        <v>806</v>
      </c>
      <c r="C1309" s="1" t="s">
        <v>809</v>
      </c>
      <c r="D1309" s="1" t="s">
        <v>915</v>
      </c>
      <c r="E1309" s="1" t="s">
        <v>809</v>
      </c>
      <c r="F1309" s="1" t="s">
        <v>809</v>
      </c>
      <c r="G1309" s="1" t="s">
        <v>809</v>
      </c>
      <c r="H1309" s="1" t="s">
        <v>809</v>
      </c>
      <c r="I1309" s="1" t="s">
        <v>809</v>
      </c>
      <c r="J1309" s="1" t="s">
        <v>809</v>
      </c>
      <c r="K1309" s="1">
        <v>1.0</v>
      </c>
      <c r="L1309" s="1">
        <v>120000.0</v>
      </c>
    </row>
    <row r="1310">
      <c r="A1310" s="1">
        <v>466.0</v>
      </c>
      <c r="B1310" s="1" t="s">
        <v>806</v>
      </c>
      <c r="C1310" s="1" t="s">
        <v>807</v>
      </c>
      <c r="D1310" s="1" t="s">
        <v>1016</v>
      </c>
      <c r="E1310" s="1">
        <v>0.0</v>
      </c>
      <c r="F1310" s="1">
        <v>0.0</v>
      </c>
      <c r="G1310" s="1" t="s">
        <v>809</v>
      </c>
      <c r="H1310" s="1" t="s">
        <v>809</v>
      </c>
      <c r="I1310" s="1" t="s">
        <v>809</v>
      </c>
      <c r="J1310" s="1" t="s">
        <v>809</v>
      </c>
      <c r="K1310" s="1">
        <v>1.0</v>
      </c>
      <c r="L1310" s="1">
        <v>490000.0</v>
      </c>
    </row>
    <row r="1311">
      <c r="A1311" s="1">
        <v>466.0</v>
      </c>
      <c r="B1311" s="1" t="s">
        <v>806</v>
      </c>
      <c r="C1311" s="1" t="s">
        <v>810</v>
      </c>
      <c r="D1311" s="1" t="s">
        <v>1016</v>
      </c>
      <c r="E1311" s="1">
        <v>0.0</v>
      </c>
      <c r="F1311" s="1">
        <v>0.0</v>
      </c>
      <c r="G1311" s="1" t="s">
        <v>809</v>
      </c>
      <c r="H1311" s="1" t="s">
        <v>809</v>
      </c>
      <c r="I1311" s="1" t="s">
        <v>809</v>
      </c>
      <c r="J1311" s="1" t="s">
        <v>809</v>
      </c>
      <c r="K1311" s="1">
        <v>1.0</v>
      </c>
      <c r="L1311" s="1">
        <v>490000.0</v>
      </c>
    </row>
    <row r="1312">
      <c r="A1312" s="1">
        <v>466.0</v>
      </c>
      <c r="B1312" s="1" t="s">
        <v>806</v>
      </c>
      <c r="C1312" s="1" t="s">
        <v>809</v>
      </c>
      <c r="D1312" s="1" t="s">
        <v>912</v>
      </c>
      <c r="E1312" s="1" t="s">
        <v>809</v>
      </c>
      <c r="F1312" s="1" t="s">
        <v>809</v>
      </c>
      <c r="G1312" s="1" t="s">
        <v>809</v>
      </c>
      <c r="H1312" s="1" t="s">
        <v>809</v>
      </c>
      <c r="I1312" s="1" t="s">
        <v>809</v>
      </c>
      <c r="J1312" s="1" t="s">
        <v>809</v>
      </c>
      <c r="K1312" s="1">
        <v>1.0</v>
      </c>
      <c r="L1312" s="1">
        <v>120000.0</v>
      </c>
    </row>
    <row r="1313">
      <c r="A1313" s="1">
        <v>467.0</v>
      </c>
      <c r="B1313" s="1" t="s">
        <v>806</v>
      </c>
      <c r="C1313" s="1" t="s">
        <v>807</v>
      </c>
      <c r="D1313" s="1" t="s">
        <v>1025</v>
      </c>
      <c r="E1313" s="1">
        <v>4.0</v>
      </c>
      <c r="F1313" s="1">
        <v>-4.0</v>
      </c>
      <c r="G1313" s="1">
        <v>10.0</v>
      </c>
      <c r="H1313" s="1" t="s">
        <v>809</v>
      </c>
      <c r="I1313" s="1">
        <v>30.0</v>
      </c>
      <c r="J1313" s="1" t="s">
        <v>809</v>
      </c>
      <c r="K1313" s="1">
        <v>1.0</v>
      </c>
      <c r="L1313" s="1">
        <v>68000.0</v>
      </c>
    </row>
    <row r="1314">
      <c r="A1314" s="1">
        <v>467.0</v>
      </c>
      <c r="B1314" s="1" t="s">
        <v>806</v>
      </c>
      <c r="C1314" s="1" t="s">
        <v>810</v>
      </c>
      <c r="D1314" s="1" t="s">
        <v>1025</v>
      </c>
      <c r="E1314" s="1">
        <v>4.5</v>
      </c>
      <c r="F1314" s="1">
        <v>-4.0</v>
      </c>
      <c r="G1314" s="1">
        <v>175.0</v>
      </c>
      <c r="H1314" s="1" t="s">
        <v>809</v>
      </c>
      <c r="I1314" s="1">
        <v>32.0</v>
      </c>
      <c r="J1314" s="1" t="s">
        <v>809</v>
      </c>
      <c r="K1314" s="1">
        <v>1.0</v>
      </c>
      <c r="L1314" s="1">
        <v>68000.0</v>
      </c>
    </row>
    <row r="1315">
      <c r="A1315" s="1">
        <v>467.0</v>
      </c>
      <c r="B1315" s="1" t="s">
        <v>806</v>
      </c>
      <c r="C1315" s="1" t="s">
        <v>809</v>
      </c>
      <c r="D1315" s="1" t="s">
        <v>1026</v>
      </c>
      <c r="E1315" s="1" t="s">
        <v>809</v>
      </c>
      <c r="F1315" s="1" t="s">
        <v>809</v>
      </c>
      <c r="G1315" s="1" t="s">
        <v>809</v>
      </c>
      <c r="H1315" s="1" t="s">
        <v>809</v>
      </c>
      <c r="I1315" s="1" t="s">
        <v>809</v>
      </c>
      <c r="J1315" s="1" t="s">
        <v>809</v>
      </c>
      <c r="K1315" s="1">
        <v>1.0</v>
      </c>
      <c r="L1315" s="1">
        <v>126000.0</v>
      </c>
    </row>
    <row r="1316">
      <c r="A1316" s="1">
        <v>468.0</v>
      </c>
      <c r="B1316" s="1" t="s">
        <v>806</v>
      </c>
      <c r="C1316" s="1" t="s">
        <v>807</v>
      </c>
      <c r="D1316" s="1" t="s">
        <v>812</v>
      </c>
      <c r="E1316" s="1">
        <v>0.0</v>
      </c>
      <c r="F1316" s="1">
        <v>-0.5</v>
      </c>
      <c r="G1316" s="1">
        <v>150.0</v>
      </c>
      <c r="H1316" s="1" t="s">
        <v>809</v>
      </c>
      <c r="I1316" s="1">
        <v>30.0</v>
      </c>
      <c r="J1316" s="1" t="s">
        <v>809</v>
      </c>
      <c r="K1316" s="1">
        <v>1.0</v>
      </c>
      <c r="L1316" s="1">
        <v>30000.0</v>
      </c>
    </row>
    <row r="1317">
      <c r="A1317" s="1">
        <v>468.0</v>
      </c>
      <c r="B1317" s="1" t="s">
        <v>806</v>
      </c>
      <c r="C1317" s="1" t="s">
        <v>810</v>
      </c>
      <c r="D1317" s="1" t="s">
        <v>812</v>
      </c>
      <c r="E1317" s="1">
        <v>0.0</v>
      </c>
      <c r="F1317" s="1">
        <v>-0.5</v>
      </c>
      <c r="G1317" s="1">
        <v>40.0</v>
      </c>
      <c r="H1317" s="1" t="s">
        <v>809</v>
      </c>
      <c r="I1317" s="1">
        <v>30.0</v>
      </c>
      <c r="J1317" s="1" t="s">
        <v>809</v>
      </c>
      <c r="K1317" s="1">
        <v>1.0</v>
      </c>
      <c r="L1317" s="1">
        <v>30000.0</v>
      </c>
    </row>
    <row r="1318">
      <c r="A1318" s="1">
        <v>468.0</v>
      </c>
      <c r="B1318" s="1" t="s">
        <v>806</v>
      </c>
      <c r="C1318" s="1" t="s">
        <v>809</v>
      </c>
      <c r="D1318" s="1" t="s">
        <v>910</v>
      </c>
      <c r="E1318" s="1" t="s">
        <v>809</v>
      </c>
      <c r="F1318" s="1" t="s">
        <v>809</v>
      </c>
      <c r="G1318" s="1" t="s">
        <v>809</v>
      </c>
      <c r="H1318" s="1" t="s">
        <v>809</v>
      </c>
      <c r="I1318" s="1" t="s">
        <v>809</v>
      </c>
      <c r="J1318" s="1" t="s">
        <v>809</v>
      </c>
      <c r="K1318" s="1">
        <v>1.0</v>
      </c>
      <c r="L1318" s="1">
        <v>120000.0</v>
      </c>
    </row>
    <row r="1319">
      <c r="A1319" s="1">
        <v>469.0</v>
      </c>
      <c r="B1319" s="1" t="s">
        <v>806</v>
      </c>
      <c r="C1319" s="1" t="s">
        <v>807</v>
      </c>
      <c r="D1319" s="1" t="s">
        <v>826</v>
      </c>
      <c r="E1319" s="1">
        <v>0.0</v>
      </c>
      <c r="F1319" s="1">
        <v>0.0</v>
      </c>
      <c r="G1319" s="1" t="s">
        <v>809</v>
      </c>
      <c r="H1319" s="1" t="s">
        <v>809</v>
      </c>
      <c r="I1319" s="1" t="s">
        <v>809</v>
      </c>
      <c r="J1319" s="1" t="s">
        <v>809</v>
      </c>
      <c r="K1319" s="1">
        <v>1.0</v>
      </c>
      <c r="L1319" s="1">
        <v>26000.0</v>
      </c>
    </row>
    <row r="1320">
      <c r="A1320" s="1">
        <v>469.0</v>
      </c>
      <c r="B1320" s="1" t="s">
        <v>806</v>
      </c>
      <c r="C1320" s="1" t="s">
        <v>810</v>
      </c>
      <c r="D1320" s="1" t="s">
        <v>826</v>
      </c>
      <c r="E1320" s="1">
        <v>0.0</v>
      </c>
      <c r="F1320" s="1">
        <v>0.0</v>
      </c>
      <c r="G1320" s="1" t="s">
        <v>809</v>
      </c>
      <c r="H1320" s="1" t="s">
        <v>809</v>
      </c>
      <c r="I1320" s="1" t="s">
        <v>809</v>
      </c>
      <c r="J1320" s="1" t="s">
        <v>809</v>
      </c>
      <c r="K1320" s="1">
        <v>1.0</v>
      </c>
      <c r="L1320" s="1">
        <v>26000.0</v>
      </c>
    </row>
    <row r="1321">
      <c r="A1321" s="1">
        <v>469.0</v>
      </c>
      <c r="B1321" s="1" t="s">
        <v>806</v>
      </c>
      <c r="C1321" s="1" t="s">
        <v>809</v>
      </c>
      <c r="D1321" s="1" t="s">
        <v>929</v>
      </c>
      <c r="E1321" s="1" t="s">
        <v>809</v>
      </c>
      <c r="F1321" s="1" t="s">
        <v>809</v>
      </c>
      <c r="G1321" s="1" t="s">
        <v>809</v>
      </c>
      <c r="H1321" s="1" t="s">
        <v>809</v>
      </c>
      <c r="I1321" s="1" t="s">
        <v>809</v>
      </c>
      <c r="J1321" s="1" t="s">
        <v>809</v>
      </c>
      <c r="K1321" s="1">
        <v>1.0</v>
      </c>
      <c r="L1321" s="1">
        <v>120001.0</v>
      </c>
    </row>
    <row r="1322">
      <c r="A1322" s="1">
        <v>470.0</v>
      </c>
      <c r="B1322" s="1" t="s">
        <v>809</v>
      </c>
      <c r="C1322" s="1">
        <v>2.0</v>
      </c>
      <c r="D1322" s="1" t="s">
        <v>982</v>
      </c>
      <c r="E1322" s="1">
        <v>0.0</v>
      </c>
      <c r="F1322" s="1">
        <v>0.0</v>
      </c>
      <c r="G1322" s="1">
        <v>0.0</v>
      </c>
      <c r="H1322" s="1" t="s">
        <v>809</v>
      </c>
      <c r="I1322" s="1" t="s">
        <v>809</v>
      </c>
      <c r="J1322" s="1" t="s">
        <v>809</v>
      </c>
      <c r="K1322" s="1">
        <v>1.0</v>
      </c>
      <c r="L1322" s="1">
        <v>150000.0</v>
      </c>
    </row>
    <row r="1323">
      <c r="A1323" s="1">
        <v>471.0</v>
      </c>
      <c r="B1323" s="1" t="s">
        <v>809</v>
      </c>
      <c r="C1323" s="1">
        <v>2.0</v>
      </c>
      <c r="D1323" s="1" t="s">
        <v>920</v>
      </c>
      <c r="E1323" s="1">
        <v>1.0</v>
      </c>
      <c r="F1323" s="1">
        <v>0.0</v>
      </c>
      <c r="G1323" s="1">
        <v>0.0</v>
      </c>
      <c r="H1323" s="1" t="s">
        <v>809</v>
      </c>
      <c r="I1323" s="1" t="s">
        <v>809</v>
      </c>
      <c r="J1323" s="1" t="s">
        <v>809</v>
      </c>
      <c r="K1323" s="1">
        <v>1.0</v>
      </c>
      <c r="L1323" s="1">
        <v>78000.0</v>
      </c>
    </row>
    <row r="1324">
      <c r="A1324" s="1">
        <v>472.0</v>
      </c>
      <c r="B1324" s="1" t="s">
        <v>825</v>
      </c>
      <c r="C1324" s="1" t="s">
        <v>807</v>
      </c>
      <c r="D1324" s="1" t="s">
        <v>812</v>
      </c>
      <c r="E1324" s="1">
        <v>0.25</v>
      </c>
      <c r="F1324" s="1">
        <v>0.0</v>
      </c>
      <c r="G1324" s="1" t="s">
        <v>809</v>
      </c>
      <c r="H1324" s="1" t="s">
        <v>809</v>
      </c>
      <c r="I1324" s="1" t="s">
        <v>809</v>
      </c>
      <c r="J1324" s="1">
        <v>26.0</v>
      </c>
      <c r="K1324" s="1">
        <v>1.0</v>
      </c>
      <c r="L1324" s="1">
        <v>33500.0</v>
      </c>
    </row>
    <row r="1325">
      <c r="A1325" s="1">
        <v>472.0</v>
      </c>
      <c r="B1325" s="1" t="s">
        <v>825</v>
      </c>
      <c r="C1325" s="1" t="s">
        <v>810</v>
      </c>
      <c r="D1325" s="1" t="s">
        <v>812</v>
      </c>
      <c r="E1325" s="1">
        <v>-0.25</v>
      </c>
      <c r="F1325" s="1">
        <v>0.0</v>
      </c>
      <c r="G1325" s="1" t="s">
        <v>809</v>
      </c>
      <c r="H1325" s="1" t="s">
        <v>809</v>
      </c>
      <c r="I1325" s="1" t="s">
        <v>809</v>
      </c>
      <c r="J1325" s="1">
        <v>26.0</v>
      </c>
      <c r="K1325" s="1">
        <v>1.0</v>
      </c>
      <c r="L1325" s="1">
        <v>33500.0</v>
      </c>
    </row>
    <row r="1326">
      <c r="A1326" s="1">
        <v>473.0</v>
      </c>
      <c r="B1326" s="1" t="s">
        <v>806</v>
      </c>
      <c r="C1326" s="1" t="s">
        <v>807</v>
      </c>
      <c r="D1326" s="1" t="s">
        <v>1016</v>
      </c>
      <c r="E1326" s="1">
        <v>0.0</v>
      </c>
      <c r="F1326" s="1">
        <v>0.0</v>
      </c>
      <c r="G1326" s="1" t="s">
        <v>809</v>
      </c>
      <c r="H1326" s="1" t="s">
        <v>809</v>
      </c>
      <c r="I1326" s="1" t="s">
        <v>809</v>
      </c>
      <c r="J1326" s="1" t="s">
        <v>809</v>
      </c>
      <c r="K1326" s="1">
        <v>1.0</v>
      </c>
      <c r="L1326" s="1">
        <v>450000.0</v>
      </c>
    </row>
    <row r="1327">
      <c r="A1327" s="1">
        <v>473.0</v>
      </c>
      <c r="B1327" s="1" t="s">
        <v>806</v>
      </c>
      <c r="C1327" s="1" t="s">
        <v>810</v>
      </c>
      <c r="D1327" s="1" t="s">
        <v>1016</v>
      </c>
      <c r="E1327" s="1">
        <v>0.0</v>
      </c>
      <c r="F1327" s="1">
        <v>0.0</v>
      </c>
      <c r="G1327" s="1" t="s">
        <v>809</v>
      </c>
      <c r="H1327" s="1" t="s">
        <v>809</v>
      </c>
      <c r="I1327" s="1" t="s">
        <v>809</v>
      </c>
      <c r="J1327" s="1" t="s">
        <v>809</v>
      </c>
      <c r="K1327" s="1">
        <v>1.0</v>
      </c>
      <c r="L1327" s="1">
        <v>450000.0</v>
      </c>
    </row>
    <row r="1328">
      <c r="A1328" s="1">
        <v>473.0</v>
      </c>
      <c r="B1328" s="1" t="s">
        <v>806</v>
      </c>
      <c r="C1328" s="1" t="s">
        <v>809</v>
      </c>
      <c r="D1328" s="1" t="s">
        <v>929</v>
      </c>
      <c r="E1328" s="1" t="s">
        <v>809</v>
      </c>
      <c r="F1328" s="1" t="s">
        <v>809</v>
      </c>
      <c r="G1328" s="1" t="s">
        <v>809</v>
      </c>
      <c r="H1328" s="1" t="s">
        <v>809</v>
      </c>
      <c r="I1328" s="1" t="s">
        <v>809</v>
      </c>
      <c r="J1328" s="1" t="s">
        <v>809</v>
      </c>
      <c r="K1328" s="1">
        <v>1.0</v>
      </c>
      <c r="L1328" s="1">
        <v>80000.0</v>
      </c>
    </row>
    <row r="1329">
      <c r="A1329" s="1">
        <v>474.0</v>
      </c>
      <c r="B1329" s="1" t="s">
        <v>809</v>
      </c>
      <c r="C1329" s="1" t="s">
        <v>809</v>
      </c>
      <c r="D1329" s="1" t="s">
        <v>1027</v>
      </c>
      <c r="E1329" s="1" t="s">
        <v>809</v>
      </c>
      <c r="F1329" s="1" t="s">
        <v>809</v>
      </c>
      <c r="G1329" s="1" t="s">
        <v>809</v>
      </c>
      <c r="H1329" s="1" t="s">
        <v>809</v>
      </c>
      <c r="I1329" s="1" t="s">
        <v>809</v>
      </c>
      <c r="J1329" s="1" t="s">
        <v>809</v>
      </c>
      <c r="K1329" s="1">
        <v>1.0</v>
      </c>
      <c r="L1329" s="1">
        <v>229400.0</v>
      </c>
    </row>
    <row r="1330">
      <c r="A1330" s="1">
        <v>475.0</v>
      </c>
      <c r="B1330" s="1" t="s">
        <v>809</v>
      </c>
      <c r="C1330" s="1" t="s">
        <v>809</v>
      </c>
      <c r="D1330" s="1" t="s">
        <v>1028</v>
      </c>
      <c r="E1330" s="1" t="s">
        <v>809</v>
      </c>
      <c r="F1330" s="1" t="s">
        <v>809</v>
      </c>
      <c r="G1330" s="1" t="s">
        <v>809</v>
      </c>
      <c r="H1330" s="1" t="s">
        <v>809</v>
      </c>
      <c r="I1330" s="1" t="s">
        <v>809</v>
      </c>
      <c r="J1330" s="1" t="s">
        <v>809</v>
      </c>
      <c r="K1330" s="1">
        <v>1.0</v>
      </c>
      <c r="L1330" s="1">
        <v>166000.0</v>
      </c>
    </row>
    <row r="1331">
      <c r="A1331" s="1">
        <v>476.0</v>
      </c>
      <c r="B1331" s="1" t="s">
        <v>806</v>
      </c>
      <c r="C1331" s="1" t="s">
        <v>807</v>
      </c>
      <c r="D1331" s="1" t="s">
        <v>812</v>
      </c>
      <c r="E1331" s="1">
        <v>0.0</v>
      </c>
      <c r="F1331" s="1">
        <v>0.0</v>
      </c>
      <c r="G1331" s="1" t="s">
        <v>809</v>
      </c>
      <c r="H1331" s="1" t="s">
        <v>809</v>
      </c>
      <c r="I1331" s="1" t="s">
        <v>809</v>
      </c>
      <c r="J1331" s="1" t="s">
        <v>809</v>
      </c>
      <c r="K1331" s="1">
        <v>1.0</v>
      </c>
      <c r="L1331" s="1">
        <v>20000.0</v>
      </c>
    </row>
    <row r="1332">
      <c r="A1332" s="1">
        <v>476.0</v>
      </c>
      <c r="B1332" s="1" t="s">
        <v>806</v>
      </c>
      <c r="C1332" s="1" t="s">
        <v>810</v>
      </c>
      <c r="D1332" s="1" t="s">
        <v>812</v>
      </c>
      <c r="E1332" s="1">
        <v>0.0</v>
      </c>
      <c r="F1332" s="1">
        <v>0.0</v>
      </c>
      <c r="G1332" s="1" t="s">
        <v>809</v>
      </c>
      <c r="H1332" s="1" t="s">
        <v>809</v>
      </c>
      <c r="I1332" s="1" t="s">
        <v>809</v>
      </c>
      <c r="J1332" s="1" t="s">
        <v>809</v>
      </c>
      <c r="K1332" s="1">
        <v>1.0</v>
      </c>
      <c r="L1332" s="1">
        <v>20000.0</v>
      </c>
    </row>
    <row r="1333">
      <c r="A1333" s="1">
        <v>476.0</v>
      </c>
      <c r="B1333" s="1" t="s">
        <v>806</v>
      </c>
      <c r="C1333" s="1" t="s">
        <v>809</v>
      </c>
      <c r="D1333" s="1" t="s">
        <v>910</v>
      </c>
      <c r="E1333" s="1" t="s">
        <v>809</v>
      </c>
      <c r="F1333" s="1" t="s">
        <v>809</v>
      </c>
      <c r="G1333" s="1" t="s">
        <v>809</v>
      </c>
      <c r="H1333" s="1" t="s">
        <v>809</v>
      </c>
      <c r="I1333" s="1" t="s">
        <v>809</v>
      </c>
      <c r="J1333" s="1" t="s">
        <v>809</v>
      </c>
      <c r="K1333" s="1">
        <v>1.0</v>
      </c>
      <c r="L1333" s="1">
        <v>80000.0</v>
      </c>
    </row>
    <row r="1334">
      <c r="A1334" s="1">
        <v>477.0</v>
      </c>
      <c r="B1334" s="1" t="s">
        <v>806</v>
      </c>
      <c r="C1334" s="1" t="s">
        <v>807</v>
      </c>
      <c r="D1334" s="1" t="s">
        <v>826</v>
      </c>
      <c r="E1334" s="1">
        <v>0.0</v>
      </c>
      <c r="F1334" s="1">
        <v>0.0</v>
      </c>
      <c r="G1334" s="1" t="s">
        <v>809</v>
      </c>
      <c r="H1334" s="1" t="s">
        <v>809</v>
      </c>
      <c r="I1334" s="1" t="s">
        <v>809</v>
      </c>
      <c r="J1334" s="1" t="s">
        <v>809</v>
      </c>
      <c r="K1334" s="1">
        <v>1.0</v>
      </c>
      <c r="L1334" s="1">
        <v>20000.0</v>
      </c>
    </row>
    <row r="1335">
      <c r="A1335" s="1">
        <v>477.0</v>
      </c>
      <c r="B1335" s="1" t="s">
        <v>806</v>
      </c>
      <c r="C1335" s="1" t="s">
        <v>810</v>
      </c>
      <c r="D1335" s="1" t="s">
        <v>826</v>
      </c>
      <c r="E1335" s="1">
        <v>0.0</v>
      </c>
      <c r="F1335" s="1">
        <v>0.0</v>
      </c>
      <c r="G1335" s="1" t="s">
        <v>809</v>
      </c>
      <c r="H1335" s="1" t="s">
        <v>809</v>
      </c>
      <c r="I1335" s="1" t="s">
        <v>809</v>
      </c>
      <c r="J1335" s="1" t="s">
        <v>809</v>
      </c>
      <c r="K1335" s="1">
        <v>1.0</v>
      </c>
      <c r="L1335" s="1">
        <v>20000.0</v>
      </c>
    </row>
    <row r="1336">
      <c r="A1336" s="1">
        <v>477.0</v>
      </c>
      <c r="B1336" s="1" t="s">
        <v>806</v>
      </c>
      <c r="C1336" s="1" t="s">
        <v>809</v>
      </c>
      <c r="D1336" s="1" t="s">
        <v>929</v>
      </c>
      <c r="E1336" s="1" t="s">
        <v>809</v>
      </c>
      <c r="F1336" s="1" t="s">
        <v>809</v>
      </c>
      <c r="G1336" s="1" t="s">
        <v>809</v>
      </c>
      <c r="H1336" s="1" t="s">
        <v>809</v>
      </c>
      <c r="I1336" s="1" t="s">
        <v>809</v>
      </c>
      <c r="J1336" s="1" t="s">
        <v>809</v>
      </c>
      <c r="K1336" s="1">
        <v>1.0</v>
      </c>
      <c r="L1336" s="1">
        <v>100000.0</v>
      </c>
    </row>
    <row r="1337">
      <c r="A1337" s="1">
        <v>478.0</v>
      </c>
      <c r="B1337" s="1" t="s">
        <v>806</v>
      </c>
      <c r="C1337" s="1" t="s">
        <v>807</v>
      </c>
      <c r="D1337" s="1" t="s">
        <v>812</v>
      </c>
      <c r="E1337" s="1">
        <v>0.75</v>
      </c>
      <c r="F1337" s="1">
        <v>0.0</v>
      </c>
      <c r="G1337" s="1" t="s">
        <v>809</v>
      </c>
      <c r="H1337" s="1" t="s">
        <v>809</v>
      </c>
      <c r="I1337" s="1" t="s">
        <v>809</v>
      </c>
      <c r="J1337" s="1" t="s">
        <v>809</v>
      </c>
      <c r="K1337" s="1">
        <v>1.0</v>
      </c>
      <c r="L1337" s="1">
        <v>30000.0</v>
      </c>
    </row>
    <row r="1338">
      <c r="A1338" s="1">
        <v>478.0</v>
      </c>
      <c r="B1338" s="1" t="s">
        <v>806</v>
      </c>
      <c r="C1338" s="1" t="s">
        <v>810</v>
      </c>
      <c r="D1338" s="1" t="s">
        <v>812</v>
      </c>
      <c r="E1338" s="1">
        <v>1.0</v>
      </c>
      <c r="F1338" s="1">
        <v>0.0</v>
      </c>
      <c r="G1338" s="1" t="s">
        <v>809</v>
      </c>
      <c r="H1338" s="1" t="s">
        <v>809</v>
      </c>
      <c r="I1338" s="1" t="s">
        <v>809</v>
      </c>
      <c r="J1338" s="1" t="s">
        <v>809</v>
      </c>
      <c r="K1338" s="1">
        <v>1.0</v>
      </c>
      <c r="L1338" s="1">
        <v>30000.0</v>
      </c>
    </row>
    <row r="1339">
      <c r="A1339" s="1">
        <v>478.0</v>
      </c>
      <c r="B1339" s="1" t="s">
        <v>825</v>
      </c>
      <c r="C1339" s="1" t="s">
        <v>807</v>
      </c>
      <c r="D1339" s="1" t="s">
        <v>812</v>
      </c>
      <c r="E1339" s="1">
        <v>0.0</v>
      </c>
      <c r="F1339" s="1">
        <v>0.0</v>
      </c>
      <c r="G1339" s="1" t="s">
        <v>809</v>
      </c>
      <c r="H1339" s="1" t="s">
        <v>809</v>
      </c>
      <c r="I1339" s="1" t="s">
        <v>809</v>
      </c>
      <c r="J1339" s="1" t="s">
        <v>809</v>
      </c>
      <c r="K1339" s="1">
        <v>1.0</v>
      </c>
      <c r="L1339" s="1">
        <v>30000.0</v>
      </c>
    </row>
    <row r="1340">
      <c r="A1340" s="1">
        <v>478.0</v>
      </c>
      <c r="B1340" s="1" t="s">
        <v>825</v>
      </c>
      <c r="C1340" s="1" t="s">
        <v>810</v>
      </c>
      <c r="D1340" s="1" t="s">
        <v>812</v>
      </c>
      <c r="E1340" s="1">
        <v>0.0</v>
      </c>
      <c r="F1340" s="1">
        <v>0.0</v>
      </c>
      <c r="G1340" s="1" t="s">
        <v>809</v>
      </c>
      <c r="H1340" s="1" t="s">
        <v>809</v>
      </c>
      <c r="I1340" s="1" t="s">
        <v>809</v>
      </c>
      <c r="J1340" s="1" t="s">
        <v>809</v>
      </c>
      <c r="K1340" s="1">
        <v>1.0</v>
      </c>
      <c r="L1340" s="1">
        <v>30000.0</v>
      </c>
    </row>
    <row r="1341">
      <c r="A1341" s="1">
        <v>479.0</v>
      </c>
      <c r="B1341" s="1" t="s">
        <v>809</v>
      </c>
      <c r="C1341" s="1">
        <v>2.0</v>
      </c>
      <c r="D1341" s="1" t="s">
        <v>982</v>
      </c>
      <c r="E1341" s="1">
        <v>0.0</v>
      </c>
      <c r="F1341" s="1">
        <v>0.0</v>
      </c>
      <c r="G1341" s="1">
        <v>0.0</v>
      </c>
      <c r="H1341" s="1" t="s">
        <v>809</v>
      </c>
      <c r="I1341" s="1" t="s">
        <v>809</v>
      </c>
      <c r="J1341" s="1" t="s">
        <v>809</v>
      </c>
      <c r="K1341" s="1">
        <v>1.0</v>
      </c>
      <c r="L1341" s="1">
        <v>70000.0</v>
      </c>
    </row>
    <row r="1342">
      <c r="A1342" s="1">
        <v>480.0</v>
      </c>
      <c r="B1342" s="1" t="s">
        <v>806</v>
      </c>
      <c r="C1342" s="1" t="s">
        <v>807</v>
      </c>
      <c r="D1342" s="1" t="s">
        <v>1016</v>
      </c>
      <c r="E1342" s="1">
        <v>0.0</v>
      </c>
      <c r="F1342" s="1">
        <v>0.0</v>
      </c>
      <c r="G1342" s="1" t="s">
        <v>809</v>
      </c>
      <c r="H1342" s="1" t="s">
        <v>809</v>
      </c>
      <c r="I1342" s="1" t="s">
        <v>809</v>
      </c>
      <c r="J1342" s="1" t="s">
        <v>809</v>
      </c>
      <c r="K1342" s="1">
        <v>1.0</v>
      </c>
      <c r="L1342" s="1">
        <v>300000.0</v>
      </c>
    </row>
    <row r="1343">
      <c r="A1343" s="1">
        <v>480.0</v>
      </c>
      <c r="B1343" s="1" t="s">
        <v>806</v>
      </c>
      <c r="C1343" s="1" t="s">
        <v>810</v>
      </c>
      <c r="D1343" s="1" t="s">
        <v>1016</v>
      </c>
      <c r="E1343" s="1">
        <v>0.0</v>
      </c>
      <c r="F1343" s="1">
        <v>0.0</v>
      </c>
      <c r="G1343" s="1" t="s">
        <v>809</v>
      </c>
      <c r="H1343" s="1" t="s">
        <v>809</v>
      </c>
      <c r="I1343" s="1" t="s">
        <v>809</v>
      </c>
      <c r="J1343" s="1" t="s">
        <v>809</v>
      </c>
      <c r="K1343" s="1">
        <v>1.0</v>
      </c>
      <c r="L1343" s="1">
        <v>300000.0</v>
      </c>
    </row>
    <row r="1344">
      <c r="A1344" s="1">
        <v>480.0</v>
      </c>
      <c r="B1344" s="1" t="s">
        <v>806</v>
      </c>
      <c r="C1344" s="1" t="s">
        <v>809</v>
      </c>
      <c r="D1344" s="1" t="s">
        <v>929</v>
      </c>
      <c r="E1344" s="1" t="s">
        <v>809</v>
      </c>
      <c r="F1344" s="1" t="s">
        <v>809</v>
      </c>
      <c r="G1344" s="1" t="s">
        <v>809</v>
      </c>
      <c r="H1344" s="1" t="s">
        <v>809</v>
      </c>
      <c r="I1344" s="1" t="s">
        <v>809</v>
      </c>
      <c r="J1344" s="1" t="s">
        <v>809</v>
      </c>
      <c r="K1344" s="1">
        <v>1.0</v>
      </c>
      <c r="L1344" s="1">
        <v>165000.0</v>
      </c>
    </row>
    <row r="1345">
      <c r="A1345" s="1">
        <v>481.0</v>
      </c>
      <c r="B1345" s="1" t="s">
        <v>809</v>
      </c>
      <c r="C1345" s="1" t="s">
        <v>809</v>
      </c>
      <c r="D1345" s="1" t="s">
        <v>1029</v>
      </c>
      <c r="E1345" s="1" t="s">
        <v>809</v>
      </c>
      <c r="F1345" s="1" t="s">
        <v>809</v>
      </c>
      <c r="G1345" s="1" t="s">
        <v>809</v>
      </c>
      <c r="H1345" s="1" t="s">
        <v>809</v>
      </c>
      <c r="I1345" s="1" t="s">
        <v>809</v>
      </c>
      <c r="J1345" s="1" t="s">
        <v>809</v>
      </c>
      <c r="K1345" s="1">
        <v>1.0</v>
      </c>
      <c r="L1345" s="1">
        <v>11000.0</v>
      </c>
    </row>
    <row r="1346">
      <c r="A1346" s="1">
        <v>482.0</v>
      </c>
      <c r="B1346" s="1" t="s">
        <v>806</v>
      </c>
      <c r="C1346" s="1" t="s">
        <v>807</v>
      </c>
      <c r="D1346" s="1" t="s">
        <v>812</v>
      </c>
      <c r="E1346" s="1">
        <v>-0.25</v>
      </c>
      <c r="F1346" s="1">
        <v>-0.25</v>
      </c>
      <c r="G1346" s="1">
        <v>80.0</v>
      </c>
      <c r="H1346" s="1" t="s">
        <v>809</v>
      </c>
      <c r="I1346" s="1">
        <v>30.0</v>
      </c>
      <c r="J1346" s="1" t="s">
        <v>809</v>
      </c>
      <c r="K1346" s="1">
        <v>1.0</v>
      </c>
      <c r="L1346" s="1">
        <v>26000.0</v>
      </c>
    </row>
    <row r="1347">
      <c r="A1347" s="1">
        <v>482.0</v>
      </c>
      <c r="B1347" s="1" t="s">
        <v>806</v>
      </c>
      <c r="C1347" s="1" t="s">
        <v>810</v>
      </c>
      <c r="D1347" s="1" t="s">
        <v>812</v>
      </c>
      <c r="E1347" s="1">
        <v>-0.25</v>
      </c>
      <c r="F1347" s="1">
        <v>0.0</v>
      </c>
      <c r="G1347" s="1" t="s">
        <v>809</v>
      </c>
      <c r="H1347" s="1" t="s">
        <v>809</v>
      </c>
      <c r="I1347" s="1">
        <v>30.0</v>
      </c>
      <c r="J1347" s="1" t="s">
        <v>809</v>
      </c>
      <c r="K1347" s="1">
        <v>1.0</v>
      </c>
      <c r="L1347" s="1">
        <v>26000.0</v>
      </c>
    </row>
    <row r="1348">
      <c r="A1348" s="1">
        <v>482.0</v>
      </c>
      <c r="B1348" s="1" t="s">
        <v>806</v>
      </c>
      <c r="C1348" s="1" t="s">
        <v>809</v>
      </c>
      <c r="D1348" s="1" t="s">
        <v>1030</v>
      </c>
      <c r="E1348" s="1" t="s">
        <v>809</v>
      </c>
      <c r="F1348" s="1" t="s">
        <v>809</v>
      </c>
      <c r="G1348" s="1" t="s">
        <v>809</v>
      </c>
      <c r="H1348" s="1" t="s">
        <v>809</v>
      </c>
      <c r="I1348" s="1" t="s">
        <v>809</v>
      </c>
      <c r="J1348" s="1" t="s">
        <v>809</v>
      </c>
      <c r="K1348" s="1">
        <v>1.0</v>
      </c>
      <c r="L1348" s="1">
        <v>136000.0</v>
      </c>
    </row>
    <row r="1349">
      <c r="A1349" s="1">
        <v>482.0</v>
      </c>
      <c r="B1349" s="1" t="s">
        <v>825</v>
      </c>
      <c r="C1349" s="1" t="s">
        <v>807</v>
      </c>
      <c r="D1349" s="1" t="s">
        <v>808</v>
      </c>
      <c r="E1349" s="1">
        <v>0.0</v>
      </c>
      <c r="F1349" s="1">
        <v>0.0</v>
      </c>
      <c r="G1349" s="1" t="s">
        <v>809</v>
      </c>
      <c r="H1349" s="1" t="s">
        <v>809</v>
      </c>
      <c r="I1349" s="1" t="s">
        <v>809</v>
      </c>
      <c r="J1349" s="1" t="s">
        <v>809</v>
      </c>
      <c r="K1349" s="1">
        <v>1.0</v>
      </c>
      <c r="L1349" s="1">
        <v>0.0</v>
      </c>
    </row>
    <row r="1350">
      <c r="A1350" s="1">
        <v>482.0</v>
      </c>
      <c r="B1350" s="1" t="s">
        <v>825</v>
      </c>
      <c r="C1350" s="1" t="s">
        <v>810</v>
      </c>
      <c r="D1350" s="1" t="s">
        <v>808</v>
      </c>
      <c r="E1350" s="1">
        <v>0.0</v>
      </c>
      <c r="F1350" s="1">
        <v>0.0</v>
      </c>
      <c r="G1350" s="1" t="s">
        <v>809</v>
      </c>
      <c r="H1350" s="1" t="s">
        <v>809</v>
      </c>
      <c r="I1350" s="1" t="s">
        <v>809</v>
      </c>
      <c r="J1350" s="1" t="s">
        <v>809</v>
      </c>
      <c r="K1350" s="1">
        <v>1.0</v>
      </c>
      <c r="L1350" s="1">
        <v>0.0</v>
      </c>
    </row>
    <row r="1351">
      <c r="A1351" s="1">
        <v>482.0</v>
      </c>
      <c r="B1351" s="1" t="s">
        <v>825</v>
      </c>
      <c r="C1351" s="1" t="s">
        <v>809</v>
      </c>
      <c r="D1351" s="1" t="s">
        <v>1031</v>
      </c>
      <c r="E1351" s="1" t="s">
        <v>809</v>
      </c>
      <c r="F1351" s="1" t="s">
        <v>809</v>
      </c>
      <c r="G1351" s="1" t="s">
        <v>809</v>
      </c>
      <c r="H1351" s="1" t="s">
        <v>809</v>
      </c>
      <c r="I1351" s="1" t="s">
        <v>809</v>
      </c>
      <c r="J1351" s="1" t="s">
        <v>809</v>
      </c>
      <c r="K1351" s="1">
        <v>1.0</v>
      </c>
      <c r="L1351" s="1">
        <v>144000.0</v>
      </c>
    </row>
    <row r="1352">
      <c r="A1352" s="1">
        <v>483.0</v>
      </c>
      <c r="B1352" s="1" t="s">
        <v>809</v>
      </c>
      <c r="C1352" s="1" t="s">
        <v>809</v>
      </c>
      <c r="D1352" s="1" t="s">
        <v>1032</v>
      </c>
      <c r="E1352" s="1" t="s">
        <v>809</v>
      </c>
      <c r="F1352" s="1" t="s">
        <v>809</v>
      </c>
      <c r="G1352" s="1" t="s">
        <v>809</v>
      </c>
      <c r="H1352" s="1" t="s">
        <v>809</v>
      </c>
      <c r="I1352" s="1" t="s">
        <v>809</v>
      </c>
      <c r="J1352" s="1" t="s">
        <v>809</v>
      </c>
      <c r="K1352" s="1">
        <v>1.0</v>
      </c>
      <c r="L1352" s="1">
        <v>75000.0</v>
      </c>
    </row>
    <row r="1353">
      <c r="A1353" s="1">
        <v>484.0</v>
      </c>
      <c r="B1353" s="1" t="s">
        <v>809</v>
      </c>
      <c r="C1353" s="1" t="s">
        <v>809</v>
      </c>
      <c r="D1353" s="1" t="s">
        <v>1029</v>
      </c>
      <c r="E1353" s="1" t="s">
        <v>809</v>
      </c>
      <c r="F1353" s="1" t="s">
        <v>809</v>
      </c>
      <c r="G1353" s="1" t="s">
        <v>809</v>
      </c>
      <c r="H1353" s="1" t="s">
        <v>809</v>
      </c>
      <c r="I1353" s="1" t="s">
        <v>809</v>
      </c>
      <c r="J1353" s="1" t="s">
        <v>809</v>
      </c>
      <c r="K1353" s="1">
        <v>2.0</v>
      </c>
      <c r="L1353" s="1">
        <v>130000.0</v>
      </c>
    </row>
    <row r="1354">
      <c r="A1354" s="1">
        <v>485.0</v>
      </c>
      <c r="B1354" s="1" t="s">
        <v>809</v>
      </c>
      <c r="C1354" s="1">
        <v>2.0</v>
      </c>
      <c r="D1354" s="1" t="s">
        <v>982</v>
      </c>
      <c r="E1354" s="1">
        <v>0.0</v>
      </c>
      <c r="F1354" s="1">
        <v>0.0</v>
      </c>
      <c r="G1354" s="1">
        <v>0.0</v>
      </c>
      <c r="H1354" s="1" t="s">
        <v>809</v>
      </c>
      <c r="I1354" s="1" t="s">
        <v>809</v>
      </c>
      <c r="J1354" s="1" t="s">
        <v>809</v>
      </c>
      <c r="K1354" s="1">
        <v>1.0</v>
      </c>
      <c r="L1354" s="1">
        <v>72000.0</v>
      </c>
    </row>
    <row r="1355">
      <c r="A1355" s="1">
        <v>486.0</v>
      </c>
      <c r="B1355" s="1" t="s">
        <v>809</v>
      </c>
      <c r="C1355" s="1" t="s">
        <v>809</v>
      </c>
      <c r="D1355" s="1" t="s">
        <v>1029</v>
      </c>
      <c r="E1355" s="1" t="s">
        <v>809</v>
      </c>
      <c r="F1355" s="1" t="s">
        <v>809</v>
      </c>
      <c r="G1355" s="1" t="s">
        <v>809</v>
      </c>
      <c r="H1355" s="1" t="s">
        <v>809</v>
      </c>
      <c r="I1355" s="1" t="s">
        <v>809</v>
      </c>
      <c r="J1355" s="1" t="s">
        <v>809</v>
      </c>
      <c r="K1355" s="1">
        <v>1.0</v>
      </c>
      <c r="L1355" s="1">
        <v>120000.0</v>
      </c>
    </row>
    <row r="1356">
      <c r="A1356" s="1">
        <v>487.0</v>
      </c>
      <c r="B1356" s="1" t="s">
        <v>809</v>
      </c>
      <c r="C1356" s="1" t="s">
        <v>809</v>
      </c>
      <c r="D1356" s="1" t="s">
        <v>1033</v>
      </c>
      <c r="E1356" s="1" t="s">
        <v>809</v>
      </c>
      <c r="F1356" s="1" t="s">
        <v>809</v>
      </c>
      <c r="G1356" s="1" t="s">
        <v>809</v>
      </c>
      <c r="H1356" s="1" t="s">
        <v>809</v>
      </c>
      <c r="I1356" s="1" t="s">
        <v>809</v>
      </c>
      <c r="J1356" s="1" t="s">
        <v>809</v>
      </c>
      <c r="K1356" s="1">
        <v>1.0</v>
      </c>
      <c r="L1356" s="1">
        <v>172000.0</v>
      </c>
    </row>
    <row r="1357">
      <c r="A1357" s="1">
        <v>488.0</v>
      </c>
      <c r="B1357" s="1" t="s">
        <v>806</v>
      </c>
      <c r="C1357" s="1" t="s">
        <v>807</v>
      </c>
      <c r="D1357" s="1" t="s">
        <v>812</v>
      </c>
      <c r="E1357" s="1">
        <v>0.0</v>
      </c>
      <c r="F1357" s="1">
        <v>0.0</v>
      </c>
      <c r="G1357" s="1" t="s">
        <v>809</v>
      </c>
      <c r="H1357" s="1" t="s">
        <v>809</v>
      </c>
      <c r="I1357" s="1" t="s">
        <v>809</v>
      </c>
      <c r="J1357" s="1" t="s">
        <v>809</v>
      </c>
      <c r="K1357" s="1">
        <v>1.0</v>
      </c>
      <c r="L1357" s="1">
        <v>35000.0</v>
      </c>
    </row>
    <row r="1358">
      <c r="A1358" s="1">
        <v>488.0</v>
      </c>
      <c r="B1358" s="1" t="s">
        <v>806</v>
      </c>
      <c r="C1358" s="1" t="s">
        <v>810</v>
      </c>
      <c r="D1358" s="1" t="s">
        <v>812</v>
      </c>
      <c r="E1358" s="1">
        <v>0.0</v>
      </c>
      <c r="F1358" s="1">
        <v>0.0</v>
      </c>
      <c r="G1358" s="1" t="s">
        <v>809</v>
      </c>
      <c r="H1358" s="1" t="s">
        <v>809</v>
      </c>
      <c r="I1358" s="1" t="s">
        <v>809</v>
      </c>
      <c r="J1358" s="1" t="s">
        <v>809</v>
      </c>
      <c r="K1358" s="1">
        <v>1.0</v>
      </c>
      <c r="L1358" s="1">
        <v>35000.0</v>
      </c>
    </row>
    <row r="1359">
      <c r="A1359" s="1">
        <v>488.0</v>
      </c>
      <c r="B1359" s="1" t="s">
        <v>806</v>
      </c>
      <c r="C1359" s="1" t="s">
        <v>809</v>
      </c>
      <c r="D1359" s="1" t="s">
        <v>829</v>
      </c>
      <c r="E1359" s="1" t="s">
        <v>809</v>
      </c>
      <c r="F1359" s="1" t="s">
        <v>809</v>
      </c>
      <c r="G1359" s="1" t="s">
        <v>809</v>
      </c>
      <c r="H1359" s="1" t="s">
        <v>809</v>
      </c>
      <c r="I1359" s="1" t="s">
        <v>809</v>
      </c>
      <c r="J1359" s="1" t="s">
        <v>809</v>
      </c>
      <c r="K1359" s="1">
        <v>1.0</v>
      </c>
      <c r="L1359" s="1">
        <v>130000.0</v>
      </c>
    </row>
    <row r="1360">
      <c r="A1360" s="1">
        <v>489.0</v>
      </c>
      <c r="B1360" s="1" t="s">
        <v>806</v>
      </c>
      <c r="C1360" s="1" t="s">
        <v>807</v>
      </c>
      <c r="D1360" s="1" t="s">
        <v>812</v>
      </c>
      <c r="E1360" s="1">
        <v>0.0</v>
      </c>
      <c r="F1360" s="1">
        <v>0.0</v>
      </c>
      <c r="G1360" s="1" t="s">
        <v>809</v>
      </c>
      <c r="H1360" s="1" t="s">
        <v>809</v>
      </c>
      <c r="I1360" s="1" t="s">
        <v>809</v>
      </c>
      <c r="J1360" s="1" t="s">
        <v>809</v>
      </c>
      <c r="K1360" s="1">
        <v>1.0</v>
      </c>
      <c r="L1360" s="1">
        <v>35500.0</v>
      </c>
    </row>
    <row r="1361">
      <c r="A1361" s="1">
        <v>489.0</v>
      </c>
      <c r="B1361" s="1" t="s">
        <v>806</v>
      </c>
      <c r="C1361" s="1" t="s">
        <v>810</v>
      </c>
      <c r="D1361" s="1" t="s">
        <v>812</v>
      </c>
      <c r="E1361" s="1">
        <v>0.0</v>
      </c>
      <c r="F1361" s="1">
        <v>0.0</v>
      </c>
      <c r="G1361" s="1" t="s">
        <v>809</v>
      </c>
      <c r="H1361" s="1" t="s">
        <v>809</v>
      </c>
      <c r="I1361" s="1" t="s">
        <v>809</v>
      </c>
      <c r="J1361" s="1" t="s">
        <v>809</v>
      </c>
      <c r="K1361" s="1">
        <v>1.0</v>
      </c>
      <c r="L1361" s="1">
        <v>35500.0</v>
      </c>
    </row>
    <row r="1362">
      <c r="A1362" s="1">
        <v>490.0</v>
      </c>
      <c r="B1362" s="1" t="s">
        <v>806</v>
      </c>
      <c r="C1362" s="1" t="s">
        <v>807</v>
      </c>
      <c r="D1362" s="1" t="s">
        <v>946</v>
      </c>
      <c r="E1362" s="1">
        <v>0.0</v>
      </c>
      <c r="F1362" s="1">
        <v>0.0</v>
      </c>
      <c r="G1362" s="1" t="s">
        <v>809</v>
      </c>
      <c r="H1362" s="1" t="s">
        <v>809</v>
      </c>
      <c r="I1362" s="1" t="s">
        <v>809</v>
      </c>
      <c r="J1362" s="1" t="s">
        <v>809</v>
      </c>
      <c r="K1362" s="1">
        <v>1.0</v>
      </c>
      <c r="L1362" s="1">
        <v>117000.0</v>
      </c>
    </row>
    <row r="1363">
      <c r="A1363" s="1">
        <v>490.0</v>
      </c>
      <c r="B1363" s="1" t="s">
        <v>806</v>
      </c>
      <c r="C1363" s="1" t="s">
        <v>810</v>
      </c>
      <c r="D1363" s="1" t="s">
        <v>946</v>
      </c>
      <c r="E1363" s="1">
        <v>0.0</v>
      </c>
      <c r="F1363" s="1">
        <v>0.0</v>
      </c>
      <c r="G1363" s="1" t="s">
        <v>809</v>
      </c>
      <c r="H1363" s="1" t="s">
        <v>809</v>
      </c>
      <c r="I1363" s="1" t="s">
        <v>809</v>
      </c>
      <c r="J1363" s="1" t="s">
        <v>809</v>
      </c>
      <c r="K1363" s="1">
        <v>1.0</v>
      </c>
      <c r="L1363" s="1">
        <v>117000.0</v>
      </c>
    </row>
    <row r="1364">
      <c r="A1364" s="1">
        <v>490.0</v>
      </c>
      <c r="B1364" s="1" t="s">
        <v>806</v>
      </c>
      <c r="C1364" s="1" t="s">
        <v>809</v>
      </c>
      <c r="D1364" s="1" t="s">
        <v>929</v>
      </c>
      <c r="E1364" s="1" t="s">
        <v>809</v>
      </c>
      <c r="F1364" s="1" t="s">
        <v>809</v>
      </c>
      <c r="G1364" s="1" t="s">
        <v>809</v>
      </c>
      <c r="H1364" s="1" t="s">
        <v>809</v>
      </c>
      <c r="I1364" s="1" t="s">
        <v>809</v>
      </c>
      <c r="J1364" s="1" t="s">
        <v>809</v>
      </c>
      <c r="K1364" s="1">
        <v>1.0</v>
      </c>
      <c r="L1364" s="1">
        <v>220000.0</v>
      </c>
    </row>
    <row r="1365">
      <c r="A1365" s="1">
        <v>491.0</v>
      </c>
      <c r="B1365" s="1" t="s">
        <v>806</v>
      </c>
      <c r="C1365" s="1" t="s">
        <v>807</v>
      </c>
      <c r="D1365" s="1" t="s">
        <v>812</v>
      </c>
      <c r="E1365" s="1">
        <v>-1.5</v>
      </c>
      <c r="F1365" s="1">
        <v>0.0</v>
      </c>
      <c r="G1365" s="1" t="s">
        <v>809</v>
      </c>
      <c r="H1365" s="1" t="s">
        <v>809</v>
      </c>
      <c r="I1365" s="1" t="s">
        <v>809</v>
      </c>
      <c r="J1365" s="1" t="s">
        <v>809</v>
      </c>
      <c r="K1365" s="1">
        <v>1.0</v>
      </c>
      <c r="L1365" s="1">
        <v>30000.0</v>
      </c>
    </row>
    <row r="1366">
      <c r="A1366" s="1">
        <v>491.0</v>
      </c>
      <c r="B1366" s="1" t="s">
        <v>806</v>
      </c>
      <c r="C1366" s="1" t="s">
        <v>810</v>
      </c>
      <c r="D1366" s="1" t="s">
        <v>812</v>
      </c>
      <c r="E1366" s="1">
        <v>-1.0</v>
      </c>
      <c r="F1366" s="1">
        <v>0.0</v>
      </c>
      <c r="G1366" s="1" t="s">
        <v>809</v>
      </c>
      <c r="H1366" s="1" t="s">
        <v>809</v>
      </c>
      <c r="I1366" s="1" t="s">
        <v>809</v>
      </c>
      <c r="J1366" s="1" t="s">
        <v>809</v>
      </c>
      <c r="K1366" s="1">
        <v>1.0</v>
      </c>
      <c r="L1366" s="1">
        <v>30000.0</v>
      </c>
    </row>
    <row r="1367">
      <c r="A1367" s="1">
        <v>491.0</v>
      </c>
      <c r="B1367" s="1" t="s">
        <v>806</v>
      </c>
      <c r="C1367" s="1" t="s">
        <v>809</v>
      </c>
      <c r="D1367" s="1" t="s">
        <v>1034</v>
      </c>
      <c r="E1367" s="1" t="s">
        <v>809</v>
      </c>
      <c r="F1367" s="1" t="s">
        <v>809</v>
      </c>
      <c r="G1367" s="1" t="s">
        <v>809</v>
      </c>
      <c r="H1367" s="1" t="s">
        <v>809</v>
      </c>
      <c r="I1367" s="1" t="s">
        <v>809</v>
      </c>
      <c r="J1367" s="1" t="s">
        <v>809</v>
      </c>
      <c r="K1367" s="1">
        <v>1.0</v>
      </c>
      <c r="L1367" s="1">
        <v>140000.0</v>
      </c>
    </row>
    <row r="1368">
      <c r="A1368" s="1">
        <v>492.0</v>
      </c>
      <c r="B1368" s="1" t="s">
        <v>806</v>
      </c>
      <c r="C1368" s="1" t="s">
        <v>807</v>
      </c>
      <c r="D1368" s="1" t="s">
        <v>1016</v>
      </c>
      <c r="E1368" s="1">
        <v>0.0</v>
      </c>
      <c r="F1368" s="1">
        <v>0.0</v>
      </c>
      <c r="G1368" s="1" t="s">
        <v>809</v>
      </c>
      <c r="H1368" s="1" t="s">
        <v>809</v>
      </c>
      <c r="I1368" s="1" t="s">
        <v>809</v>
      </c>
      <c r="J1368" s="1" t="s">
        <v>809</v>
      </c>
      <c r="K1368" s="1">
        <v>1.0</v>
      </c>
      <c r="L1368" s="1">
        <v>350000.0</v>
      </c>
    </row>
    <row r="1369">
      <c r="A1369" s="1">
        <v>492.0</v>
      </c>
      <c r="B1369" s="1" t="s">
        <v>806</v>
      </c>
      <c r="C1369" s="1" t="s">
        <v>810</v>
      </c>
      <c r="D1369" s="1" t="s">
        <v>1016</v>
      </c>
      <c r="E1369" s="1">
        <v>0.0</v>
      </c>
      <c r="F1369" s="1">
        <v>0.0</v>
      </c>
      <c r="G1369" s="1" t="s">
        <v>809</v>
      </c>
      <c r="H1369" s="1" t="s">
        <v>809</v>
      </c>
      <c r="I1369" s="1" t="s">
        <v>809</v>
      </c>
      <c r="J1369" s="1" t="s">
        <v>809</v>
      </c>
      <c r="K1369" s="1">
        <v>1.0</v>
      </c>
      <c r="L1369" s="1">
        <v>350000.0</v>
      </c>
    </row>
    <row r="1370">
      <c r="A1370" s="1">
        <v>492.0</v>
      </c>
      <c r="B1370" s="1" t="s">
        <v>806</v>
      </c>
      <c r="C1370" s="1" t="s">
        <v>809</v>
      </c>
      <c r="D1370" s="1" t="s">
        <v>829</v>
      </c>
      <c r="E1370" s="1" t="s">
        <v>809</v>
      </c>
      <c r="F1370" s="1" t="s">
        <v>809</v>
      </c>
      <c r="G1370" s="1" t="s">
        <v>809</v>
      </c>
      <c r="H1370" s="1" t="s">
        <v>809</v>
      </c>
      <c r="I1370" s="1" t="s">
        <v>809</v>
      </c>
      <c r="J1370" s="1" t="s">
        <v>809</v>
      </c>
      <c r="K1370" s="1">
        <v>1.0</v>
      </c>
      <c r="L1370" s="1">
        <v>130000.0</v>
      </c>
    </row>
    <row r="1371">
      <c r="A1371" s="1">
        <v>493.0</v>
      </c>
      <c r="B1371" s="1" t="s">
        <v>809</v>
      </c>
      <c r="C1371" s="1" t="s">
        <v>809</v>
      </c>
      <c r="D1371" s="1" t="s">
        <v>1029</v>
      </c>
      <c r="E1371" s="1" t="s">
        <v>809</v>
      </c>
      <c r="F1371" s="1" t="s">
        <v>809</v>
      </c>
      <c r="G1371" s="1" t="s">
        <v>809</v>
      </c>
      <c r="H1371" s="1" t="s">
        <v>809</v>
      </c>
      <c r="I1371" s="1" t="s">
        <v>809</v>
      </c>
      <c r="J1371" s="1" t="s">
        <v>809</v>
      </c>
      <c r="K1371" s="1">
        <v>1.0</v>
      </c>
      <c r="L1371" s="1">
        <v>120000.0</v>
      </c>
    </row>
    <row r="1372">
      <c r="A1372" s="1">
        <v>494.0</v>
      </c>
      <c r="B1372" s="1" t="s">
        <v>825</v>
      </c>
      <c r="C1372" s="1" t="s">
        <v>807</v>
      </c>
      <c r="D1372" s="1" t="s">
        <v>808</v>
      </c>
      <c r="E1372" s="1">
        <v>0.0</v>
      </c>
      <c r="F1372" s="1">
        <v>0.0</v>
      </c>
      <c r="G1372" s="1" t="s">
        <v>809</v>
      </c>
      <c r="H1372" s="1" t="s">
        <v>809</v>
      </c>
      <c r="I1372" s="1" t="s">
        <v>809</v>
      </c>
      <c r="J1372" s="1" t="s">
        <v>809</v>
      </c>
      <c r="K1372" s="1">
        <v>1.0</v>
      </c>
      <c r="L1372" s="1">
        <v>11500.0</v>
      </c>
    </row>
    <row r="1373">
      <c r="A1373" s="1">
        <v>494.0</v>
      </c>
      <c r="B1373" s="1" t="s">
        <v>825</v>
      </c>
      <c r="C1373" s="1" t="s">
        <v>810</v>
      </c>
      <c r="D1373" s="1" t="s">
        <v>808</v>
      </c>
      <c r="E1373" s="1">
        <v>0.0</v>
      </c>
      <c r="F1373" s="1">
        <v>0.0</v>
      </c>
      <c r="G1373" s="1" t="s">
        <v>809</v>
      </c>
      <c r="H1373" s="1" t="s">
        <v>809</v>
      </c>
      <c r="I1373" s="1" t="s">
        <v>809</v>
      </c>
      <c r="J1373" s="1" t="s">
        <v>809</v>
      </c>
      <c r="K1373" s="1">
        <v>1.0</v>
      </c>
      <c r="L1373" s="1">
        <v>11500.0</v>
      </c>
    </row>
    <row r="1374">
      <c r="A1374" s="1">
        <v>495.0</v>
      </c>
      <c r="B1374" s="1" t="s">
        <v>806</v>
      </c>
      <c r="C1374" s="1" t="s">
        <v>807</v>
      </c>
      <c r="D1374" s="1" t="s">
        <v>815</v>
      </c>
      <c r="E1374" s="1">
        <v>0.0</v>
      </c>
      <c r="F1374" s="1">
        <v>0.0</v>
      </c>
      <c r="G1374" s="1" t="s">
        <v>809</v>
      </c>
      <c r="H1374" s="1" t="s">
        <v>809</v>
      </c>
      <c r="I1374" s="1" t="s">
        <v>809</v>
      </c>
      <c r="J1374" s="1" t="s">
        <v>809</v>
      </c>
      <c r="K1374" s="1">
        <v>1.0</v>
      </c>
      <c r="L1374" s="1">
        <v>650000.0</v>
      </c>
    </row>
    <row r="1375">
      <c r="A1375" s="1">
        <v>495.0</v>
      </c>
      <c r="B1375" s="1" t="s">
        <v>806</v>
      </c>
      <c r="C1375" s="1" t="s">
        <v>810</v>
      </c>
      <c r="D1375" s="1" t="s">
        <v>815</v>
      </c>
      <c r="E1375" s="1">
        <v>0.0</v>
      </c>
      <c r="F1375" s="1">
        <v>0.0</v>
      </c>
      <c r="G1375" s="1" t="s">
        <v>809</v>
      </c>
      <c r="H1375" s="1" t="s">
        <v>809</v>
      </c>
      <c r="I1375" s="1" t="s">
        <v>809</v>
      </c>
      <c r="J1375" s="1" t="s">
        <v>809</v>
      </c>
      <c r="K1375" s="1">
        <v>1.0</v>
      </c>
      <c r="L1375" s="1">
        <v>650000.0</v>
      </c>
    </row>
    <row r="1376">
      <c r="A1376" s="1">
        <v>495.0</v>
      </c>
      <c r="B1376" s="1" t="s">
        <v>806</v>
      </c>
      <c r="C1376" s="1" t="s">
        <v>809</v>
      </c>
      <c r="D1376" s="1" t="s">
        <v>829</v>
      </c>
      <c r="E1376" s="1" t="s">
        <v>809</v>
      </c>
      <c r="F1376" s="1" t="s">
        <v>809</v>
      </c>
      <c r="G1376" s="1" t="s">
        <v>809</v>
      </c>
      <c r="H1376" s="1" t="s">
        <v>809</v>
      </c>
      <c r="I1376" s="1" t="s">
        <v>809</v>
      </c>
      <c r="J1376" s="1" t="s">
        <v>809</v>
      </c>
      <c r="K1376" s="1">
        <v>1.0</v>
      </c>
      <c r="L1376" s="1">
        <v>0.0</v>
      </c>
    </row>
    <row r="1377">
      <c r="A1377" s="1">
        <v>496.0</v>
      </c>
      <c r="B1377" s="1" t="s">
        <v>809</v>
      </c>
      <c r="C1377" s="1" t="s">
        <v>809</v>
      </c>
      <c r="D1377" s="1" t="s">
        <v>1033</v>
      </c>
      <c r="E1377" s="1" t="s">
        <v>809</v>
      </c>
      <c r="F1377" s="1" t="s">
        <v>809</v>
      </c>
      <c r="G1377" s="1" t="s">
        <v>809</v>
      </c>
      <c r="H1377" s="1" t="s">
        <v>809</v>
      </c>
      <c r="I1377" s="1" t="s">
        <v>809</v>
      </c>
      <c r="J1377" s="1" t="s">
        <v>809</v>
      </c>
      <c r="K1377" s="1">
        <v>1.0</v>
      </c>
      <c r="L1377" s="1">
        <v>137000.0</v>
      </c>
    </row>
    <row r="1378">
      <c r="A1378" s="1">
        <v>496.0</v>
      </c>
      <c r="B1378" s="1" t="s">
        <v>809</v>
      </c>
      <c r="C1378" s="1" t="s">
        <v>809</v>
      </c>
      <c r="D1378" s="1" t="s">
        <v>880</v>
      </c>
      <c r="E1378" s="1" t="s">
        <v>809</v>
      </c>
      <c r="F1378" s="1" t="s">
        <v>809</v>
      </c>
      <c r="G1378" s="1" t="s">
        <v>809</v>
      </c>
      <c r="H1378" s="1" t="s">
        <v>809</v>
      </c>
      <c r="I1378" s="1" t="s">
        <v>809</v>
      </c>
      <c r="J1378" s="1" t="s">
        <v>809</v>
      </c>
      <c r="K1378" s="1">
        <v>1.0</v>
      </c>
      <c r="L1378" s="1">
        <v>25900.0</v>
      </c>
    </row>
    <row r="1379">
      <c r="A1379" s="1">
        <v>497.0</v>
      </c>
      <c r="B1379" s="1" t="s">
        <v>806</v>
      </c>
      <c r="C1379" s="1" t="s">
        <v>807</v>
      </c>
      <c r="D1379" s="1" t="s">
        <v>812</v>
      </c>
      <c r="E1379" s="1">
        <v>0.0</v>
      </c>
      <c r="F1379" s="1">
        <v>0.0</v>
      </c>
      <c r="G1379" s="1" t="s">
        <v>809</v>
      </c>
      <c r="H1379" s="1" t="s">
        <v>809</v>
      </c>
      <c r="I1379" s="1" t="s">
        <v>809</v>
      </c>
      <c r="J1379" s="1" t="s">
        <v>809</v>
      </c>
      <c r="K1379" s="1">
        <v>1.0</v>
      </c>
      <c r="L1379" s="1">
        <v>65000.0</v>
      </c>
    </row>
    <row r="1380">
      <c r="A1380" s="1">
        <v>497.0</v>
      </c>
      <c r="B1380" s="1" t="s">
        <v>806</v>
      </c>
      <c r="C1380" s="1" t="s">
        <v>810</v>
      </c>
      <c r="D1380" s="1" t="s">
        <v>812</v>
      </c>
      <c r="E1380" s="1">
        <v>0.0</v>
      </c>
      <c r="F1380" s="1">
        <v>0.0</v>
      </c>
      <c r="G1380" s="1" t="s">
        <v>809</v>
      </c>
      <c r="H1380" s="1" t="s">
        <v>809</v>
      </c>
      <c r="I1380" s="1" t="s">
        <v>809</v>
      </c>
      <c r="J1380" s="1" t="s">
        <v>809</v>
      </c>
      <c r="K1380" s="1">
        <v>1.0</v>
      </c>
      <c r="L1380" s="1">
        <v>0.0</v>
      </c>
    </row>
    <row r="1381">
      <c r="A1381" s="1">
        <v>497.0</v>
      </c>
      <c r="B1381" s="1" t="s">
        <v>825</v>
      </c>
      <c r="C1381" s="1" t="s">
        <v>807</v>
      </c>
      <c r="D1381" s="1" t="s">
        <v>812</v>
      </c>
      <c r="E1381" s="1">
        <v>0.0</v>
      </c>
      <c r="F1381" s="1">
        <v>0.0</v>
      </c>
      <c r="G1381" s="1" t="s">
        <v>809</v>
      </c>
      <c r="H1381" s="1" t="s">
        <v>809</v>
      </c>
      <c r="I1381" s="1" t="s">
        <v>809</v>
      </c>
      <c r="J1381" s="1" t="s">
        <v>809</v>
      </c>
      <c r="K1381" s="1">
        <v>1.0</v>
      </c>
      <c r="L1381" s="1">
        <v>65000.0</v>
      </c>
    </row>
    <row r="1382">
      <c r="A1382" s="1">
        <v>497.0</v>
      </c>
      <c r="B1382" s="1" t="s">
        <v>825</v>
      </c>
      <c r="C1382" s="1" t="s">
        <v>810</v>
      </c>
      <c r="D1382" s="1" t="s">
        <v>812</v>
      </c>
      <c r="E1382" s="1">
        <v>0.0</v>
      </c>
      <c r="F1382" s="1">
        <v>0.0</v>
      </c>
      <c r="G1382" s="1" t="s">
        <v>809</v>
      </c>
      <c r="H1382" s="1" t="s">
        <v>809</v>
      </c>
      <c r="I1382" s="1" t="s">
        <v>809</v>
      </c>
      <c r="J1382" s="1" t="s">
        <v>809</v>
      </c>
      <c r="K1382" s="1">
        <v>1.0</v>
      </c>
      <c r="L1382" s="1">
        <v>0.0</v>
      </c>
    </row>
    <row r="1383">
      <c r="A1383" s="1">
        <v>498.0</v>
      </c>
      <c r="B1383" s="1" t="s">
        <v>825</v>
      </c>
      <c r="C1383" s="1" t="s">
        <v>807</v>
      </c>
      <c r="D1383" s="1" t="s">
        <v>836</v>
      </c>
      <c r="E1383" s="1">
        <v>0.0</v>
      </c>
      <c r="F1383" s="1">
        <v>0.0</v>
      </c>
      <c r="G1383" s="1" t="s">
        <v>809</v>
      </c>
      <c r="H1383" s="1" t="s">
        <v>809</v>
      </c>
      <c r="I1383" s="1" t="s">
        <v>809</v>
      </c>
      <c r="J1383" s="1" t="s">
        <v>809</v>
      </c>
      <c r="K1383" s="1">
        <v>1.0</v>
      </c>
      <c r="L1383" s="1">
        <v>45000.0</v>
      </c>
    </row>
    <row r="1384">
      <c r="A1384" s="1">
        <v>498.0</v>
      </c>
      <c r="B1384" s="1" t="s">
        <v>825</v>
      </c>
      <c r="C1384" s="1" t="s">
        <v>810</v>
      </c>
      <c r="D1384" s="1" t="s">
        <v>836</v>
      </c>
      <c r="E1384" s="1">
        <v>0.0</v>
      </c>
      <c r="F1384" s="1">
        <v>0.0</v>
      </c>
      <c r="G1384" s="1" t="s">
        <v>809</v>
      </c>
      <c r="H1384" s="1" t="s">
        <v>809</v>
      </c>
      <c r="I1384" s="1" t="s">
        <v>809</v>
      </c>
      <c r="J1384" s="1" t="s">
        <v>809</v>
      </c>
      <c r="K1384" s="1">
        <v>1.0</v>
      </c>
      <c r="L1384" s="1">
        <v>45000.0</v>
      </c>
    </row>
    <row r="1385">
      <c r="A1385" s="1">
        <v>498.0</v>
      </c>
      <c r="B1385" s="1" t="s">
        <v>825</v>
      </c>
      <c r="C1385" s="1" t="s">
        <v>809</v>
      </c>
      <c r="D1385" s="1" t="s">
        <v>912</v>
      </c>
      <c r="E1385" s="1" t="s">
        <v>809</v>
      </c>
      <c r="F1385" s="1" t="s">
        <v>809</v>
      </c>
      <c r="G1385" s="1" t="s">
        <v>809</v>
      </c>
      <c r="H1385" s="1" t="s">
        <v>809</v>
      </c>
      <c r="I1385" s="1" t="s">
        <v>809</v>
      </c>
      <c r="J1385" s="1" t="s">
        <v>809</v>
      </c>
      <c r="K1385" s="1">
        <v>1.0</v>
      </c>
      <c r="L1385" s="1">
        <v>98000.0</v>
      </c>
    </row>
    <row r="1386">
      <c r="A1386" s="1">
        <v>499.0</v>
      </c>
      <c r="B1386" s="1" t="s">
        <v>806</v>
      </c>
      <c r="C1386" s="1" t="s">
        <v>807</v>
      </c>
      <c r="D1386" s="1" t="s">
        <v>836</v>
      </c>
      <c r="E1386" s="1">
        <v>0.0</v>
      </c>
      <c r="F1386" s="1">
        <v>0.0</v>
      </c>
      <c r="G1386" s="1" t="s">
        <v>809</v>
      </c>
      <c r="H1386" s="1" t="s">
        <v>809</v>
      </c>
      <c r="I1386" s="1" t="s">
        <v>809</v>
      </c>
      <c r="J1386" s="1" t="s">
        <v>809</v>
      </c>
      <c r="K1386" s="1">
        <v>1.0</v>
      </c>
      <c r="L1386" s="1">
        <v>75000.0</v>
      </c>
    </row>
    <row r="1387">
      <c r="A1387" s="1">
        <v>499.0</v>
      </c>
      <c r="B1387" s="1" t="s">
        <v>806</v>
      </c>
      <c r="C1387" s="1" t="s">
        <v>810</v>
      </c>
      <c r="D1387" s="1" t="s">
        <v>836</v>
      </c>
      <c r="E1387" s="1">
        <v>0.0</v>
      </c>
      <c r="F1387" s="1">
        <v>0.0</v>
      </c>
      <c r="G1387" s="1" t="s">
        <v>809</v>
      </c>
      <c r="H1387" s="1" t="s">
        <v>809</v>
      </c>
      <c r="I1387" s="1" t="s">
        <v>809</v>
      </c>
      <c r="J1387" s="1" t="s">
        <v>809</v>
      </c>
      <c r="K1387" s="1">
        <v>1.0</v>
      </c>
      <c r="L1387" s="1">
        <v>0.0</v>
      </c>
    </row>
    <row r="1388">
      <c r="A1388" s="1">
        <v>499.0</v>
      </c>
      <c r="B1388" s="1" t="s">
        <v>806</v>
      </c>
      <c r="C1388" s="1" t="s">
        <v>809</v>
      </c>
      <c r="D1388" s="1" t="s">
        <v>829</v>
      </c>
      <c r="E1388" s="1" t="s">
        <v>809</v>
      </c>
      <c r="F1388" s="1" t="s">
        <v>809</v>
      </c>
      <c r="G1388" s="1" t="s">
        <v>809</v>
      </c>
      <c r="H1388" s="1" t="s">
        <v>809</v>
      </c>
      <c r="I1388" s="1" t="s">
        <v>809</v>
      </c>
      <c r="J1388" s="1" t="s">
        <v>809</v>
      </c>
      <c r="K1388" s="1">
        <v>1.0</v>
      </c>
      <c r="L1388" s="1">
        <v>150000.0</v>
      </c>
    </row>
    <row r="1389">
      <c r="A1389" s="1">
        <v>500.0</v>
      </c>
      <c r="B1389" s="1" t="s">
        <v>806</v>
      </c>
      <c r="C1389" s="1" t="s">
        <v>807</v>
      </c>
      <c r="D1389" s="1" t="s">
        <v>812</v>
      </c>
      <c r="E1389" s="1">
        <v>-0.5</v>
      </c>
      <c r="F1389" s="1">
        <v>-0.5</v>
      </c>
      <c r="G1389" s="1">
        <v>0.0</v>
      </c>
      <c r="H1389" s="1" t="s">
        <v>809</v>
      </c>
      <c r="I1389" s="1" t="s">
        <v>809</v>
      </c>
      <c r="J1389" s="1" t="s">
        <v>809</v>
      </c>
      <c r="K1389" s="1">
        <v>1.0</v>
      </c>
      <c r="L1389" s="1">
        <v>30000.0</v>
      </c>
    </row>
    <row r="1390">
      <c r="A1390" s="1">
        <v>500.0</v>
      </c>
      <c r="B1390" s="1" t="s">
        <v>806</v>
      </c>
      <c r="C1390" s="1" t="s">
        <v>810</v>
      </c>
      <c r="D1390" s="1" t="s">
        <v>812</v>
      </c>
      <c r="E1390" s="1">
        <v>-0.5</v>
      </c>
      <c r="F1390" s="1">
        <v>-0.5</v>
      </c>
      <c r="G1390" s="1">
        <v>0.0</v>
      </c>
      <c r="H1390" s="1" t="s">
        <v>809</v>
      </c>
      <c r="I1390" s="1" t="s">
        <v>809</v>
      </c>
      <c r="J1390" s="1" t="s">
        <v>809</v>
      </c>
      <c r="K1390" s="1">
        <v>1.0</v>
      </c>
      <c r="L1390" s="1">
        <v>30000.0</v>
      </c>
    </row>
    <row r="1391">
      <c r="A1391" s="1">
        <v>500.0</v>
      </c>
      <c r="B1391" s="1" t="s">
        <v>806</v>
      </c>
      <c r="C1391" s="1" t="s">
        <v>809</v>
      </c>
      <c r="D1391" s="1" t="s">
        <v>1035</v>
      </c>
      <c r="E1391" s="1" t="s">
        <v>809</v>
      </c>
      <c r="F1391" s="1" t="s">
        <v>809</v>
      </c>
      <c r="G1391" s="1" t="s">
        <v>809</v>
      </c>
      <c r="H1391" s="1" t="s">
        <v>809</v>
      </c>
      <c r="I1391" s="1" t="s">
        <v>809</v>
      </c>
      <c r="J1391" s="1" t="s">
        <v>809</v>
      </c>
      <c r="K1391" s="1">
        <v>1.0</v>
      </c>
      <c r="L1391" s="1">
        <v>160000.0</v>
      </c>
    </row>
    <row r="1392">
      <c r="A1392" s="1">
        <v>501.0</v>
      </c>
      <c r="B1392" s="1" t="s">
        <v>809</v>
      </c>
      <c r="C1392" s="1" t="s">
        <v>809</v>
      </c>
      <c r="D1392" s="1" t="s">
        <v>1029</v>
      </c>
      <c r="E1392" s="1" t="s">
        <v>809</v>
      </c>
      <c r="F1392" s="1" t="s">
        <v>809</v>
      </c>
      <c r="G1392" s="1" t="s">
        <v>809</v>
      </c>
      <c r="H1392" s="1" t="s">
        <v>809</v>
      </c>
      <c r="I1392" s="1" t="s">
        <v>809</v>
      </c>
      <c r="J1392" s="1" t="s">
        <v>809</v>
      </c>
      <c r="K1392" s="1">
        <v>1.0</v>
      </c>
      <c r="L1392" s="1">
        <v>160000.0</v>
      </c>
    </row>
    <row r="1393">
      <c r="A1393" s="1">
        <v>501.0</v>
      </c>
      <c r="B1393" s="1" t="s">
        <v>809</v>
      </c>
      <c r="C1393" s="1" t="s">
        <v>809</v>
      </c>
      <c r="D1393" s="1" t="s">
        <v>880</v>
      </c>
      <c r="E1393" s="1" t="s">
        <v>809</v>
      </c>
      <c r="F1393" s="1" t="s">
        <v>809</v>
      </c>
      <c r="G1393" s="1" t="s">
        <v>809</v>
      </c>
      <c r="H1393" s="1" t="s">
        <v>809</v>
      </c>
      <c r="I1393" s="1" t="s">
        <v>809</v>
      </c>
      <c r="J1393" s="1" t="s">
        <v>809</v>
      </c>
      <c r="K1393" s="1">
        <v>1.0</v>
      </c>
      <c r="L1393" s="1">
        <v>90000.0</v>
      </c>
    </row>
    <row r="1394">
      <c r="A1394" s="1">
        <v>502.0</v>
      </c>
      <c r="B1394" s="1" t="s">
        <v>806</v>
      </c>
      <c r="C1394" s="1" t="s">
        <v>807</v>
      </c>
      <c r="D1394" s="1" t="s">
        <v>1012</v>
      </c>
      <c r="E1394" s="1">
        <v>-4.25</v>
      </c>
      <c r="F1394" s="1">
        <v>-0.25</v>
      </c>
      <c r="G1394" s="1">
        <v>150.0</v>
      </c>
      <c r="H1394" s="1" t="s">
        <v>809</v>
      </c>
      <c r="I1394" s="1">
        <v>28.0</v>
      </c>
      <c r="J1394" s="1" t="s">
        <v>809</v>
      </c>
      <c r="K1394" s="1">
        <v>1.0</v>
      </c>
      <c r="L1394" s="1">
        <v>190000.0</v>
      </c>
    </row>
    <row r="1395">
      <c r="A1395" s="1">
        <v>502.0</v>
      </c>
      <c r="B1395" s="1" t="s">
        <v>806</v>
      </c>
      <c r="C1395" s="1" t="s">
        <v>810</v>
      </c>
      <c r="D1395" s="1" t="s">
        <v>1012</v>
      </c>
      <c r="E1395" s="1">
        <v>-3.75</v>
      </c>
      <c r="F1395" s="1">
        <v>-0.25</v>
      </c>
      <c r="G1395" s="1">
        <v>125.0</v>
      </c>
      <c r="H1395" s="1" t="s">
        <v>809</v>
      </c>
      <c r="I1395" s="1">
        <v>30.0</v>
      </c>
      <c r="J1395" s="1" t="s">
        <v>809</v>
      </c>
      <c r="K1395" s="1">
        <v>1.0</v>
      </c>
      <c r="L1395" s="1">
        <v>190000.0</v>
      </c>
    </row>
    <row r="1396">
      <c r="A1396" s="1">
        <v>502.0</v>
      </c>
      <c r="B1396" s="1" t="s">
        <v>806</v>
      </c>
      <c r="C1396" s="1" t="s">
        <v>809</v>
      </c>
      <c r="D1396" s="1" t="s">
        <v>929</v>
      </c>
      <c r="E1396" s="1" t="s">
        <v>809</v>
      </c>
      <c r="F1396" s="1" t="s">
        <v>809</v>
      </c>
      <c r="G1396" s="1" t="s">
        <v>809</v>
      </c>
      <c r="H1396" s="1" t="s">
        <v>809</v>
      </c>
      <c r="I1396" s="1" t="s">
        <v>809</v>
      </c>
      <c r="J1396" s="1" t="s">
        <v>809</v>
      </c>
      <c r="K1396" s="1">
        <v>1.0</v>
      </c>
      <c r="L1396" s="1">
        <v>120000.0</v>
      </c>
    </row>
    <row r="1397">
      <c r="A1397" s="1">
        <v>503.0</v>
      </c>
      <c r="B1397" s="1" t="s">
        <v>806</v>
      </c>
      <c r="C1397" s="1" t="s">
        <v>807</v>
      </c>
      <c r="D1397" s="1" t="s">
        <v>836</v>
      </c>
      <c r="E1397" s="1">
        <v>-3.5</v>
      </c>
      <c r="F1397" s="1">
        <v>0.0</v>
      </c>
      <c r="G1397" s="1" t="s">
        <v>809</v>
      </c>
      <c r="H1397" s="1" t="s">
        <v>809</v>
      </c>
      <c r="I1397" s="1" t="s">
        <v>809</v>
      </c>
      <c r="J1397" s="1" t="s">
        <v>809</v>
      </c>
      <c r="K1397" s="1">
        <v>1.0</v>
      </c>
      <c r="L1397" s="1">
        <v>45000.0</v>
      </c>
    </row>
    <row r="1398">
      <c r="A1398" s="1">
        <v>503.0</v>
      </c>
      <c r="B1398" s="1" t="s">
        <v>806</v>
      </c>
      <c r="C1398" s="1" t="s">
        <v>810</v>
      </c>
      <c r="D1398" s="1" t="s">
        <v>836</v>
      </c>
      <c r="E1398" s="1">
        <v>-3.5</v>
      </c>
      <c r="F1398" s="1">
        <v>0.0</v>
      </c>
      <c r="G1398" s="1" t="s">
        <v>809</v>
      </c>
      <c r="H1398" s="1" t="s">
        <v>809</v>
      </c>
      <c r="I1398" s="1" t="s">
        <v>809</v>
      </c>
      <c r="J1398" s="1" t="s">
        <v>809</v>
      </c>
      <c r="K1398" s="1">
        <v>1.0</v>
      </c>
      <c r="L1398" s="1">
        <v>45000.0</v>
      </c>
    </row>
    <row r="1399">
      <c r="A1399" s="1">
        <v>504.0</v>
      </c>
      <c r="B1399" s="1" t="s">
        <v>806</v>
      </c>
      <c r="C1399" s="1" t="s">
        <v>807</v>
      </c>
      <c r="D1399" s="1" t="s">
        <v>812</v>
      </c>
      <c r="E1399" s="1">
        <v>0.0</v>
      </c>
      <c r="F1399" s="1">
        <v>-0.5</v>
      </c>
      <c r="G1399" s="1">
        <v>20.0</v>
      </c>
      <c r="H1399" s="1" t="s">
        <v>809</v>
      </c>
      <c r="I1399" s="1" t="s">
        <v>809</v>
      </c>
      <c r="J1399" s="1" t="s">
        <v>809</v>
      </c>
      <c r="K1399" s="1">
        <v>1.0</v>
      </c>
      <c r="L1399" s="1">
        <v>58000.0</v>
      </c>
    </row>
    <row r="1400">
      <c r="A1400" s="1">
        <v>504.0</v>
      </c>
      <c r="B1400" s="1" t="s">
        <v>806</v>
      </c>
      <c r="C1400" s="1" t="s">
        <v>810</v>
      </c>
      <c r="D1400" s="1" t="s">
        <v>812</v>
      </c>
      <c r="E1400" s="1">
        <v>0.5</v>
      </c>
      <c r="F1400" s="1">
        <v>-1.0</v>
      </c>
      <c r="G1400" s="1">
        <v>120.0</v>
      </c>
      <c r="H1400" s="1" t="s">
        <v>809</v>
      </c>
      <c r="I1400" s="1" t="s">
        <v>809</v>
      </c>
      <c r="J1400" s="1" t="s">
        <v>809</v>
      </c>
      <c r="K1400" s="1">
        <v>1.0</v>
      </c>
      <c r="L1400" s="1">
        <v>0.0</v>
      </c>
    </row>
    <row r="1401">
      <c r="A1401" s="1">
        <v>504.0</v>
      </c>
      <c r="B1401" s="1" t="s">
        <v>806</v>
      </c>
      <c r="C1401" s="1" t="s">
        <v>809</v>
      </c>
      <c r="D1401" s="1" t="s">
        <v>915</v>
      </c>
      <c r="E1401" s="1" t="s">
        <v>809</v>
      </c>
      <c r="F1401" s="1" t="s">
        <v>809</v>
      </c>
      <c r="G1401" s="1" t="s">
        <v>809</v>
      </c>
      <c r="H1401" s="1" t="s">
        <v>809</v>
      </c>
      <c r="I1401" s="1" t="s">
        <v>809</v>
      </c>
      <c r="J1401" s="1" t="s">
        <v>809</v>
      </c>
      <c r="K1401" s="1">
        <v>1.0</v>
      </c>
      <c r="L1401" s="1">
        <v>120000.0</v>
      </c>
    </row>
    <row r="1402">
      <c r="A1402" s="1">
        <v>505.0</v>
      </c>
      <c r="B1402" s="1" t="s">
        <v>809</v>
      </c>
      <c r="C1402" s="1" t="s">
        <v>809</v>
      </c>
      <c r="D1402" s="1" t="s">
        <v>829</v>
      </c>
      <c r="E1402" s="1" t="s">
        <v>809</v>
      </c>
      <c r="F1402" s="1" t="s">
        <v>809</v>
      </c>
      <c r="G1402" s="1" t="s">
        <v>809</v>
      </c>
      <c r="H1402" s="1" t="s">
        <v>809</v>
      </c>
      <c r="I1402" s="1" t="s">
        <v>809</v>
      </c>
      <c r="J1402" s="1" t="s">
        <v>809</v>
      </c>
      <c r="K1402" s="1">
        <v>1.0</v>
      </c>
      <c r="L1402" s="1">
        <v>120000.0</v>
      </c>
    </row>
    <row r="1403">
      <c r="A1403" s="1">
        <v>506.0</v>
      </c>
      <c r="B1403" s="1" t="s">
        <v>806</v>
      </c>
      <c r="C1403" s="1" t="s">
        <v>807</v>
      </c>
      <c r="D1403" s="1" t="s">
        <v>826</v>
      </c>
      <c r="E1403" s="1">
        <v>0.75</v>
      </c>
      <c r="F1403" s="1">
        <v>-0.5</v>
      </c>
      <c r="G1403" s="1">
        <v>42.0</v>
      </c>
      <c r="H1403" s="1" t="s">
        <v>809</v>
      </c>
      <c r="I1403" s="1" t="s">
        <v>809</v>
      </c>
      <c r="J1403" s="1" t="s">
        <v>809</v>
      </c>
      <c r="K1403" s="1">
        <v>1.0</v>
      </c>
      <c r="L1403" s="1">
        <v>0.0</v>
      </c>
    </row>
    <row r="1404">
      <c r="A1404" s="1">
        <v>506.0</v>
      </c>
      <c r="B1404" s="1" t="s">
        <v>806</v>
      </c>
      <c r="C1404" s="1" t="s">
        <v>810</v>
      </c>
      <c r="D1404" s="1" t="s">
        <v>826</v>
      </c>
      <c r="E1404" s="1">
        <v>1.0</v>
      </c>
      <c r="F1404" s="1">
        <v>-0.5</v>
      </c>
      <c r="G1404" s="1">
        <v>27.0</v>
      </c>
      <c r="H1404" s="1" t="s">
        <v>809</v>
      </c>
      <c r="I1404" s="1" t="s">
        <v>809</v>
      </c>
      <c r="J1404" s="1" t="s">
        <v>809</v>
      </c>
      <c r="K1404" s="1">
        <v>1.0</v>
      </c>
      <c r="L1404" s="1">
        <v>0.0</v>
      </c>
    </row>
    <row r="1405">
      <c r="A1405" s="1">
        <v>506.0</v>
      </c>
      <c r="B1405" s="1" t="s">
        <v>806</v>
      </c>
      <c r="C1405" s="1" t="s">
        <v>809</v>
      </c>
      <c r="D1405" s="1" t="s">
        <v>912</v>
      </c>
      <c r="E1405" s="1" t="s">
        <v>809</v>
      </c>
      <c r="F1405" s="1" t="s">
        <v>809</v>
      </c>
      <c r="G1405" s="1" t="s">
        <v>809</v>
      </c>
      <c r="H1405" s="1" t="s">
        <v>809</v>
      </c>
      <c r="I1405" s="1" t="s">
        <v>809</v>
      </c>
      <c r="J1405" s="1" t="s">
        <v>809</v>
      </c>
      <c r="K1405" s="1">
        <v>1.0</v>
      </c>
      <c r="L1405" s="1">
        <v>100000.0</v>
      </c>
    </row>
    <row r="1406">
      <c r="A1406" s="1">
        <v>506.0</v>
      </c>
      <c r="B1406" s="1" t="s">
        <v>825</v>
      </c>
      <c r="C1406" s="1" t="s">
        <v>807</v>
      </c>
      <c r="D1406" s="1" t="s">
        <v>808</v>
      </c>
      <c r="E1406" s="1">
        <v>3.5</v>
      </c>
      <c r="F1406" s="1">
        <v>-0.5</v>
      </c>
      <c r="G1406" s="1">
        <v>42.0</v>
      </c>
      <c r="H1406" s="1" t="s">
        <v>809</v>
      </c>
      <c r="I1406" s="1" t="s">
        <v>809</v>
      </c>
      <c r="J1406" s="1" t="s">
        <v>809</v>
      </c>
      <c r="K1406" s="1">
        <v>1.0</v>
      </c>
      <c r="L1406" s="1">
        <v>0.0</v>
      </c>
    </row>
    <row r="1407">
      <c r="A1407" s="1">
        <v>506.0</v>
      </c>
      <c r="B1407" s="1" t="s">
        <v>825</v>
      </c>
      <c r="C1407" s="1" t="s">
        <v>810</v>
      </c>
      <c r="D1407" s="1" t="s">
        <v>808</v>
      </c>
      <c r="E1407" s="1">
        <v>-3.75</v>
      </c>
      <c r="F1407" s="1">
        <v>-0.5</v>
      </c>
      <c r="G1407" s="1">
        <v>27.0</v>
      </c>
      <c r="H1407" s="1" t="s">
        <v>809</v>
      </c>
      <c r="I1407" s="1" t="s">
        <v>809</v>
      </c>
      <c r="J1407" s="1" t="s">
        <v>809</v>
      </c>
      <c r="K1407" s="1">
        <v>1.0</v>
      </c>
      <c r="L1407" s="1">
        <v>0.0</v>
      </c>
    </row>
    <row r="1408">
      <c r="A1408" s="1">
        <v>506.0</v>
      </c>
      <c r="B1408" s="1" t="s">
        <v>825</v>
      </c>
      <c r="C1408" s="1" t="s">
        <v>809</v>
      </c>
      <c r="D1408" s="1" t="s">
        <v>910</v>
      </c>
      <c r="E1408" s="1" t="s">
        <v>809</v>
      </c>
      <c r="F1408" s="1" t="s">
        <v>809</v>
      </c>
      <c r="G1408" s="1" t="s">
        <v>809</v>
      </c>
      <c r="H1408" s="1" t="s">
        <v>809</v>
      </c>
      <c r="I1408" s="1" t="s">
        <v>809</v>
      </c>
      <c r="J1408" s="1" t="s">
        <v>809</v>
      </c>
      <c r="K1408" s="1">
        <v>1.0</v>
      </c>
      <c r="L1408" s="1">
        <v>40000.0</v>
      </c>
    </row>
    <row r="1409">
      <c r="A1409" s="1">
        <v>507.0</v>
      </c>
      <c r="B1409" s="1" t="s">
        <v>806</v>
      </c>
      <c r="C1409" s="1" t="s">
        <v>807</v>
      </c>
      <c r="D1409" s="1" t="s">
        <v>812</v>
      </c>
      <c r="E1409" s="1">
        <v>1.25</v>
      </c>
      <c r="F1409" s="1">
        <v>-0.75</v>
      </c>
      <c r="G1409" s="1">
        <v>175.0</v>
      </c>
      <c r="H1409" s="1" t="s">
        <v>809</v>
      </c>
      <c r="I1409" s="1">
        <v>30.0</v>
      </c>
      <c r="J1409" s="1">
        <v>23.0</v>
      </c>
      <c r="K1409" s="1">
        <v>1.0</v>
      </c>
      <c r="L1409" s="1">
        <v>30000.0</v>
      </c>
    </row>
    <row r="1410">
      <c r="A1410" s="1">
        <v>507.0</v>
      </c>
      <c r="B1410" s="1" t="s">
        <v>806</v>
      </c>
      <c r="C1410" s="1" t="s">
        <v>810</v>
      </c>
      <c r="D1410" s="1" t="s">
        <v>812</v>
      </c>
      <c r="E1410" s="1">
        <v>1.0</v>
      </c>
      <c r="F1410" s="1">
        <v>-1.0</v>
      </c>
      <c r="G1410" s="1">
        <v>21.0</v>
      </c>
      <c r="H1410" s="1" t="s">
        <v>809</v>
      </c>
      <c r="I1410" s="1">
        <v>30.0</v>
      </c>
      <c r="J1410" s="1">
        <v>23.0</v>
      </c>
      <c r="K1410" s="1">
        <v>1.0</v>
      </c>
      <c r="L1410" s="1">
        <v>30000.0</v>
      </c>
    </row>
    <row r="1411">
      <c r="A1411" s="1">
        <v>507.0</v>
      </c>
      <c r="B1411" s="1" t="s">
        <v>825</v>
      </c>
      <c r="C1411" s="1" t="s">
        <v>807</v>
      </c>
      <c r="D1411" s="1" t="s">
        <v>812</v>
      </c>
      <c r="E1411" s="1">
        <v>3.25</v>
      </c>
      <c r="F1411" s="1">
        <v>0.0</v>
      </c>
      <c r="G1411" s="1" t="s">
        <v>809</v>
      </c>
      <c r="H1411" s="1" t="s">
        <v>809</v>
      </c>
      <c r="I1411" s="1" t="s">
        <v>809</v>
      </c>
      <c r="J1411" s="1" t="s">
        <v>809</v>
      </c>
      <c r="K1411" s="1">
        <v>1.0</v>
      </c>
      <c r="L1411" s="1">
        <v>30000.0</v>
      </c>
    </row>
    <row r="1412">
      <c r="A1412" s="1">
        <v>507.0</v>
      </c>
      <c r="B1412" s="1" t="s">
        <v>825</v>
      </c>
      <c r="C1412" s="1" t="s">
        <v>810</v>
      </c>
      <c r="D1412" s="1" t="s">
        <v>812</v>
      </c>
      <c r="E1412" s="1">
        <v>3.75</v>
      </c>
      <c r="F1412" s="1">
        <v>0.0</v>
      </c>
      <c r="G1412" s="1" t="s">
        <v>809</v>
      </c>
      <c r="H1412" s="1" t="s">
        <v>809</v>
      </c>
      <c r="I1412" s="1" t="s">
        <v>809</v>
      </c>
      <c r="J1412" s="1" t="s">
        <v>809</v>
      </c>
      <c r="K1412" s="1">
        <v>1.0</v>
      </c>
      <c r="L1412" s="1">
        <v>30000.0</v>
      </c>
    </row>
    <row r="1413">
      <c r="A1413" s="1">
        <v>508.0</v>
      </c>
      <c r="B1413" s="1" t="s">
        <v>809</v>
      </c>
      <c r="C1413" s="1" t="s">
        <v>809</v>
      </c>
      <c r="D1413" s="1" t="s">
        <v>1036</v>
      </c>
      <c r="E1413" s="1" t="s">
        <v>809</v>
      </c>
      <c r="F1413" s="1" t="s">
        <v>809</v>
      </c>
      <c r="G1413" s="1" t="s">
        <v>809</v>
      </c>
      <c r="H1413" s="1" t="s">
        <v>809</v>
      </c>
      <c r="I1413" s="1" t="s">
        <v>809</v>
      </c>
      <c r="J1413" s="1" t="s">
        <v>809</v>
      </c>
      <c r="K1413" s="1">
        <v>1.0</v>
      </c>
      <c r="L1413" s="1">
        <v>270000.0</v>
      </c>
    </row>
    <row r="1414">
      <c r="A1414" s="1">
        <v>509.0</v>
      </c>
      <c r="B1414" s="1" t="s">
        <v>809</v>
      </c>
      <c r="C1414" s="1">
        <v>2.0</v>
      </c>
      <c r="D1414" s="1" t="s">
        <v>1037</v>
      </c>
      <c r="E1414" s="1">
        <v>-4.25</v>
      </c>
      <c r="F1414" s="1">
        <v>0.0</v>
      </c>
      <c r="G1414" s="1" t="s">
        <v>809</v>
      </c>
      <c r="H1414" s="1" t="s">
        <v>809</v>
      </c>
      <c r="I1414" s="1" t="s">
        <v>809</v>
      </c>
      <c r="J1414" s="1" t="s">
        <v>809</v>
      </c>
      <c r="K1414" s="1">
        <v>1.0</v>
      </c>
      <c r="L1414" s="1">
        <v>212000.0</v>
      </c>
    </row>
    <row r="1415">
      <c r="A1415" s="1">
        <v>510.0</v>
      </c>
      <c r="B1415" s="1" t="s">
        <v>806</v>
      </c>
      <c r="C1415" s="1" t="s">
        <v>807</v>
      </c>
      <c r="D1415" s="1" t="s">
        <v>1016</v>
      </c>
      <c r="E1415" s="1">
        <v>-3.25</v>
      </c>
      <c r="F1415" s="1">
        <v>-0.75</v>
      </c>
      <c r="G1415" s="1">
        <v>80.0</v>
      </c>
      <c r="H1415" s="1" t="s">
        <v>809</v>
      </c>
      <c r="I1415" s="1">
        <v>80.0</v>
      </c>
      <c r="J1415" s="1" t="s">
        <v>809</v>
      </c>
      <c r="K1415" s="1">
        <v>1.0</v>
      </c>
      <c r="L1415" s="1">
        <v>350000.0</v>
      </c>
    </row>
    <row r="1416">
      <c r="A1416" s="1">
        <v>510.0</v>
      </c>
      <c r="B1416" s="1" t="s">
        <v>806</v>
      </c>
      <c r="C1416" s="1" t="s">
        <v>810</v>
      </c>
      <c r="D1416" s="1" t="s">
        <v>1016</v>
      </c>
      <c r="E1416" s="1">
        <v>-7.0</v>
      </c>
      <c r="F1416" s="1">
        <v>-1.25</v>
      </c>
      <c r="G1416" s="1">
        <v>90.0</v>
      </c>
      <c r="H1416" s="1" t="s">
        <v>809</v>
      </c>
      <c r="I1416" s="1">
        <v>90.0</v>
      </c>
      <c r="J1416" s="1" t="s">
        <v>809</v>
      </c>
      <c r="K1416" s="1">
        <v>1.0</v>
      </c>
      <c r="L1416" s="1">
        <v>350000.0</v>
      </c>
    </row>
    <row r="1417">
      <c r="A1417" s="1">
        <v>510.0</v>
      </c>
      <c r="B1417" s="1" t="s">
        <v>806</v>
      </c>
      <c r="C1417" s="1" t="s">
        <v>809</v>
      </c>
      <c r="D1417" s="1" t="s">
        <v>929</v>
      </c>
      <c r="E1417" s="1" t="s">
        <v>809</v>
      </c>
      <c r="F1417" s="1" t="s">
        <v>809</v>
      </c>
      <c r="G1417" s="1" t="s">
        <v>809</v>
      </c>
      <c r="H1417" s="1" t="s">
        <v>809</v>
      </c>
      <c r="I1417" s="1" t="s">
        <v>809</v>
      </c>
      <c r="J1417" s="1" t="s">
        <v>809</v>
      </c>
      <c r="K1417" s="1">
        <v>1.0</v>
      </c>
      <c r="L1417" s="1">
        <v>180000.0</v>
      </c>
    </row>
    <row r="1418">
      <c r="A1418" s="1">
        <v>511.0</v>
      </c>
      <c r="B1418" s="1" t="s">
        <v>809</v>
      </c>
      <c r="C1418" s="1" t="s">
        <v>809</v>
      </c>
      <c r="D1418" s="1" t="s">
        <v>880</v>
      </c>
      <c r="E1418" s="1" t="s">
        <v>809</v>
      </c>
      <c r="F1418" s="1" t="s">
        <v>809</v>
      </c>
      <c r="G1418" s="1" t="s">
        <v>809</v>
      </c>
      <c r="H1418" s="1" t="s">
        <v>809</v>
      </c>
      <c r="I1418" s="1" t="s">
        <v>809</v>
      </c>
      <c r="J1418" s="1" t="s">
        <v>809</v>
      </c>
      <c r="K1418" s="1">
        <v>1.0</v>
      </c>
      <c r="L1418" s="1">
        <v>250000.0</v>
      </c>
    </row>
    <row r="1419">
      <c r="A1419" s="1">
        <v>512.0</v>
      </c>
      <c r="B1419" s="1" t="s">
        <v>806</v>
      </c>
      <c r="C1419" s="1" t="s">
        <v>807</v>
      </c>
      <c r="D1419" s="1" t="s">
        <v>812</v>
      </c>
      <c r="E1419" s="1">
        <v>0.0</v>
      </c>
      <c r="F1419" s="1">
        <v>0.0</v>
      </c>
      <c r="G1419" s="1" t="s">
        <v>809</v>
      </c>
      <c r="H1419" s="1" t="s">
        <v>809</v>
      </c>
      <c r="I1419" s="1" t="s">
        <v>809</v>
      </c>
      <c r="J1419" s="1" t="s">
        <v>809</v>
      </c>
      <c r="K1419" s="1">
        <v>1.0</v>
      </c>
      <c r="L1419" s="1">
        <v>30000.0</v>
      </c>
    </row>
    <row r="1420">
      <c r="A1420" s="1">
        <v>512.0</v>
      </c>
      <c r="B1420" s="1" t="s">
        <v>806</v>
      </c>
      <c r="C1420" s="1" t="s">
        <v>810</v>
      </c>
      <c r="D1420" s="1" t="s">
        <v>812</v>
      </c>
      <c r="E1420" s="1">
        <v>0.0</v>
      </c>
      <c r="F1420" s="1">
        <v>0.0</v>
      </c>
      <c r="G1420" s="1" t="s">
        <v>809</v>
      </c>
      <c r="H1420" s="1" t="s">
        <v>809</v>
      </c>
      <c r="I1420" s="1" t="s">
        <v>809</v>
      </c>
      <c r="J1420" s="1" t="s">
        <v>809</v>
      </c>
      <c r="K1420" s="1">
        <v>1.0</v>
      </c>
      <c r="L1420" s="1">
        <v>30000.0</v>
      </c>
    </row>
    <row r="1421">
      <c r="A1421" s="1">
        <v>512.0</v>
      </c>
      <c r="B1421" s="1" t="s">
        <v>806</v>
      </c>
      <c r="C1421" s="1" t="s">
        <v>809</v>
      </c>
      <c r="D1421" s="1" t="s">
        <v>910</v>
      </c>
      <c r="E1421" s="1" t="s">
        <v>809</v>
      </c>
      <c r="F1421" s="1" t="s">
        <v>809</v>
      </c>
      <c r="G1421" s="1" t="s">
        <v>809</v>
      </c>
      <c r="H1421" s="1" t="s">
        <v>809</v>
      </c>
      <c r="I1421" s="1" t="s">
        <v>809</v>
      </c>
      <c r="J1421" s="1" t="s">
        <v>809</v>
      </c>
      <c r="K1421" s="1">
        <v>1.0</v>
      </c>
      <c r="L1421" s="1">
        <v>110000.0</v>
      </c>
    </row>
    <row r="1422">
      <c r="A1422" s="1">
        <v>513.0</v>
      </c>
      <c r="B1422" s="1" t="s">
        <v>806</v>
      </c>
      <c r="C1422" s="1" t="s">
        <v>807</v>
      </c>
      <c r="D1422" s="1" t="s">
        <v>919</v>
      </c>
      <c r="E1422" s="1">
        <v>1.25</v>
      </c>
      <c r="F1422" s="1">
        <v>0.0</v>
      </c>
      <c r="G1422" s="1" t="s">
        <v>809</v>
      </c>
      <c r="H1422" s="1">
        <v>2.5</v>
      </c>
      <c r="I1422" s="1" t="s">
        <v>809</v>
      </c>
      <c r="J1422" s="1" t="s">
        <v>809</v>
      </c>
      <c r="K1422" s="1">
        <v>1.0</v>
      </c>
      <c r="L1422" s="1">
        <v>50000.0</v>
      </c>
    </row>
    <row r="1423">
      <c r="A1423" s="1">
        <v>513.0</v>
      </c>
      <c r="B1423" s="1" t="s">
        <v>806</v>
      </c>
      <c r="C1423" s="1" t="s">
        <v>810</v>
      </c>
      <c r="D1423" s="1" t="s">
        <v>919</v>
      </c>
      <c r="E1423" s="1">
        <v>0.75</v>
      </c>
      <c r="F1423" s="1">
        <v>0.0</v>
      </c>
      <c r="G1423" s="1" t="s">
        <v>809</v>
      </c>
      <c r="H1423" s="1">
        <v>2.5</v>
      </c>
      <c r="I1423" s="1" t="s">
        <v>809</v>
      </c>
      <c r="J1423" s="1" t="s">
        <v>809</v>
      </c>
      <c r="K1423" s="1">
        <v>1.0</v>
      </c>
      <c r="L1423" s="1">
        <v>50000.0</v>
      </c>
    </row>
    <row r="1424">
      <c r="A1424" s="1">
        <v>513.0</v>
      </c>
      <c r="B1424" s="1" t="s">
        <v>806</v>
      </c>
      <c r="C1424" s="1" t="s">
        <v>809</v>
      </c>
      <c r="D1424" s="1" t="s">
        <v>814</v>
      </c>
      <c r="E1424" s="1" t="s">
        <v>809</v>
      </c>
      <c r="F1424" s="1" t="s">
        <v>809</v>
      </c>
      <c r="G1424" s="1" t="s">
        <v>809</v>
      </c>
      <c r="H1424" s="1" t="s">
        <v>809</v>
      </c>
      <c r="I1424" s="1" t="s">
        <v>809</v>
      </c>
      <c r="J1424" s="1" t="s">
        <v>809</v>
      </c>
      <c r="K1424" s="1">
        <v>1.0</v>
      </c>
      <c r="L1424" s="1">
        <v>80000.0</v>
      </c>
    </row>
    <row r="1425">
      <c r="A1425" s="1">
        <v>514.0</v>
      </c>
      <c r="B1425" s="1" t="s">
        <v>806</v>
      </c>
      <c r="C1425" s="1" t="s">
        <v>807</v>
      </c>
      <c r="D1425" s="1" t="s">
        <v>894</v>
      </c>
      <c r="E1425" s="1">
        <v>1.0</v>
      </c>
      <c r="F1425" s="1">
        <v>0.0</v>
      </c>
      <c r="G1425" s="1" t="s">
        <v>809</v>
      </c>
      <c r="H1425" s="1">
        <v>1.75</v>
      </c>
      <c r="I1425" s="1">
        <v>31.0</v>
      </c>
      <c r="J1425" s="1">
        <v>27.0</v>
      </c>
      <c r="K1425" s="1">
        <v>1.0</v>
      </c>
      <c r="L1425" s="1">
        <v>121000.0</v>
      </c>
    </row>
    <row r="1426">
      <c r="A1426" s="1">
        <v>514.0</v>
      </c>
      <c r="B1426" s="1" t="s">
        <v>806</v>
      </c>
      <c r="C1426" s="1" t="s">
        <v>810</v>
      </c>
      <c r="D1426" s="1" t="s">
        <v>894</v>
      </c>
      <c r="E1426" s="1">
        <v>1.0</v>
      </c>
      <c r="F1426" s="1">
        <v>0.0</v>
      </c>
      <c r="G1426" s="1" t="s">
        <v>809</v>
      </c>
      <c r="H1426" s="1">
        <v>1.75</v>
      </c>
      <c r="I1426" s="1">
        <v>31.0</v>
      </c>
      <c r="J1426" s="1">
        <v>27.0</v>
      </c>
      <c r="K1426" s="1">
        <v>1.0</v>
      </c>
      <c r="L1426" s="1">
        <v>121000.0</v>
      </c>
    </row>
    <row r="1427">
      <c r="A1427" s="1">
        <v>514.0</v>
      </c>
      <c r="B1427" s="1" t="s">
        <v>806</v>
      </c>
      <c r="C1427" s="1" t="s">
        <v>809</v>
      </c>
      <c r="D1427" s="1" t="s">
        <v>915</v>
      </c>
      <c r="E1427" s="1" t="s">
        <v>809</v>
      </c>
      <c r="F1427" s="1" t="s">
        <v>809</v>
      </c>
      <c r="G1427" s="1" t="s">
        <v>809</v>
      </c>
      <c r="H1427" s="1" t="s">
        <v>809</v>
      </c>
      <c r="I1427" s="1" t="s">
        <v>809</v>
      </c>
      <c r="J1427" s="1" t="s">
        <v>809</v>
      </c>
      <c r="K1427" s="1">
        <v>1.0</v>
      </c>
      <c r="L1427" s="1">
        <v>130000.0</v>
      </c>
    </row>
    <row r="1428">
      <c r="A1428" s="1">
        <v>515.0</v>
      </c>
      <c r="B1428" s="1" t="s">
        <v>809</v>
      </c>
      <c r="C1428" s="1" t="s">
        <v>809</v>
      </c>
      <c r="D1428" s="1" t="s">
        <v>1038</v>
      </c>
      <c r="E1428" s="1" t="s">
        <v>809</v>
      </c>
      <c r="F1428" s="1" t="s">
        <v>809</v>
      </c>
      <c r="G1428" s="1" t="s">
        <v>809</v>
      </c>
      <c r="H1428" s="1" t="s">
        <v>809</v>
      </c>
      <c r="I1428" s="1" t="s">
        <v>809</v>
      </c>
      <c r="J1428" s="1" t="s">
        <v>809</v>
      </c>
      <c r="K1428" s="1">
        <v>1.0</v>
      </c>
      <c r="L1428" s="1">
        <v>92000.0</v>
      </c>
    </row>
    <row r="1429">
      <c r="A1429" s="1">
        <v>515.0</v>
      </c>
      <c r="B1429" s="1" t="s">
        <v>809</v>
      </c>
      <c r="C1429" s="1" t="s">
        <v>809</v>
      </c>
      <c r="D1429" s="1" t="s">
        <v>814</v>
      </c>
      <c r="E1429" s="1" t="s">
        <v>809</v>
      </c>
      <c r="F1429" s="1" t="s">
        <v>809</v>
      </c>
      <c r="G1429" s="1" t="s">
        <v>809</v>
      </c>
      <c r="H1429" s="1" t="s">
        <v>809</v>
      </c>
      <c r="I1429" s="1" t="s">
        <v>809</v>
      </c>
      <c r="J1429" s="1" t="s">
        <v>809</v>
      </c>
      <c r="K1429" s="1">
        <v>1.0</v>
      </c>
      <c r="L1429" s="1">
        <v>92000.0</v>
      </c>
    </row>
    <row r="1430">
      <c r="A1430" s="1">
        <v>516.0</v>
      </c>
      <c r="B1430" s="1" t="s">
        <v>825</v>
      </c>
      <c r="C1430" s="1" t="s">
        <v>807</v>
      </c>
      <c r="D1430" s="1" t="s">
        <v>812</v>
      </c>
      <c r="E1430" s="1">
        <v>1.25</v>
      </c>
      <c r="F1430" s="1">
        <v>0.0</v>
      </c>
      <c r="G1430" s="1" t="s">
        <v>809</v>
      </c>
      <c r="H1430" s="1" t="s">
        <v>809</v>
      </c>
      <c r="I1430" s="1" t="s">
        <v>809</v>
      </c>
      <c r="J1430" s="1" t="s">
        <v>809</v>
      </c>
      <c r="K1430" s="1">
        <v>1.0</v>
      </c>
      <c r="L1430" s="1">
        <v>30000.0</v>
      </c>
    </row>
    <row r="1431">
      <c r="A1431" s="1">
        <v>516.0</v>
      </c>
      <c r="B1431" s="1" t="s">
        <v>825</v>
      </c>
      <c r="C1431" s="1" t="s">
        <v>810</v>
      </c>
      <c r="D1431" s="1" t="s">
        <v>812</v>
      </c>
      <c r="E1431" s="1">
        <v>1.25</v>
      </c>
      <c r="F1431" s="1">
        <v>0.0</v>
      </c>
      <c r="G1431" s="1" t="s">
        <v>809</v>
      </c>
      <c r="H1431" s="1" t="s">
        <v>809</v>
      </c>
      <c r="I1431" s="1" t="s">
        <v>809</v>
      </c>
      <c r="J1431" s="1" t="s">
        <v>809</v>
      </c>
      <c r="K1431" s="1">
        <v>1.0</v>
      </c>
      <c r="L1431" s="1">
        <v>30000.0</v>
      </c>
    </row>
    <row r="1432">
      <c r="A1432" s="1">
        <v>517.0</v>
      </c>
      <c r="B1432" s="1" t="s">
        <v>806</v>
      </c>
      <c r="C1432" s="1" t="s">
        <v>807</v>
      </c>
      <c r="D1432" s="1" t="s">
        <v>865</v>
      </c>
      <c r="E1432" s="1">
        <v>1.0</v>
      </c>
      <c r="F1432" s="1">
        <v>-2.25</v>
      </c>
      <c r="G1432" s="1">
        <v>20.0</v>
      </c>
      <c r="H1432" s="1" t="s">
        <v>809</v>
      </c>
      <c r="I1432" s="1">
        <v>27.0</v>
      </c>
      <c r="J1432" s="1" t="s">
        <v>809</v>
      </c>
      <c r="K1432" s="1">
        <v>1.0</v>
      </c>
      <c r="L1432" s="1">
        <v>40000.0</v>
      </c>
    </row>
    <row r="1433">
      <c r="A1433" s="1">
        <v>517.0</v>
      </c>
      <c r="B1433" s="1" t="s">
        <v>806</v>
      </c>
      <c r="C1433" s="1" t="s">
        <v>810</v>
      </c>
      <c r="D1433" s="1" t="s">
        <v>865</v>
      </c>
      <c r="E1433" s="1">
        <v>1.0</v>
      </c>
      <c r="F1433" s="1">
        <v>-2.0</v>
      </c>
      <c r="G1433" s="1">
        <v>170.0</v>
      </c>
      <c r="H1433" s="1" t="s">
        <v>809</v>
      </c>
      <c r="I1433" s="1">
        <v>28.0</v>
      </c>
      <c r="J1433" s="1" t="s">
        <v>809</v>
      </c>
      <c r="K1433" s="1">
        <v>1.0</v>
      </c>
      <c r="L1433" s="1">
        <v>40000.0</v>
      </c>
    </row>
    <row r="1434">
      <c r="A1434" s="1">
        <v>517.0</v>
      </c>
      <c r="B1434" s="1" t="s">
        <v>806</v>
      </c>
      <c r="C1434" s="1" t="s">
        <v>809</v>
      </c>
      <c r="D1434" s="1" t="s">
        <v>957</v>
      </c>
      <c r="E1434" s="1" t="s">
        <v>809</v>
      </c>
      <c r="F1434" s="1" t="s">
        <v>809</v>
      </c>
      <c r="G1434" s="1" t="s">
        <v>809</v>
      </c>
      <c r="H1434" s="1" t="s">
        <v>809</v>
      </c>
      <c r="I1434" s="1" t="s">
        <v>809</v>
      </c>
      <c r="J1434" s="1" t="s">
        <v>809</v>
      </c>
      <c r="K1434" s="1">
        <v>1.0</v>
      </c>
      <c r="L1434" s="1">
        <v>90000.0</v>
      </c>
    </row>
    <row r="1435">
      <c r="A1435" s="1">
        <v>518.0</v>
      </c>
      <c r="B1435" s="1" t="s">
        <v>806</v>
      </c>
      <c r="C1435" s="1" t="s">
        <v>807</v>
      </c>
      <c r="D1435" s="1" t="s">
        <v>1039</v>
      </c>
      <c r="E1435" s="1">
        <v>1.75</v>
      </c>
      <c r="F1435" s="1">
        <v>0.0</v>
      </c>
      <c r="G1435" s="1" t="s">
        <v>809</v>
      </c>
      <c r="H1435" s="1" t="s">
        <v>809</v>
      </c>
      <c r="I1435" s="1">
        <v>31.0</v>
      </c>
      <c r="J1435" s="1">
        <v>27.0</v>
      </c>
      <c r="K1435" s="1">
        <v>1.0</v>
      </c>
      <c r="L1435" s="1">
        <v>610000.0</v>
      </c>
    </row>
    <row r="1436">
      <c r="A1436" s="1">
        <v>518.0</v>
      </c>
      <c r="B1436" s="1" t="s">
        <v>806</v>
      </c>
      <c r="C1436" s="1" t="s">
        <v>810</v>
      </c>
      <c r="D1436" s="1" t="s">
        <v>1039</v>
      </c>
      <c r="E1436" s="1">
        <v>3.25</v>
      </c>
      <c r="F1436" s="1">
        <v>-0.25</v>
      </c>
      <c r="G1436" s="1">
        <v>130.0</v>
      </c>
      <c r="H1436" s="1" t="s">
        <v>809</v>
      </c>
      <c r="I1436" s="1">
        <v>30.0</v>
      </c>
      <c r="J1436" s="1">
        <v>27.0</v>
      </c>
      <c r="K1436" s="1">
        <v>1.0</v>
      </c>
      <c r="L1436" s="1">
        <v>610000.0</v>
      </c>
    </row>
    <row r="1437">
      <c r="A1437" s="1">
        <v>518.0</v>
      </c>
      <c r="B1437" s="1" t="s">
        <v>806</v>
      </c>
      <c r="C1437" s="1" t="s">
        <v>809</v>
      </c>
      <c r="D1437" s="1" t="s">
        <v>915</v>
      </c>
      <c r="E1437" s="1" t="s">
        <v>809</v>
      </c>
      <c r="F1437" s="1" t="s">
        <v>809</v>
      </c>
      <c r="G1437" s="1" t="s">
        <v>809</v>
      </c>
      <c r="H1437" s="1" t="s">
        <v>809</v>
      </c>
      <c r="I1437" s="1" t="s">
        <v>809</v>
      </c>
      <c r="J1437" s="1" t="s">
        <v>809</v>
      </c>
      <c r="K1437" s="1">
        <v>1.0</v>
      </c>
      <c r="L1437" s="1">
        <v>130000.0</v>
      </c>
    </row>
    <row r="1438">
      <c r="A1438" s="1">
        <v>519.0</v>
      </c>
      <c r="B1438" s="1" t="s">
        <v>806</v>
      </c>
      <c r="C1438" s="1" t="s">
        <v>807</v>
      </c>
      <c r="D1438" s="1" t="s">
        <v>1040</v>
      </c>
      <c r="E1438" s="1">
        <v>0.75</v>
      </c>
      <c r="F1438" s="1">
        <v>0.0</v>
      </c>
      <c r="G1438" s="1" t="s">
        <v>809</v>
      </c>
      <c r="H1438" s="1">
        <v>2.5</v>
      </c>
      <c r="I1438" s="1" t="s">
        <v>809</v>
      </c>
      <c r="J1438" s="1" t="s">
        <v>809</v>
      </c>
      <c r="K1438" s="1">
        <v>1.0</v>
      </c>
      <c r="L1438" s="1">
        <v>110000.0</v>
      </c>
    </row>
    <row r="1439">
      <c r="A1439" s="1">
        <v>519.0</v>
      </c>
      <c r="B1439" s="1" t="s">
        <v>806</v>
      </c>
      <c r="C1439" s="1" t="s">
        <v>810</v>
      </c>
      <c r="D1439" s="1" t="s">
        <v>1040</v>
      </c>
      <c r="E1439" s="1">
        <v>2.0</v>
      </c>
      <c r="F1439" s="1">
        <v>0.0</v>
      </c>
      <c r="G1439" s="1" t="s">
        <v>809</v>
      </c>
      <c r="H1439" s="1">
        <v>2.5</v>
      </c>
      <c r="I1439" s="1" t="s">
        <v>809</v>
      </c>
      <c r="J1439" s="1" t="s">
        <v>809</v>
      </c>
      <c r="K1439" s="1">
        <v>1.0</v>
      </c>
      <c r="L1439" s="1">
        <v>110000.0</v>
      </c>
    </row>
    <row r="1440">
      <c r="A1440" s="1">
        <v>519.0</v>
      </c>
      <c r="B1440" s="1" t="s">
        <v>806</v>
      </c>
      <c r="C1440" s="1" t="s">
        <v>809</v>
      </c>
      <c r="D1440" s="1" t="s">
        <v>912</v>
      </c>
      <c r="E1440" s="1" t="s">
        <v>809</v>
      </c>
      <c r="F1440" s="1" t="s">
        <v>809</v>
      </c>
      <c r="G1440" s="1" t="s">
        <v>809</v>
      </c>
      <c r="H1440" s="1" t="s">
        <v>809</v>
      </c>
      <c r="I1440" s="1" t="s">
        <v>809</v>
      </c>
      <c r="J1440" s="1" t="s">
        <v>809</v>
      </c>
      <c r="K1440" s="1">
        <v>1.0</v>
      </c>
      <c r="L1440" s="1">
        <v>80000.0</v>
      </c>
    </row>
    <row r="1441">
      <c r="A1441" s="1">
        <v>520.0</v>
      </c>
      <c r="B1441" s="1" t="s">
        <v>806</v>
      </c>
      <c r="C1441" s="1" t="s">
        <v>807</v>
      </c>
      <c r="D1441" s="1" t="s">
        <v>815</v>
      </c>
      <c r="E1441" s="1">
        <v>3.5</v>
      </c>
      <c r="F1441" s="1">
        <v>0.0</v>
      </c>
      <c r="G1441" s="1" t="s">
        <v>809</v>
      </c>
      <c r="H1441" s="1">
        <v>3.0</v>
      </c>
      <c r="I1441" s="1">
        <v>32.0</v>
      </c>
      <c r="J1441" s="1">
        <v>27.0</v>
      </c>
      <c r="K1441" s="1">
        <v>1.0</v>
      </c>
      <c r="L1441" s="1">
        <v>600000.0</v>
      </c>
    </row>
    <row r="1442">
      <c r="A1442" s="1">
        <v>520.0</v>
      </c>
      <c r="B1442" s="1" t="s">
        <v>806</v>
      </c>
      <c r="C1442" s="1" t="s">
        <v>810</v>
      </c>
      <c r="D1442" s="1" t="s">
        <v>815</v>
      </c>
      <c r="E1442" s="1">
        <v>3.5</v>
      </c>
      <c r="F1442" s="1">
        <v>0.0</v>
      </c>
      <c r="G1442" s="1" t="s">
        <v>809</v>
      </c>
      <c r="H1442" s="1">
        <v>3.0</v>
      </c>
      <c r="I1442" s="1">
        <v>30.0</v>
      </c>
      <c r="J1442" s="1">
        <v>27.0</v>
      </c>
      <c r="K1442" s="1">
        <v>1.0</v>
      </c>
      <c r="L1442" s="1">
        <v>600000.0</v>
      </c>
    </row>
    <row r="1443">
      <c r="A1443" s="1">
        <v>520.0</v>
      </c>
      <c r="B1443" s="1" t="s">
        <v>806</v>
      </c>
      <c r="C1443" s="1" t="s">
        <v>809</v>
      </c>
      <c r="D1443" s="1" t="s">
        <v>929</v>
      </c>
      <c r="E1443" s="1" t="s">
        <v>809</v>
      </c>
      <c r="F1443" s="1" t="s">
        <v>809</v>
      </c>
      <c r="G1443" s="1" t="s">
        <v>809</v>
      </c>
      <c r="H1443" s="1" t="s">
        <v>809</v>
      </c>
      <c r="I1443" s="1" t="s">
        <v>809</v>
      </c>
      <c r="J1443" s="1" t="s">
        <v>809</v>
      </c>
      <c r="K1443" s="1">
        <v>1.0</v>
      </c>
      <c r="L1443" s="1">
        <v>120000.0</v>
      </c>
    </row>
    <row r="1444">
      <c r="A1444" s="1">
        <v>521.0</v>
      </c>
      <c r="B1444" s="1" t="s">
        <v>806</v>
      </c>
      <c r="C1444" s="1" t="s">
        <v>807</v>
      </c>
      <c r="D1444" s="1" t="s">
        <v>1041</v>
      </c>
      <c r="E1444" s="1">
        <v>3.5</v>
      </c>
      <c r="F1444" s="1">
        <v>-1.5</v>
      </c>
      <c r="G1444" s="1">
        <v>140.0</v>
      </c>
      <c r="H1444" s="1" t="s">
        <v>809</v>
      </c>
      <c r="I1444" s="1">
        <v>32.0</v>
      </c>
      <c r="J1444" s="1" t="s">
        <v>809</v>
      </c>
      <c r="K1444" s="1">
        <v>1.0</v>
      </c>
      <c r="L1444" s="1">
        <v>108750.0</v>
      </c>
    </row>
    <row r="1445">
      <c r="A1445" s="1">
        <v>521.0</v>
      </c>
      <c r="B1445" s="1" t="s">
        <v>806</v>
      </c>
      <c r="C1445" s="1" t="s">
        <v>810</v>
      </c>
      <c r="D1445" s="1" t="s">
        <v>1041</v>
      </c>
      <c r="E1445" s="1">
        <v>3.5</v>
      </c>
      <c r="F1445" s="1">
        <v>-1.0</v>
      </c>
      <c r="G1445" s="1">
        <v>70.0</v>
      </c>
      <c r="H1445" s="1" t="s">
        <v>809</v>
      </c>
      <c r="I1445" s="1">
        <v>29.0</v>
      </c>
      <c r="J1445" s="1" t="s">
        <v>809</v>
      </c>
      <c r="K1445" s="1">
        <v>1.0</v>
      </c>
      <c r="L1445" s="1">
        <v>108750.0</v>
      </c>
    </row>
    <row r="1446">
      <c r="A1446" s="1">
        <v>521.0</v>
      </c>
      <c r="B1446" s="1" t="s">
        <v>806</v>
      </c>
      <c r="C1446" s="1" t="s">
        <v>809</v>
      </c>
      <c r="D1446" s="1" t="s">
        <v>929</v>
      </c>
      <c r="E1446" s="1" t="s">
        <v>809</v>
      </c>
      <c r="F1446" s="1" t="s">
        <v>809</v>
      </c>
      <c r="G1446" s="1" t="s">
        <v>809</v>
      </c>
      <c r="H1446" s="1" t="s">
        <v>809</v>
      </c>
      <c r="I1446" s="1" t="s">
        <v>809</v>
      </c>
      <c r="J1446" s="1" t="s">
        <v>809</v>
      </c>
      <c r="K1446" s="1">
        <v>1.0</v>
      </c>
      <c r="L1446" s="1">
        <v>130000.0</v>
      </c>
    </row>
    <row r="1447">
      <c r="A1447" s="1">
        <v>521.0</v>
      </c>
      <c r="B1447" s="1" t="s">
        <v>825</v>
      </c>
      <c r="C1447" s="1" t="s">
        <v>807</v>
      </c>
      <c r="D1447" s="1" t="s">
        <v>1041</v>
      </c>
      <c r="E1447" s="1">
        <v>5.75</v>
      </c>
      <c r="F1447" s="1">
        <v>-1.5</v>
      </c>
      <c r="G1447" s="1">
        <v>140.0</v>
      </c>
      <c r="H1447" s="1" t="s">
        <v>809</v>
      </c>
      <c r="I1447" s="1">
        <v>32.0</v>
      </c>
      <c r="J1447" s="1" t="s">
        <v>809</v>
      </c>
      <c r="K1447" s="1">
        <v>1.0</v>
      </c>
      <c r="L1447" s="1">
        <v>108750.0</v>
      </c>
    </row>
    <row r="1448">
      <c r="A1448" s="1">
        <v>521.0</v>
      </c>
      <c r="B1448" s="1" t="s">
        <v>825</v>
      </c>
      <c r="C1448" s="1" t="s">
        <v>810</v>
      </c>
      <c r="D1448" s="1" t="s">
        <v>1041</v>
      </c>
      <c r="E1448" s="1">
        <v>5.75</v>
      </c>
      <c r="F1448" s="1">
        <v>-1.0</v>
      </c>
      <c r="G1448" s="1">
        <v>70.0</v>
      </c>
      <c r="H1448" s="1" t="s">
        <v>809</v>
      </c>
      <c r="I1448" s="1">
        <v>29.0</v>
      </c>
      <c r="J1448" s="1" t="s">
        <v>809</v>
      </c>
      <c r="K1448" s="1">
        <v>1.0</v>
      </c>
      <c r="L1448" s="1">
        <v>108750.0</v>
      </c>
    </row>
    <row r="1449">
      <c r="A1449" s="1">
        <v>522.0</v>
      </c>
      <c r="B1449" s="1" t="s">
        <v>806</v>
      </c>
      <c r="C1449" s="1" t="s">
        <v>807</v>
      </c>
      <c r="D1449" s="1" t="s">
        <v>1042</v>
      </c>
      <c r="E1449" s="1">
        <v>1.0</v>
      </c>
      <c r="F1449" s="1">
        <v>-0.25</v>
      </c>
      <c r="G1449" s="1">
        <v>75.0</v>
      </c>
      <c r="H1449" s="1">
        <v>2.0</v>
      </c>
      <c r="I1449" s="1">
        <v>30.0</v>
      </c>
      <c r="J1449" s="1">
        <v>26.0</v>
      </c>
      <c r="K1449" s="1">
        <v>1.0</v>
      </c>
      <c r="L1449" s="1">
        <v>400000.0</v>
      </c>
    </row>
    <row r="1450">
      <c r="A1450" s="1">
        <v>522.0</v>
      </c>
      <c r="B1450" s="1" t="s">
        <v>806</v>
      </c>
      <c r="C1450" s="1" t="s">
        <v>810</v>
      </c>
      <c r="D1450" s="1" t="s">
        <v>1042</v>
      </c>
      <c r="E1450" s="1">
        <v>1.0</v>
      </c>
      <c r="F1450" s="1">
        <v>0.0</v>
      </c>
      <c r="G1450" s="1" t="s">
        <v>809</v>
      </c>
      <c r="H1450" s="1">
        <v>2.0</v>
      </c>
      <c r="I1450" s="1">
        <v>30.0</v>
      </c>
      <c r="J1450" s="1">
        <v>26.0</v>
      </c>
      <c r="K1450" s="1">
        <v>1.0</v>
      </c>
      <c r="L1450" s="1">
        <v>400000.0</v>
      </c>
    </row>
    <row r="1451">
      <c r="A1451" s="1">
        <v>522.0</v>
      </c>
      <c r="B1451" s="1" t="s">
        <v>806</v>
      </c>
      <c r="C1451" s="1" t="s">
        <v>809</v>
      </c>
      <c r="D1451" s="1" t="s">
        <v>912</v>
      </c>
      <c r="E1451" s="1" t="s">
        <v>809</v>
      </c>
      <c r="F1451" s="1" t="s">
        <v>809</v>
      </c>
      <c r="G1451" s="1" t="s">
        <v>809</v>
      </c>
      <c r="H1451" s="1" t="s">
        <v>809</v>
      </c>
      <c r="I1451" s="1" t="s">
        <v>809</v>
      </c>
      <c r="J1451" s="1" t="s">
        <v>809</v>
      </c>
      <c r="K1451" s="1">
        <v>1.0</v>
      </c>
      <c r="L1451" s="1">
        <v>120000.0</v>
      </c>
    </row>
    <row r="1452">
      <c r="A1452" s="1">
        <v>523.0</v>
      </c>
      <c r="B1452" s="1" t="s">
        <v>809</v>
      </c>
      <c r="C1452" s="1" t="s">
        <v>809</v>
      </c>
      <c r="D1452" s="1" t="s">
        <v>1029</v>
      </c>
      <c r="E1452" s="1" t="s">
        <v>809</v>
      </c>
      <c r="F1452" s="1" t="s">
        <v>809</v>
      </c>
      <c r="G1452" s="1" t="s">
        <v>809</v>
      </c>
      <c r="H1452" s="1" t="s">
        <v>809</v>
      </c>
      <c r="I1452" s="1" t="s">
        <v>809</v>
      </c>
      <c r="J1452" s="1" t="s">
        <v>809</v>
      </c>
      <c r="K1452" s="1">
        <v>1.0</v>
      </c>
      <c r="L1452" s="1">
        <v>170000.0</v>
      </c>
    </row>
    <row r="1453">
      <c r="A1453" s="1">
        <v>524.0</v>
      </c>
      <c r="B1453" s="1" t="s">
        <v>809</v>
      </c>
      <c r="C1453" s="1" t="s">
        <v>809</v>
      </c>
      <c r="D1453" s="1" t="s">
        <v>910</v>
      </c>
      <c r="E1453" s="1" t="s">
        <v>809</v>
      </c>
      <c r="F1453" s="1" t="s">
        <v>809</v>
      </c>
      <c r="G1453" s="1" t="s">
        <v>809</v>
      </c>
      <c r="H1453" s="1" t="s">
        <v>809</v>
      </c>
      <c r="I1453" s="1" t="s">
        <v>809</v>
      </c>
      <c r="J1453" s="1" t="s">
        <v>809</v>
      </c>
      <c r="K1453" s="1">
        <v>1.0</v>
      </c>
      <c r="L1453" s="1">
        <v>60000.0</v>
      </c>
    </row>
    <row r="1454">
      <c r="A1454" s="1">
        <v>525.0</v>
      </c>
      <c r="B1454" s="1" t="s">
        <v>809</v>
      </c>
      <c r="C1454" s="1" t="s">
        <v>809</v>
      </c>
      <c r="D1454" s="1" t="s">
        <v>1043</v>
      </c>
      <c r="E1454" s="1" t="s">
        <v>809</v>
      </c>
      <c r="F1454" s="1" t="s">
        <v>809</v>
      </c>
      <c r="G1454" s="1" t="s">
        <v>809</v>
      </c>
      <c r="H1454" s="1" t="s">
        <v>809</v>
      </c>
      <c r="I1454" s="1" t="s">
        <v>809</v>
      </c>
      <c r="J1454" s="1" t="s">
        <v>809</v>
      </c>
      <c r="K1454" s="1">
        <v>1.0</v>
      </c>
      <c r="L1454" s="1">
        <v>126000.0</v>
      </c>
    </row>
    <row r="1455">
      <c r="A1455" s="1">
        <v>526.0</v>
      </c>
      <c r="B1455" s="1" t="s">
        <v>806</v>
      </c>
      <c r="C1455" s="1" t="s">
        <v>807</v>
      </c>
      <c r="D1455" s="1" t="s">
        <v>808</v>
      </c>
      <c r="E1455" s="1">
        <v>0.0</v>
      </c>
      <c r="F1455" s="1">
        <v>0.0</v>
      </c>
      <c r="G1455" s="1" t="s">
        <v>809</v>
      </c>
      <c r="H1455" s="1" t="s">
        <v>809</v>
      </c>
      <c r="I1455" s="1" t="s">
        <v>809</v>
      </c>
      <c r="J1455" s="1" t="s">
        <v>809</v>
      </c>
      <c r="K1455" s="1">
        <v>1.0</v>
      </c>
      <c r="L1455" s="1">
        <v>40000.0</v>
      </c>
    </row>
    <row r="1456">
      <c r="A1456" s="1">
        <v>526.0</v>
      </c>
      <c r="B1456" s="1" t="s">
        <v>806</v>
      </c>
      <c r="C1456" s="1" t="s">
        <v>810</v>
      </c>
      <c r="D1456" s="1" t="s">
        <v>808</v>
      </c>
      <c r="E1456" s="1">
        <v>0.0</v>
      </c>
      <c r="F1456" s="1">
        <v>0.0</v>
      </c>
      <c r="G1456" s="1" t="s">
        <v>809</v>
      </c>
      <c r="H1456" s="1" t="s">
        <v>809</v>
      </c>
      <c r="I1456" s="1" t="s">
        <v>809</v>
      </c>
      <c r="J1456" s="1" t="s">
        <v>809</v>
      </c>
      <c r="K1456" s="1">
        <v>1.0</v>
      </c>
      <c r="L1456" s="1">
        <v>40000.0</v>
      </c>
    </row>
    <row r="1457">
      <c r="A1457" s="1">
        <v>526.0</v>
      </c>
      <c r="B1457" s="1" t="s">
        <v>825</v>
      </c>
      <c r="C1457" s="1" t="s">
        <v>807</v>
      </c>
      <c r="D1457" s="1" t="s">
        <v>812</v>
      </c>
      <c r="E1457" s="1">
        <v>0.0</v>
      </c>
      <c r="F1457" s="1">
        <v>0.0</v>
      </c>
      <c r="G1457" s="1" t="s">
        <v>809</v>
      </c>
      <c r="H1457" s="1" t="s">
        <v>809</v>
      </c>
      <c r="I1457" s="1" t="s">
        <v>809</v>
      </c>
      <c r="J1457" s="1" t="s">
        <v>809</v>
      </c>
      <c r="K1457" s="1">
        <v>1.0</v>
      </c>
      <c r="L1457" s="1">
        <v>30000.0</v>
      </c>
    </row>
    <row r="1458">
      <c r="A1458" s="1">
        <v>526.0</v>
      </c>
      <c r="B1458" s="1" t="s">
        <v>825</v>
      </c>
      <c r="C1458" s="1" t="s">
        <v>810</v>
      </c>
      <c r="D1458" s="1" t="s">
        <v>812</v>
      </c>
      <c r="E1458" s="1">
        <v>0.0</v>
      </c>
      <c r="F1458" s="1">
        <v>0.0</v>
      </c>
      <c r="G1458" s="1" t="s">
        <v>809</v>
      </c>
      <c r="H1458" s="1" t="s">
        <v>809</v>
      </c>
      <c r="I1458" s="1" t="s">
        <v>809</v>
      </c>
      <c r="J1458" s="1" t="s">
        <v>809</v>
      </c>
      <c r="K1458" s="1">
        <v>1.0</v>
      </c>
      <c r="L1458" s="1">
        <v>30000.0</v>
      </c>
    </row>
    <row r="1459">
      <c r="A1459" s="1">
        <v>526.0</v>
      </c>
      <c r="B1459" s="1" t="s">
        <v>825</v>
      </c>
      <c r="C1459" s="1" t="s">
        <v>809</v>
      </c>
      <c r="D1459" s="1" t="s">
        <v>929</v>
      </c>
      <c r="E1459" s="1" t="s">
        <v>809</v>
      </c>
      <c r="F1459" s="1" t="s">
        <v>809</v>
      </c>
      <c r="G1459" s="1" t="s">
        <v>809</v>
      </c>
      <c r="H1459" s="1" t="s">
        <v>809</v>
      </c>
      <c r="I1459" s="1" t="s">
        <v>809</v>
      </c>
      <c r="J1459" s="1" t="s">
        <v>809</v>
      </c>
      <c r="K1459" s="1">
        <v>1.0</v>
      </c>
      <c r="L1459" s="1">
        <v>130000.0</v>
      </c>
    </row>
    <row r="1460">
      <c r="A1460" s="1">
        <v>527.0</v>
      </c>
      <c r="B1460" s="1" t="s">
        <v>806</v>
      </c>
      <c r="C1460" s="1" t="s">
        <v>807</v>
      </c>
      <c r="D1460" s="1" t="s">
        <v>1044</v>
      </c>
      <c r="E1460" s="1">
        <v>0.0</v>
      </c>
      <c r="F1460" s="1">
        <v>-0.75</v>
      </c>
      <c r="G1460" s="1">
        <v>170.0</v>
      </c>
      <c r="H1460" s="1">
        <v>1.25</v>
      </c>
      <c r="I1460" s="1">
        <v>29.0</v>
      </c>
      <c r="J1460" s="1">
        <v>27.0</v>
      </c>
      <c r="K1460" s="1">
        <v>1.0</v>
      </c>
      <c r="L1460" s="1">
        <v>475200.0</v>
      </c>
    </row>
    <row r="1461">
      <c r="A1461" s="1">
        <v>527.0</v>
      </c>
      <c r="B1461" s="1" t="s">
        <v>806</v>
      </c>
      <c r="C1461" s="1" t="s">
        <v>810</v>
      </c>
      <c r="D1461" s="1" t="s">
        <v>1044</v>
      </c>
      <c r="E1461" s="1">
        <v>0.0</v>
      </c>
      <c r="F1461" s="1">
        <v>-0.75</v>
      </c>
      <c r="G1461" s="1">
        <v>180.0</v>
      </c>
      <c r="H1461" s="1">
        <v>1.25</v>
      </c>
      <c r="I1461" s="1">
        <v>31.0</v>
      </c>
      <c r="J1461" s="1">
        <v>29.0</v>
      </c>
      <c r="K1461" s="1">
        <v>1.0</v>
      </c>
      <c r="L1461" s="1">
        <v>484800.0</v>
      </c>
    </row>
    <row r="1462">
      <c r="A1462" s="1">
        <v>528.0</v>
      </c>
      <c r="B1462" s="1" t="s">
        <v>806</v>
      </c>
      <c r="C1462" s="1" t="s">
        <v>807</v>
      </c>
      <c r="D1462" s="1" t="s">
        <v>836</v>
      </c>
      <c r="E1462" s="1">
        <v>1.0</v>
      </c>
      <c r="F1462" s="1">
        <v>0.0</v>
      </c>
      <c r="G1462" s="1" t="s">
        <v>809</v>
      </c>
      <c r="H1462" s="1" t="s">
        <v>809</v>
      </c>
      <c r="I1462" s="1" t="s">
        <v>809</v>
      </c>
      <c r="J1462" s="1" t="s">
        <v>809</v>
      </c>
      <c r="K1462" s="1">
        <v>1.0</v>
      </c>
      <c r="L1462" s="1">
        <v>45000.0</v>
      </c>
    </row>
    <row r="1463">
      <c r="A1463" s="1">
        <v>528.0</v>
      </c>
      <c r="B1463" s="1" t="s">
        <v>806</v>
      </c>
      <c r="C1463" s="1" t="s">
        <v>810</v>
      </c>
      <c r="D1463" s="1" t="s">
        <v>836</v>
      </c>
      <c r="E1463" s="1">
        <v>1.0</v>
      </c>
      <c r="F1463" s="1">
        <v>0.0</v>
      </c>
      <c r="G1463" s="1" t="s">
        <v>809</v>
      </c>
      <c r="H1463" s="1" t="s">
        <v>809</v>
      </c>
      <c r="I1463" s="1" t="s">
        <v>809</v>
      </c>
      <c r="J1463" s="1" t="s">
        <v>809</v>
      </c>
      <c r="K1463" s="1">
        <v>1.0</v>
      </c>
      <c r="L1463" s="1">
        <v>45000.0</v>
      </c>
    </row>
    <row r="1464">
      <c r="A1464" s="1">
        <v>528.0</v>
      </c>
      <c r="B1464" s="1" t="s">
        <v>806</v>
      </c>
      <c r="C1464" s="1" t="s">
        <v>809</v>
      </c>
      <c r="D1464" s="1" t="s">
        <v>1045</v>
      </c>
      <c r="E1464" s="1" t="s">
        <v>809</v>
      </c>
      <c r="F1464" s="1" t="s">
        <v>809</v>
      </c>
      <c r="G1464" s="1" t="s">
        <v>809</v>
      </c>
      <c r="H1464" s="1" t="s">
        <v>809</v>
      </c>
      <c r="I1464" s="1" t="s">
        <v>809</v>
      </c>
      <c r="J1464" s="1" t="s">
        <v>809</v>
      </c>
      <c r="K1464" s="1">
        <v>1.0</v>
      </c>
      <c r="L1464" s="1">
        <v>154000.0</v>
      </c>
    </row>
    <row r="1465">
      <c r="A1465" s="1">
        <v>529.0</v>
      </c>
      <c r="B1465" s="1" t="s">
        <v>806</v>
      </c>
      <c r="C1465" s="1" t="s">
        <v>807</v>
      </c>
      <c r="D1465" s="1" t="s">
        <v>808</v>
      </c>
      <c r="E1465" s="1">
        <v>-2.25</v>
      </c>
      <c r="F1465" s="1">
        <v>0.0</v>
      </c>
      <c r="G1465" s="1" t="s">
        <v>809</v>
      </c>
      <c r="H1465" s="1" t="s">
        <v>809</v>
      </c>
      <c r="I1465" s="1">
        <v>30.0</v>
      </c>
      <c r="J1465" s="1">
        <v>26.0</v>
      </c>
      <c r="K1465" s="1">
        <v>1.0</v>
      </c>
      <c r="L1465" s="1">
        <v>40000.0</v>
      </c>
    </row>
    <row r="1466">
      <c r="A1466" s="1">
        <v>529.0</v>
      </c>
      <c r="B1466" s="1" t="s">
        <v>806</v>
      </c>
      <c r="C1466" s="1" t="s">
        <v>810</v>
      </c>
      <c r="D1466" s="1" t="s">
        <v>808</v>
      </c>
      <c r="E1466" s="1">
        <v>-0.5</v>
      </c>
      <c r="F1466" s="1">
        <v>-0.75</v>
      </c>
      <c r="G1466" s="1">
        <v>0.0</v>
      </c>
      <c r="H1466" s="1" t="s">
        <v>809</v>
      </c>
      <c r="I1466" s="1">
        <v>30.0</v>
      </c>
      <c r="J1466" s="1">
        <v>26.0</v>
      </c>
      <c r="K1466" s="1">
        <v>1.0</v>
      </c>
      <c r="L1466" s="1">
        <v>40000.0</v>
      </c>
    </row>
    <row r="1467">
      <c r="A1467" s="1">
        <v>530.0</v>
      </c>
      <c r="B1467" s="1" t="s">
        <v>806</v>
      </c>
      <c r="C1467" s="1" t="s">
        <v>807</v>
      </c>
      <c r="D1467" s="1" t="s">
        <v>836</v>
      </c>
      <c r="E1467" s="1">
        <v>0.0</v>
      </c>
      <c r="F1467" s="1">
        <v>0.0</v>
      </c>
      <c r="G1467" s="1" t="s">
        <v>809</v>
      </c>
      <c r="H1467" s="1" t="s">
        <v>809</v>
      </c>
      <c r="I1467" s="1" t="s">
        <v>809</v>
      </c>
      <c r="J1467" s="1" t="s">
        <v>809</v>
      </c>
      <c r="K1467" s="1">
        <v>1.0</v>
      </c>
      <c r="L1467" s="1">
        <v>40000.0</v>
      </c>
    </row>
    <row r="1468">
      <c r="A1468" s="1">
        <v>530.0</v>
      </c>
      <c r="B1468" s="1" t="s">
        <v>806</v>
      </c>
      <c r="C1468" s="1" t="s">
        <v>810</v>
      </c>
      <c r="D1468" s="1" t="s">
        <v>836</v>
      </c>
      <c r="E1468" s="1">
        <v>0.0</v>
      </c>
      <c r="F1468" s="1">
        <v>0.0</v>
      </c>
      <c r="G1468" s="1" t="s">
        <v>809</v>
      </c>
      <c r="H1468" s="1" t="s">
        <v>809</v>
      </c>
      <c r="I1468" s="1" t="s">
        <v>809</v>
      </c>
      <c r="J1468" s="1" t="s">
        <v>809</v>
      </c>
      <c r="K1468" s="1">
        <v>1.0</v>
      </c>
      <c r="L1468" s="1">
        <v>40000.0</v>
      </c>
    </row>
    <row r="1469">
      <c r="A1469" s="1">
        <v>530.0</v>
      </c>
      <c r="B1469" s="1" t="s">
        <v>806</v>
      </c>
      <c r="C1469" s="1" t="s">
        <v>809</v>
      </c>
      <c r="D1469" s="1" t="s">
        <v>876</v>
      </c>
      <c r="E1469" s="1" t="s">
        <v>809</v>
      </c>
      <c r="F1469" s="1" t="s">
        <v>809</v>
      </c>
      <c r="G1469" s="1" t="s">
        <v>809</v>
      </c>
      <c r="H1469" s="1" t="s">
        <v>809</v>
      </c>
      <c r="I1469" s="1" t="s">
        <v>809</v>
      </c>
      <c r="J1469" s="1" t="s">
        <v>809</v>
      </c>
      <c r="K1469" s="1">
        <v>1.0</v>
      </c>
      <c r="L1469" s="1">
        <v>145000.0</v>
      </c>
    </row>
    <row r="1470">
      <c r="A1470" s="1">
        <v>531.0</v>
      </c>
      <c r="B1470" s="1" t="s">
        <v>806</v>
      </c>
      <c r="C1470" s="1" t="s">
        <v>807</v>
      </c>
      <c r="D1470" s="1" t="s">
        <v>812</v>
      </c>
      <c r="E1470" s="1">
        <v>-0.25</v>
      </c>
      <c r="F1470" s="1">
        <v>0.0</v>
      </c>
      <c r="G1470" s="1" t="s">
        <v>809</v>
      </c>
      <c r="H1470" s="1" t="s">
        <v>809</v>
      </c>
      <c r="I1470" s="1" t="s">
        <v>809</v>
      </c>
      <c r="J1470" s="1" t="s">
        <v>809</v>
      </c>
      <c r="K1470" s="1">
        <v>1.0</v>
      </c>
      <c r="L1470" s="1">
        <v>30613.0</v>
      </c>
    </row>
    <row r="1471">
      <c r="A1471" s="1">
        <v>531.0</v>
      </c>
      <c r="B1471" s="1" t="s">
        <v>806</v>
      </c>
      <c r="C1471" s="1" t="s">
        <v>810</v>
      </c>
      <c r="D1471" s="1" t="s">
        <v>812</v>
      </c>
      <c r="E1471" s="1">
        <v>-0.25</v>
      </c>
      <c r="F1471" s="1">
        <v>0.0</v>
      </c>
      <c r="G1471" s="1" t="s">
        <v>809</v>
      </c>
      <c r="H1471" s="1" t="s">
        <v>809</v>
      </c>
      <c r="I1471" s="1" t="s">
        <v>809</v>
      </c>
      <c r="J1471" s="1" t="s">
        <v>809</v>
      </c>
      <c r="K1471" s="1">
        <v>1.0</v>
      </c>
      <c r="L1471" s="1">
        <v>30613.0</v>
      </c>
    </row>
    <row r="1472">
      <c r="A1472" s="1">
        <v>531.0</v>
      </c>
      <c r="B1472" s="1" t="s">
        <v>806</v>
      </c>
      <c r="C1472" s="1" t="s">
        <v>809</v>
      </c>
      <c r="D1472" s="1" t="s">
        <v>829</v>
      </c>
      <c r="E1472" s="1" t="s">
        <v>809</v>
      </c>
      <c r="F1472" s="1" t="s">
        <v>809</v>
      </c>
      <c r="G1472" s="1" t="s">
        <v>809</v>
      </c>
      <c r="H1472" s="1" t="s">
        <v>809</v>
      </c>
      <c r="I1472" s="1" t="s">
        <v>809</v>
      </c>
      <c r="J1472" s="1" t="s">
        <v>809</v>
      </c>
      <c r="K1472" s="1">
        <v>1.0</v>
      </c>
      <c r="L1472" s="1">
        <v>149000.0</v>
      </c>
    </row>
    <row r="1473">
      <c r="A1473" s="1">
        <v>532.0</v>
      </c>
      <c r="B1473" s="1" t="s">
        <v>809</v>
      </c>
      <c r="C1473" s="1" t="s">
        <v>809</v>
      </c>
      <c r="D1473" s="1" t="s">
        <v>1029</v>
      </c>
      <c r="E1473" s="1" t="s">
        <v>809</v>
      </c>
      <c r="F1473" s="1" t="s">
        <v>809</v>
      </c>
      <c r="G1473" s="1" t="s">
        <v>809</v>
      </c>
      <c r="H1473" s="1" t="s">
        <v>809</v>
      </c>
      <c r="I1473" s="1" t="s">
        <v>809</v>
      </c>
      <c r="J1473" s="1" t="s">
        <v>809</v>
      </c>
      <c r="K1473" s="1">
        <v>1.0</v>
      </c>
      <c r="L1473" s="1">
        <v>120000.0</v>
      </c>
    </row>
    <row r="1474">
      <c r="A1474" s="1">
        <v>533.0</v>
      </c>
      <c r="B1474" s="1" t="s">
        <v>806</v>
      </c>
      <c r="C1474" s="1" t="s">
        <v>807</v>
      </c>
      <c r="D1474" s="1" t="s">
        <v>836</v>
      </c>
      <c r="E1474" s="1">
        <v>2.25</v>
      </c>
      <c r="F1474" s="1">
        <v>0.0</v>
      </c>
      <c r="G1474" s="1" t="s">
        <v>809</v>
      </c>
      <c r="H1474" s="1" t="s">
        <v>809</v>
      </c>
      <c r="I1474" s="1" t="s">
        <v>809</v>
      </c>
      <c r="J1474" s="1" t="s">
        <v>809</v>
      </c>
      <c r="K1474" s="1">
        <v>1.0</v>
      </c>
      <c r="L1474" s="1">
        <v>40000.0</v>
      </c>
    </row>
    <row r="1475">
      <c r="A1475" s="1">
        <v>533.0</v>
      </c>
      <c r="B1475" s="1" t="s">
        <v>806</v>
      </c>
      <c r="C1475" s="1" t="s">
        <v>810</v>
      </c>
      <c r="D1475" s="1" t="s">
        <v>836</v>
      </c>
      <c r="E1475" s="1">
        <v>2.25</v>
      </c>
      <c r="F1475" s="1">
        <v>0.0</v>
      </c>
      <c r="G1475" s="1" t="s">
        <v>809</v>
      </c>
      <c r="H1475" s="1" t="s">
        <v>809</v>
      </c>
      <c r="I1475" s="1" t="s">
        <v>809</v>
      </c>
      <c r="J1475" s="1" t="s">
        <v>809</v>
      </c>
      <c r="K1475" s="1">
        <v>1.0</v>
      </c>
      <c r="L1475" s="1">
        <v>40000.0</v>
      </c>
    </row>
    <row r="1476">
      <c r="A1476" s="1">
        <v>533.0</v>
      </c>
      <c r="B1476" s="1" t="s">
        <v>806</v>
      </c>
      <c r="C1476" s="1" t="s">
        <v>809</v>
      </c>
      <c r="D1476" s="1" t="s">
        <v>957</v>
      </c>
      <c r="E1476" s="1" t="s">
        <v>809</v>
      </c>
      <c r="F1476" s="1" t="s">
        <v>809</v>
      </c>
      <c r="G1476" s="1" t="s">
        <v>809</v>
      </c>
      <c r="H1476" s="1" t="s">
        <v>809</v>
      </c>
      <c r="I1476" s="1" t="s">
        <v>809</v>
      </c>
      <c r="J1476" s="1" t="s">
        <v>809</v>
      </c>
      <c r="K1476" s="1">
        <v>1.0</v>
      </c>
      <c r="L1476" s="1">
        <v>120000.0</v>
      </c>
    </row>
    <row r="1477">
      <c r="A1477" s="1">
        <v>534.0</v>
      </c>
      <c r="B1477" s="1" t="s">
        <v>806</v>
      </c>
      <c r="C1477" s="1" t="s">
        <v>807</v>
      </c>
      <c r="D1477" s="1" t="s">
        <v>836</v>
      </c>
      <c r="E1477" s="1">
        <v>0.0</v>
      </c>
      <c r="F1477" s="1">
        <v>0.0</v>
      </c>
      <c r="G1477" s="1" t="s">
        <v>809</v>
      </c>
      <c r="H1477" s="1" t="s">
        <v>809</v>
      </c>
      <c r="I1477" s="1" t="s">
        <v>809</v>
      </c>
      <c r="J1477" s="1" t="s">
        <v>809</v>
      </c>
      <c r="K1477" s="1">
        <v>1.0</v>
      </c>
      <c r="L1477" s="1">
        <v>55853.0</v>
      </c>
    </row>
    <row r="1478">
      <c r="A1478" s="1">
        <v>534.0</v>
      </c>
      <c r="B1478" s="1" t="s">
        <v>806</v>
      </c>
      <c r="C1478" s="1" t="s">
        <v>810</v>
      </c>
      <c r="D1478" s="1" t="s">
        <v>836</v>
      </c>
      <c r="E1478" s="1">
        <v>0.0</v>
      </c>
      <c r="F1478" s="1">
        <v>0.0</v>
      </c>
      <c r="G1478" s="1" t="s">
        <v>809</v>
      </c>
      <c r="H1478" s="1" t="s">
        <v>809</v>
      </c>
      <c r="I1478" s="1" t="s">
        <v>809</v>
      </c>
      <c r="J1478" s="1" t="s">
        <v>809</v>
      </c>
      <c r="K1478" s="1">
        <v>1.0</v>
      </c>
      <c r="L1478" s="1">
        <v>55853.0</v>
      </c>
    </row>
    <row r="1479">
      <c r="A1479" s="1">
        <v>534.0</v>
      </c>
      <c r="B1479" s="1" t="s">
        <v>806</v>
      </c>
      <c r="C1479" s="1" t="s">
        <v>809</v>
      </c>
      <c r="D1479" s="1" t="s">
        <v>958</v>
      </c>
      <c r="E1479" s="1" t="s">
        <v>809</v>
      </c>
      <c r="F1479" s="1" t="s">
        <v>809</v>
      </c>
      <c r="G1479" s="1" t="s">
        <v>809</v>
      </c>
      <c r="H1479" s="1" t="s">
        <v>809</v>
      </c>
      <c r="I1479" s="1" t="s">
        <v>809</v>
      </c>
      <c r="J1479" s="1" t="s">
        <v>809</v>
      </c>
      <c r="K1479" s="1">
        <v>1.0</v>
      </c>
      <c r="L1479" s="1">
        <v>184000.0</v>
      </c>
    </row>
    <row r="1480">
      <c r="A1480" s="1">
        <v>535.0</v>
      </c>
      <c r="B1480" s="1" t="s">
        <v>806</v>
      </c>
      <c r="C1480" s="1" t="s">
        <v>807</v>
      </c>
      <c r="D1480" s="1" t="s">
        <v>1046</v>
      </c>
      <c r="E1480" s="1">
        <v>0.0</v>
      </c>
      <c r="F1480" s="1">
        <v>-1.0</v>
      </c>
      <c r="G1480" s="1">
        <v>175.0</v>
      </c>
      <c r="H1480" s="1">
        <v>0.75</v>
      </c>
      <c r="I1480" s="1">
        <v>29.0</v>
      </c>
      <c r="J1480" s="1">
        <v>27.0</v>
      </c>
      <c r="K1480" s="1">
        <v>1.0</v>
      </c>
      <c r="L1480" s="1">
        <v>480000.0</v>
      </c>
    </row>
    <row r="1481">
      <c r="A1481" s="1">
        <v>535.0</v>
      </c>
      <c r="B1481" s="1" t="s">
        <v>806</v>
      </c>
      <c r="C1481" s="1" t="s">
        <v>810</v>
      </c>
      <c r="D1481" s="1" t="s">
        <v>1046</v>
      </c>
      <c r="E1481" s="1">
        <v>0.0</v>
      </c>
      <c r="F1481" s="1">
        <v>-1.25</v>
      </c>
      <c r="G1481" s="1">
        <v>180.0</v>
      </c>
      <c r="H1481" s="1">
        <v>0.75</v>
      </c>
      <c r="I1481" s="1">
        <v>29.0</v>
      </c>
      <c r="J1481" s="1">
        <v>27.0</v>
      </c>
      <c r="K1481" s="1">
        <v>1.0</v>
      </c>
      <c r="L1481" s="1">
        <v>480000.0</v>
      </c>
    </row>
    <row r="1482">
      <c r="A1482" s="1">
        <v>535.0</v>
      </c>
      <c r="B1482" s="1" t="s">
        <v>806</v>
      </c>
      <c r="C1482" s="1" t="s">
        <v>809</v>
      </c>
      <c r="D1482" s="1" t="s">
        <v>929</v>
      </c>
      <c r="E1482" s="1" t="s">
        <v>809</v>
      </c>
      <c r="F1482" s="1" t="s">
        <v>809</v>
      </c>
      <c r="G1482" s="1" t="s">
        <v>809</v>
      </c>
      <c r="H1482" s="1" t="s">
        <v>809</v>
      </c>
      <c r="I1482" s="1" t="s">
        <v>809</v>
      </c>
      <c r="J1482" s="1" t="s">
        <v>809</v>
      </c>
      <c r="K1482" s="1">
        <v>1.0</v>
      </c>
      <c r="L1482" s="1">
        <v>135000.0</v>
      </c>
    </row>
    <row r="1483">
      <c r="A1483" s="1">
        <v>536.0</v>
      </c>
      <c r="B1483" s="1" t="s">
        <v>809</v>
      </c>
      <c r="C1483" s="1" t="s">
        <v>809</v>
      </c>
      <c r="D1483" s="1" t="s">
        <v>1047</v>
      </c>
      <c r="E1483" s="1" t="s">
        <v>809</v>
      </c>
      <c r="F1483" s="1" t="s">
        <v>809</v>
      </c>
      <c r="G1483" s="1" t="s">
        <v>809</v>
      </c>
      <c r="H1483" s="1" t="s">
        <v>809</v>
      </c>
      <c r="I1483" s="1" t="s">
        <v>809</v>
      </c>
      <c r="J1483" s="1" t="s">
        <v>809</v>
      </c>
      <c r="K1483" s="1">
        <v>1.0</v>
      </c>
      <c r="L1483" s="1">
        <v>135000.0</v>
      </c>
    </row>
    <row r="1484">
      <c r="A1484" s="1">
        <v>537.0</v>
      </c>
      <c r="B1484" s="1" t="s">
        <v>806</v>
      </c>
      <c r="C1484" s="1" t="s">
        <v>807</v>
      </c>
      <c r="D1484" s="1" t="s">
        <v>865</v>
      </c>
      <c r="E1484" s="1">
        <v>0.0</v>
      </c>
      <c r="F1484" s="1">
        <v>0.0</v>
      </c>
      <c r="G1484" s="1" t="s">
        <v>809</v>
      </c>
      <c r="H1484" s="1" t="s">
        <v>809</v>
      </c>
      <c r="I1484" s="1" t="s">
        <v>809</v>
      </c>
      <c r="J1484" s="1" t="s">
        <v>809</v>
      </c>
      <c r="K1484" s="1">
        <v>1.0</v>
      </c>
      <c r="L1484" s="1">
        <v>40000.0</v>
      </c>
    </row>
    <row r="1485">
      <c r="A1485" s="1">
        <v>537.0</v>
      </c>
      <c r="B1485" s="1" t="s">
        <v>806</v>
      </c>
      <c r="C1485" s="1" t="s">
        <v>810</v>
      </c>
      <c r="D1485" s="1" t="s">
        <v>865</v>
      </c>
      <c r="E1485" s="1">
        <v>0.0</v>
      </c>
      <c r="F1485" s="1">
        <v>0.0</v>
      </c>
      <c r="G1485" s="1" t="s">
        <v>809</v>
      </c>
      <c r="H1485" s="1" t="s">
        <v>809</v>
      </c>
      <c r="I1485" s="1" t="s">
        <v>809</v>
      </c>
      <c r="J1485" s="1" t="s">
        <v>809</v>
      </c>
      <c r="K1485" s="1">
        <v>1.0</v>
      </c>
      <c r="L1485" s="1">
        <v>40000.0</v>
      </c>
    </row>
    <row r="1486">
      <c r="A1486" s="1">
        <v>537.0</v>
      </c>
      <c r="B1486" s="1" t="s">
        <v>806</v>
      </c>
      <c r="C1486" s="1" t="s">
        <v>809</v>
      </c>
      <c r="D1486" s="1" t="s">
        <v>1048</v>
      </c>
      <c r="E1486" s="1" t="s">
        <v>809</v>
      </c>
      <c r="F1486" s="1" t="s">
        <v>809</v>
      </c>
      <c r="G1486" s="1" t="s">
        <v>809</v>
      </c>
      <c r="H1486" s="1" t="s">
        <v>809</v>
      </c>
      <c r="I1486" s="1" t="s">
        <v>809</v>
      </c>
      <c r="J1486" s="1" t="s">
        <v>809</v>
      </c>
      <c r="K1486" s="1">
        <v>1.0</v>
      </c>
      <c r="L1486" s="1">
        <v>120000.0</v>
      </c>
    </row>
    <row r="1487">
      <c r="A1487" s="1">
        <v>538.0</v>
      </c>
      <c r="B1487" s="1" t="s">
        <v>806</v>
      </c>
      <c r="C1487" s="1" t="s">
        <v>807</v>
      </c>
      <c r="D1487" s="1" t="s">
        <v>836</v>
      </c>
      <c r="E1487" s="1">
        <v>0.0</v>
      </c>
      <c r="F1487" s="1">
        <v>-0.5</v>
      </c>
      <c r="G1487" s="1">
        <v>90.0</v>
      </c>
      <c r="H1487" s="1" t="s">
        <v>809</v>
      </c>
      <c r="I1487" s="1" t="s">
        <v>809</v>
      </c>
      <c r="J1487" s="1" t="s">
        <v>809</v>
      </c>
      <c r="K1487" s="1">
        <v>1.0</v>
      </c>
      <c r="L1487" s="1">
        <v>45000.0</v>
      </c>
    </row>
    <row r="1488">
      <c r="A1488" s="1">
        <v>538.0</v>
      </c>
      <c r="B1488" s="1" t="s">
        <v>806</v>
      </c>
      <c r="C1488" s="1" t="s">
        <v>810</v>
      </c>
      <c r="D1488" s="1" t="s">
        <v>836</v>
      </c>
      <c r="E1488" s="1">
        <v>0.0</v>
      </c>
      <c r="F1488" s="1">
        <v>-0.25</v>
      </c>
      <c r="G1488" s="1">
        <v>80.0</v>
      </c>
      <c r="H1488" s="1" t="s">
        <v>809</v>
      </c>
      <c r="I1488" s="1" t="s">
        <v>809</v>
      </c>
      <c r="J1488" s="1" t="s">
        <v>809</v>
      </c>
      <c r="K1488" s="1">
        <v>1.0</v>
      </c>
      <c r="L1488" s="1">
        <v>45000.0</v>
      </c>
    </row>
    <row r="1489">
      <c r="A1489" s="1">
        <v>538.0</v>
      </c>
      <c r="B1489" s="1" t="s">
        <v>806</v>
      </c>
      <c r="C1489" s="1" t="s">
        <v>809</v>
      </c>
      <c r="D1489" s="1" t="s">
        <v>829</v>
      </c>
      <c r="E1489" s="1" t="s">
        <v>809</v>
      </c>
      <c r="F1489" s="1" t="s">
        <v>809</v>
      </c>
      <c r="G1489" s="1" t="s">
        <v>809</v>
      </c>
      <c r="H1489" s="1" t="s">
        <v>809</v>
      </c>
      <c r="I1489" s="1" t="s">
        <v>809</v>
      </c>
      <c r="J1489" s="1" t="s">
        <v>809</v>
      </c>
      <c r="K1489" s="1">
        <v>1.0</v>
      </c>
      <c r="L1489" s="1">
        <v>130000.0</v>
      </c>
    </row>
    <row r="1490">
      <c r="A1490" s="1">
        <v>539.0</v>
      </c>
      <c r="B1490" s="1" t="s">
        <v>806</v>
      </c>
      <c r="C1490" s="1" t="s">
        <v>807</v>
      </c>
      <c r="D1490" s="1" t="s">
        <v>1041</v>
      </c>
      <c r="E1490" s="1">
        <v>-6.0</v>
      </c>
      <c r="F1490" s="1">
        <v>-2.5</v>
      </c>
      <c r="G1490" s="1">
        <v>45.0</v>
      </c>
      <c r="H1490" s="1" t="s">
        <v>809</v>
      </c>
      <c r="I1490" s="1">
        <v>33.0</v>
      </c>
      <c r="J1490" s="1" t="s">
        <v>809</v>
      </c>
      <c r="K1490" s="1">
        <v>1.0</v>
      </c>
      <c r="L1490" s="1">
        <v>100000.0</v>
      </c>
    </row>
    <row r="1491">
      <c r="A1491" s="1">
        <v>539.0</v>
      </c>
      <c r="B1491" s="1" t="s">
        <v>806</v>
      </c>
      <c r="C1491" s="1" t="s">
        <v>810</v>
      </c>
      <c r="D1491" s="1" t="s">
        <v>1041</v>
      </c>
      <c r="E1491" s="1">
        <v>-6.75</v>
      </c>
      <c r="F1491" s="1">
        <v>-2.75</v>
      </c>
      <c r="G1491" s="1">
        <v>150.0</v>
      </c>
      <c r="H1491" s="1" t="s">
        <v>809</v>
      </c>
      <c r="I1491" s="1">
        <v>30.0</v>
      </c>
      <c r="J1491" s="1" t="s">
        <v>809</v>
      </c>
      <c r="K1491" s="1">
        <v>1.0</v>
      </c>
      <c r="L1491" s="1">
        <v>100000.0</v>
      </c>
    </row>
    <row r="1492">
      <c r="A1492" s="1">
        <v>539.0</v>
      </c>
      <c r="B1492" s="1" t="s">
        <v>806</v>
      </c>
      <c r="C1492" s="1" t="s">
        <v>809</v>
      </c>
      <c r="D1492" s="1" t="s">
        <v>912</v>
      </c>
      <c r="E1492" s="1" t="s">
        <v>809</v>
      </c>
      <c r="F1492" s="1" t="s">
        <v>809</v>
      </c>
      <c r="G1492" s="1" t="s">
        <v>809</v>
      </c>
      <c r="H1492" s="1" t="s">
        <v>809</v>
      </c>
      <c r="I1492" s="1" t="s">
        <v>809</v>
      </c>
      <c r="J1492" s="1" t="s">
        <v>809</v>
      </c>
      <c r="K1492" s="1">
        <v>1.0</v>
      </c>
      <c r="L1492" s="1">
        <v>88000.0</v>
      </c>
    </row>
    <row r="1493">
      <c r="A1493" s="1">
        <v>540.0</v>
      </c>
      <c r="B1493" s="1" t="s">
        <v>825</v>
      </c>
      <c r="C1493" s="1" t="s">
        <v>807</v>
      </c>
      <c r="D1493" s="1" t="s">
        <v>865</v>
      </c>
      <c r="E1493" s="1">
        <v>0.0</v>
      </c>
      <c r="F1493" s="1">
        <v>0.0</v>
      </c>
      <c r="G1493" s="1" t="s">
        <v>809</v>
      </c>
      <c r="H1493" s="1" t="s">
        <v>809</v>
      </c>
      <c r="I1493" s="1" t="s">
        <v>809</v>
      </c>
      <c r="J1493" s="1" t="s">
        <v>809</v>
      </c>
      <c r="K1493" s="1">
        <v>1.0</v>
      </c>
      <c r="L1493" s="1">
        <v>0.0</v>
      </c>
    </row>
    <row r="1494">
      <c r="A1494" s="1">
        <v>540.0</v>
      </c>
      <c r="B1494" s="1" t="s">
        <v>825</v>
      </c>
      <c r="C1494" s="1" t="s">
        <v>810</v>
      </c>
      <c r="D1494" s="1" t="s">
        <v>865</v>
      </c>
      <c r="E1494" s="1">
        <v>0.0</v>
      </c>
      <c r="F1494" s="1">
        <v>0.0</v>
      </c>
      <c r="G1494" s="1" t="s">
        <v>809</v>
      </c>
      <c r="H1494" s="1" t="s">
        <v>809</v>
      </c>
      <c r="I1494" s="1" t="s">
        <v>809</v>
      </c>
      <c r="J1494" s="1" t="s">
        <v>809</v>
      </c>
      <c r="K1494" s="1">
        <v>1.0</v>
      </c>
      <c r="L1494" s="1">
        <v>0.0</v>
      </c>
    </row>
    <row r="1495">
      <c r="A1495" s="1">
        <v>540.0</v>
      </c>
      <c r="B1495" s="1" t="s">
        <v>825</v>
      </c>
      <c r="C1495" s="1" t="s">
        <v>809</v>
      </c>
      <c r="D1495" s="1" t="s">
        <v>1021</v>
      </c>
      <c r="E1495" s="1" t="s">
        <v>809</v>
      </c>
      <c r="F1495" s="1" t="s">
        <v>809</v>
      </c>
      <c r="G1495" s="1" t="s">
        <v>809</v>
      </c>
      <c r="H1495" s="1" t="s">
        <v>809</v>
      </c>
      <c r="I1495" s="1" t="s">
        <v>809</v>
      </c>
      <c r="J1495" s="1" t="s">
        <v>809</v>
      </c>
      <c r="K1495" s="1">
        <v>1.0</v>
      </c>
      <c r="L1495" s="1">
        <v>145000.0</v>
      </c>
    </row>
    <row r="1496">
      <c r="A1496" s="1">
        <v>541.0</v>
      </c>
      <c r="B1496" s="1" t="s">
        <v>825</v>
      </c>
      <c r="C1496" s="1" t="s">
        <v>807</v>
      </c>
      <c r="D1496" s="1" t="s">
        <v>826</v>
      </c>
      <c r="E1496" s="1">
        <v>1.5</v>
      </c>
      <c r="F1496" s="1">
        <v>0.0</v>
      </c>
      <c r="G1496" s="1" t="s">
        <v>809</v>
      </c>
      <c r="H1496" s="1" t="s">
        <v>809</v>
      </c>
      <c r="I1496" s="1" t="s">
        <v>809</v>
      </c>
      <c r="J1496" s="1" t="s">
        <v>809</v>
      </c>
      <c r="K1496" s="1">
        <v>1.0</v>
      </c>
      <c r="L1496" s="1">
        <v>27500.0</v>
      </c>
    </row>
    <row r="1497">
      <c r="A1497" s="1">
        <v>541.0</v>
      </c>
      <c r="B1497" s="1" t="s">
        <v>825</v>
      </c>
      <c r="C1497" s="1" t="s">
        <v>810</v>
      </c>
      <c r="D1497" s="1" t="s">
        <v>826</v>
      </c>
      <c r="E1497" s="1">
        <v>1.5</v>
      </c>
      <c r="F1497" s="1">
        <v>0.0</v>
      </c>
      <c r="G1497" s="1" t="s">
        <v>809</v>
      </c>
      <c r="H1497" s="1" t="s">
        <v>809</v>
      </c>
      <c r="I1497" s="1" t="s">
        <v>809</v>
      </c>
      <c r="J1497" s="1" t="s">
        <v>809</v>
      </c>
      <c r="K1497" s="1">
        <v>1.0</v>
      </c>
      <c r="L1497" s="1">
        <v>27500.0</v>
      </c>
    </row>
    <row r="1498">
      <c r="A1498" s="1">
        <v>542.0</v>
      </c>
      <c r="B1498" s="1" t="s">
        <v>806</v>
      </c>
      <c r="C1498" s="1" t="s">
        <v>807</v>
      </c>
      <c r="D1498" s="1" t="s">
        <v>836</v>
      </c>
      <c r="E1498" s="1">
        <v>-1.0</v>
      </c>
      <c r="F1498" s="1">
        <v>0.0</v>
      </c>
      <c r="G1498" s="1" t="s">
        <v>809</v>
      </c>
      <c r="H1498" s="1" t="s">
        <v>809</v>
      </c>
      <c r="I1498" s="1" t="s">
        <v>809</v>
      </c>
      <c r="J1498" s="1" t="s">
        <v>809</v>
      </c>
      <c r="K1498" s="1">
        <v>1.0</v>
      </c>
      <c r="L1498" s="1">
        <v>57500.0</v>
      </c>
    </row>
    <row r="1499">
      <c r="A1499" s="1">
        <v>542.0</v>
      </c>
      <c r="B1499" s="1" t="s">
        <v>806</v>
      </c>
      <c r="C1499" s="1" t="s">
        <v>810</v>
      </c>
      <c r="D1499" s="1" t="s">
        <v>836</v>
      </c>
      <c r="E1499" s="1">
        <v>-0.5</v>
      </c>
      <c r="F1499" s="1">
        <v>0.0</v>
      </c>
      <c r="G1499" s="1" t="s">
        <v>809</v>
      </c>
      <c r="H1499" s="1" t="s">
        <v>809</v>
      </c>
      <c r="I1499" s="1" t="s">
        <v>809</v>
      </c>
      <c r="J1499" s="1" t="s">
        <v>809</v>
      </c>
      <c r="K1499" s="1">
        <v>1.0</v>
      </c>
      <c r="L1499" s="1">
        <v>57500.0</v>
      </c>
    </row>
    <row r="1500">
      <c r="A1500" s="1">
        <v>542.0</v>
      </c>
      <c r="B1500" s="1" t="s">
        <v>806</v>
      </c>
      <c r="C1500" s="1" t="s">
        <v>809</v>
      </c>
      <c r="D1500" s="1" t="s">
        <v>929</v>
      </c>
      <c r="E1500" s="1" t="s">
        <v>809</v>
      </c>
      <c r="F1500" s="1" t="s">
        <v>809</v>
      </c>
      <c r="G1500" s="1" t="s">
        <v>809</v>
      </c>
      <c r="H1500" s="1" t="s">
        <v>809</v>
      </c>
      <c r="I1500" s="1" t="s">
        <v>809</v>
      </c>
      <c r="J1500" s="1" t="s">
        <v>809</v>
      </c>
      <c r="K1500" s="1">
        <v>1.0</v>
      </c>
      <c r="L1500" s="1">
        <v>120000.0</v>
      </c>
    </row>
    <row r="1501">
      <c r="A1501" s="1">
        <v>543.0</v>
      </c>
      <c r="B1501" s="1" t="s">
        <v>806</v>
      </c>
      <c r="C1501" s="1" t="s">
        <v>807</v>
      </c>
      <c r="D1501" s="1" t="s">
        <v>836</v>
      </c>
      <c r="E1501" s="1">
        <v>0.25</v>
      </c>
      <c r="F1501" s="1">
        <v>-0.25</v>
      </c>
      <c r="G1501" s="1">
        <v>80.0</v>
      </c>
      <c r="H1501" s="1" t="s">
        <v>809</v>
      </c>
      <c r="I1501" s="1">
        <v>30.0</v>
      </c>
      <c r="J1501" s="1">
        <v>26.0</v>
      </c>
      <c r="K1501" s="1">
        <v>1.0</v>
      </c>
      <c r="L1501" s="1">
        <v>57500.0</v>
      </c>
    </row>
    <row r="1502">
      <c r="A1502" s="1">
        <v>543.0</v>
      </c>
      <c r="B1502" s="1" t="s">
        <v>806</v>
      </c>
      <c r="C1502" s="1" t="s">
        <v>810</v>
      </c>
      <c r="D1502" s="1" t="s">
        <v>836</v>
      </c>
      <c r="E1502" s="1">
        <v>0.25</v>
      </c>
      <c r="F1502" s="1">
        <v>-0.25</v>
      </c>
      <c r="G1502" s="1">
        <v>80.0</v>
      </c>
      <c r="H1502" s="1" t="s">
        <v>809</v>
      </c>
      <c r="I1502" s="1">
        <v>29.0</v>
      </c>
      <c r="J1502" s="1">
        <v>26.0</v>
      </c>
      <c r="K1502" s="1">
        <v>1.0</v>
      </c>
      <c r="L1502" s="1">
        <v>57500.0</v>
      </c>
    </row>
    <row r="1503">
      <c r="A1503" s="1">
        <v>543.0</v>
      </c>
      <c r="B1503" s="1" t="s">
        <v>806</v>
      </c>
      <c r="C1503" s="1" t="s">
        <v>809</v>
      </c>
      <c r="D1503" s="1" t="s">
        <v>1049</v>
      </c>
      <c r="E1503" s="1" t="s">
        <v>809</v>
      </c>
      <c r="F1503" s="1" t="s">
        <v>809</v>
      </c>
      <c r="G1503" s="1" t="s">
        <v>809</v>
      </c>
      <c r="H1503" s="1" t="s">
        <v>809</v>
      </c>
      <c r="I1503" s="1" t="s">
        <v>809</v>
      </c>
      <c r="J1503" s="1" t="s">
        <v>809</v>
      </c>
      <c r="K1503" s="1">
        <v>1.0</v>
      </c>
      <c r="L1503" s="1">
        <v>165000.0</v>
      </c>
    </row>
    <row r="1504">
      <c r="A1504" s="1">
        <v>544.0</v>
      </c>
      <c r="B1504" s="1" t="s">
        <v>806</v>
      </c>
      <c r="C1504" s="1" t="s">
        <v>807</v>
      </c>
      <c r="D1504" s="1" t="s">
        <v>823</v>
      </c>
      <c r="E1504" s="1">
        <v>-0.75</v>
      </c>
      <c r="F1504" s="1">
        <v>-1.5</v>
      </c>
      <c r="G1504" s="1">
        <v>160.0</v>
      </c>
      <c r="H1504" s="1" t="s">
        <v>809</v>
      </c>
      <c r="I1504" s="1" t="s">
        <v>809</v>
      </c>
      <c r="J1504" s="1" t="s">
        <v>809</v>
      </c>
      <c r="K1504" s="1">
        <v>1.0</v>
      </c>
      <c r="L1504" s="1">
        <v>318500.0</v>
      </c>
    </row>
    <row r="1505">
      <c r="A1505" s="1">
        <v>544.0</v>
      </c>
      <c r="B1505" s="1" t="s">
        <v>806</v>
      </c>
      <c r="C1505" s="1" t="s">
        <v>810</v>
      </c>
      <c r="D1505" s="1" t="s">
        <v>823</v>
      </c>
      <c r="E1505" s="1">
        <v>-0.5</v>
      </c>
      <c r="F1505" s="1">
        <v>-0.75</v>
      </c>
      <c r="G1505" s="1">
        <v>5.0</v>
      </c>
      <c r="H1505" s="1" t="s">
        <v>809</v>
      </c>
      <c r="I1505" s="1" t="s">
        <v>809</v>
      </c>
      <c r="J1505" s="1" t="s">
        <v>809</v>
      </c>
      <c r="K1505" s="1">
        <v>1.0</v>
      </c>
      <c r="L1505" s="1">
        <v>318500.0</v>
      </c>
    </row>
    <row r="1506">
      <c r="A1506" s="1">
        <v>545.0</v>
      </c>
      <c r="B1506" s="1" t="s">
        <v>806</v>
      </c>
      <c r="C1506" s="1" t="s">
        <v>807</v>
      </c>
      <c r="D1506" s="1" t="s">
        <v>808</v>
      </c>
      <c r="E1506" s="1">
        <v>0.75</v>
      </c>
      <c r="F1506" s="1">
        <v>-0.5</v>
      </c>
      <c r="G1506" s="1">
        <v>110.0</v>
      </c>
      <c r="H1506" s="1" t="s">
        <v>809</v>
      </c>
      <c r="I1506" s="1" t="s">
        <v>809</v>
      </c>
      <c r="J1506" s="1" t="s">
        <v>809</v>
      </c>
      <c r="K1506" s="1">
        <v>1.0</v>
      </c>
      <c r="L1506" s="1">
        <v>9722.9</v>
      </c>
    </row>
    <row r="1507">
      <c r="A1507" s="1">
        <v>545.0</v>
      </c>
      <c r="B1507" s="1" t="s">
        <v>806</v>
      </c>
      <c r="C1507" s="1" t="s">
        <v>810</v>
      </c>
      <c r="D1507" s="1" t="s">
        <v>808</v>
      </c>
      <c r="E1507" s="1">
        <v>-1.0</v>
      </c>
      <c r="F1507" s="1">
        <v>-1.0</v>
      </c>
      <c r="G1507" s="1">
        <v>145.0</v>
      </c>
      <c r="H1507" s="1" t="s">
        <v>809</v>
      </c>
      <c r="I1507" s="1" t="s">
        <v>809</v>
      </c>
      <c r="J1507" s="1" t="s">
        <v>809</v>
      </c>
      <c r="K1507" s="1">
        <v>1.0</v>
      </c>
      <c r="L1507" s="1">
        <v>9722.9</v>
      </c>
    </row>
    <row r="1508">
      <c r="A1508" s="1">
        <v>545.0</v>
      </c>
      <c r="B1508" s="1" t="s">
        <v>806</v>
      </c>
      <c r="C1508" s="1" t="s">
        <v>809</v>
      </c>
      <c r="D1508" s="1" t="s">
        <v>929</v>
      </c>
      <c r="E1508" s="1" t="s">
        <v>809</v>
      </c>
      <c r="F1508" s="1" t="s">
        <v>809</v>
      </c>
      <c r="G1508" s="1" t="s">
        <v>809</v>
      </c>
      <c r="H1508" s="1" t="s">
        <v>809</v>
      </c>
      <c r="I1508" s="1" t="s">
        <v>809</v>
      </c>
      <c r="J1508" s="1" t="s">
        <v>809</v>
      </c>
      <c r="K1508" s="1">
        <v>1.0</v>
      </c>
      <c r="L1508" s="1">
        <v>120001.0</v>
      </c>
    </row>
    <row r="1509">
      <c r="A1509" s="1">
        <v>545.0</v>
      </c>
      <c r="B1509" s="1" t="s">
        <v>825</v>
      </c>
      <c r="C1509" s="1" t="s">
        <v>807</v>
      </c>
      <c r="D1509" s="1" t="s">
        <v>812</v>
      </c>
      <c r="E1509" s="1">
        <v>0.0</v>
      </c>
      <c r="F1509" s="1">
        <v>0.0</v>
      </c>
      <c r="G1509" s="1" t="s">
        <v>809</v>
      </c>
      <c r="H1509" s="1" t="s">
        <v>809</v>
      </c>
      <c r="I1509" s="1" t="s">
        <v>809</v>
      </c>
      <c r="J1509" s="1" t="s">
        <v>809</v>
      </c>
      <c r="K1509" s="1">
        <v>1.0</v>
      </c>
      <c r="L1509" s="1">
        <v>30000.0</v>
      </c>
    </row>
    <row r="1510">
      <c r="A1510" s="1">
        <v>545.0</v>
      </c>
      <c r="B1510" s="1" t="s">
        <v>825</v>
      </c>
      <c r="C1510" s="1" t="s">
        <v>810</v>
      </c>
      <c r="D1510" s="1" t="s">
        <v>812</v>
      </c>
      <c r="E1510" s="1">
        <v>0.0</v>
      </c>
      <c r="F1510" s="1">
        <v>0.0</v>
      </c>
      <c r="G1510" s="1" t="s">
        <v>809</v>
      </c>
      <c r="H1510" s="1" t="s">
        <v>809</v>
      </c>
      <c r="I1510" s="1" t="s">
        <v>809</v>
      </c>
      <c r="J1510" s="1" t="s">
        <v>809</v>
      </c>
      <c r="K1510" s="1">
        <v>1.0</v>
      </c>
      <c r="L1510" s="1">
        <v>30000.0</v>
      </c>
    </row>
    <row r="1511">
      <c r="A1511" s="1">
        <v>545.0</v>
      </c>
      <c r="B1511" s="1" t="s">
        <v>825</v>
      </c>
      <c r="C1511" s="1" t="s">
        <v>809</v>
      </c>
      <c r="D1511" s="1" t="s">
        <v>916</v>
      </c>
      <c r="E1511" s="1" t="s">
        <v>809</v>
      </c>
      <c r="F1511" s="1" t="s">
        <v>809</v>
      </c>
      <c r="G1511" s="1" t="s">
        <v>809</v>
      </c>
      <c r="H1511" s="1" t="s">
        <v>809</v>
      </c>
      <c r="I1511" s="1" t="s">
        <v>809</v>
      </c>
      <c r="J1511" s="1" t="s">
        <v>809</v>
      </c>
      <c r="K1511" s="1">
        <v>1.0</v>
      </c>
      <c r="L1511" s="1">
        <v>135600.0</v>
      </c>
    </row>
    <row r="1512">
      <c r="A1512" s="1">
        <v>546.0</v>
      </c>
      <c r="B1512" s="1" t="s">
        <v>806</v>
      </c>
      <c r="C1512" s="1" t="s">
        <v>807</v>
      </c>
      <c r="D1512" s="1" t="s">
        <v>836</v>
      </c>
      <c r="E1512" s="1">
        <v>0.0</v>
      </c>
      <c r="F1512" s="1">
        <v>-0.25</v>
      </c>
      <c r="G1512" s="1">
        <v>170.0</v>
      </c>
      <c r="H1512" s="1" t="s">
        <v>809</v>
      </c>
      <c r="I1512" s="1">
        <v>28.0</v>
      </c>
      <c r="J1512" s="1">
        <v>29.0</v>
      </c>
      <c r="K1512" s="1">
        <v>1.0</v>
      </c>
      <c r="L1512" s="1">
        <v>55853.0</v>
      </c>
    </row>
    <row r="1513">
      <c r="A1513" s="1">
        <v>546.0</v>
      </c>
      <c r="B1513" s="1" t="s">
        <v>806</v>
      </c>
      <c r="C1513" s="1" t="s">
        <v>810</v>
      </c>
      <c r="D1513" s="1" t="s">
        <v>836</v>
      </c>
      <c r="E1513" s="1">
        <v>0.0</v>
      </c>
      <c r="F1513" s="1">
        <v>-2.0</v>
      </c>
      <c r="G1513" s="1">
        <v>10.0</v>
      </c>
      <c r="H1513" s="1" t="s">
        <v>809</v>
      </c>
      <c r="I1513" s="1">
        <v>29.0</v>
      </c>
      <c r="J1513" s="1">
        <v>29.0</v>
      </c>
      <c r="K1513" s="1">
        <v>1.0</v>
      </c>
      <c r="L1513" s="1">
        <v>55853.0</v>
      </c>
    </row>
    <row r="1514">
      <c r="A1514" s="1">
        <v>546.0</v>
      </c>
      <c r="B1514" s="1" t="s">
        <v>806</v>
      </c>
      <c r="C1514" s="1" t="s">
        <v>809</v>
      </c>
      <c r="D1514" s="1" t="s">
        <v>912</v>
      </c>
      <c r="E1514" s="1" t="s">
        <v>809</v>
      </c>
      <c r="F1514" s="1" t="s">
        <v>809</v>
      </c>
      <c r="G1514" s="1" t="s">
        <v>809</v>
      </c>
      <c r="H1514" s="1" t="s">
        <v>809</v>
      </c>
      <c r="I1514" s="1" t="s">
        <v>809</v>
      </c>
      <c r="J1514" s="1" t="s">
        <v>809</v>
      </c>
      <c r="K1514" s="1">
        <v>1.0</v>
      </c>
      <c r="L1514" s="1">
        <v>120001.0</v>
      </c>
    </row>
    <row r="1515">
      <c r="A1515" s="1">
        <v>547.0</v>
      </c>
      <c r="B1515" s="1" t="s">
        <v>806</v>
      </c>
      <c r="C1515" s="1" t="s">
        <v>807</v>
      </c>
      <c r="D1515" s="1" t="s">
        <v>826</v>
      </c>
      <c r="E1515" s="1">
        <v>0.0</v>
      </c>
      <c r="F1515" s="1">
        <v>0.0</v>
      </c>
      <c r="G1515" s="1" t="s">
        <v>809</v>
      </c>
      <c r="H1515" s="1" t="s">
        <v>809</v>
      </c>
      <c r="I1515" s="1" t="s">
        <v>809</v>
      </c>
      <c r="J1515" s="1" t="s">
        <v>809</v>
      </c>
      <c r="K1515" s="1">
        <v>1.0</v>
      </c>
      <c r="L1515" s="1">
        <v>30000.0</v>
      </c>
    </row>
    <row r="1516">
      <c r="A1516" s="1">
        <v>547.0</v>
      </c>
      <c r="B1516" s="1" t="s">
        <v>806</v>
      </c>
      <c r="C1516" s="1" t="s">
        <v>810</v>
      </c>
      <c r="D1516" s="1" t="s">
        <v>826</v>
      </c>
      <c r="E1516" s="1">
        <v>0.0</v>
      </c>
      <c r="F1516" s="1">
        <v>0.0</v>
      </c>
      <c r="G1516" s="1" t="s">
        <v>809</v>
      </c>
      <c r="H1516" s="1" t="s">
        <v>809</v>
      </c>
      <c r="I1516" s="1" t="s">
        <v>809</v>
      </c>
      <c r="J1516" s="1" t="s">
        <v>809</v>
      </c>
      <c r="K1516" s="1">
        <v>1.0</v>
      </c>
      <c r="L1516" s="1">
        <v>30000.0</v>
      </c>
    </row>
    <row r="1517">
      <c r="A1517" s="1">
        <v>547.0</v>
      </c>
      <c r="B1517" s="1" t="s">
        <v>806</v>
      </c>
      <c r="C1517" s="1" t="s">
        <v>809</v>
      </c>
      <c r="D1517" s="1" t="s">
        <v>915</v>
      </c>
      <c r="E1517" s="1" t="s">
        <v>809</v>
      </c>
      <c r="F1517" s="1" t="s">
        <v>809</v>
      </c>
      <c r="G1517" s="1" t="s">
        <v>809</v>
      </c>
      <c r="H1517" s="1" t="s">
        <v>809</v>
      </c>
      <c r="I1517" s="1" t="s">
        <v>809</v>
      </c>
      <c r="J1517" s="1" t="s">
        <v>809</v>
      </c>
      <c r="K1517" s="1">
        <v>1.0</v>
      </c>
      <c r="L1517" s="1">
        <v>130000.0</v>
      </c>
    </row>
    <row r="1518">
      <c r="A1518" s="1">
        <v>548.0</v>
      </c>
      <c r="B1518" s="1" t="s">
        <v>806</v>
      </c>
      <c r="C1518" s="1" t="s">
        <v>807</v>
      </c>
      <c r="D1518" s="1" t="s">
        <v>812</v>
      </c>
      <c r="E1518" s="1">
        <v>1.25</v>
      </c>
      <c r="F1518" s="1">
        <v>0.0</v>
      </c>
      <c r="G1518" s="1" t="s">
        <v>809</v>
      </c>
      <c r="H1518" s="1">
        <v>2.5</v>
      </c>
      <c r="I1518" s="1" t="s">
        <v>809</v>
      </c>
      <c r="J1518" s="1" t="s">
        <v>809</v>
      </c>
      <c r="K1518" s="1">
        <v>1.0</v>
      </c>
      <c r="L1518" s="1">
        <v>30000.0</v>
      </c>
    </row>
    <row r="1519">
      <c r="A1519" s="1">
        <v>548.0</v>
      </c>
      <c r="B1519" s="1" t="s">
        <v>806</v>
      </c>
      <c r="C1519" s="1" t="s">
        <v>810</v>
      </c>
      <c r="D1519" s="1" t="s">
        <v>812</v>
      </c>
      <c r="E1519" s="1">
        <v>0.75</v>
      </c>
      <c r="F1519" s="1">
        <v>0.0</v>
      </c>
      <c r="G1519" s="1" t="s">
        <v>809</v>
      </c>
      <c r="H1519" s="1">
        <v>2.5</v>
      </c>
      <c r="I1519" s="1" t="s">
        <v>809</v>
      </c>
      <c r="J1519" s="1" t="s">
        <v>809</v>
      </c>
      <c r="K1519" s="1">
        <v>1.0</v>
      </c>
      <c r="L1519" s="1">
        <v>30000.0</v>
      </c>
    </row>
    <row r="1520">
      <c r="A1520" s="1">
        <v>548.0</v>
      </c>
      <c r="B1520" s="1" t="s">
        <v>806</v>
      </c>
      <c r="C1520" s="1" t="s">
        <v>809</v>
      </c>
      <c r="D1520" s="1" t="s">
        <v>1050</v>
      </c>
      <c r="E1520" s="1" t="s">
        <v>809</v>
      </c>
      <c r="F1520" s="1" t="s">
        <v>809</v>
      </c>
      <c r="G1520" s="1" t="s">
        <v>809</v>
      </c>
      <c r="H1520" s="1" t="s">
        <v>809</v>
      </c>
      <c r="I1520" s="1" t="s">
        <v>809</v>
      </c>
      <c r="J1520" s="1" t="s">
        <v>809</v>
      </c>
      <c r="K1520" s="1">
        <v>1.0</v>
      </c>
      <c r="L1520" s="1">
        <v>185000.0</v>
      </c>
    </row>
    <row r="1521">
      <c r="A1521" s="1">
        <v>549.0</v>
      </c>
      <c r="B1521" s="1" t="s">
        <v>809</v>
      </c>
      <c r="C1521" s="1" t="s">
        <v>809</v>
      </c>
      <c r="D1521" s="1" t="s">
        <v>1051</v>
      </c>
      <c r="E1521" s="1" t="s">
        <v>809</v>
      </c>
      <c r="F1521" s="1" t="s">
        <v>809</v>
      </c>
      <c r="G1521" s="1" t="s">
        <v>809</v>
      </c>
      <c r="H1521" s="1" t="s">
        <v>809</v>
      </c>
      <c r="I1521" s="1" t="s">
        <v>809</v>
      </c>
      <c r="J1521" s="1" t="s">
        <v>809</v>
      </c>
      <c r="K1521" s="1">
        <v>1.0</v>
      </c>
      <c r="L1521" s="1">
        <v>170000.0</v>
      </c>
    </row>
    <row r="1522">
      <c r="A1522" s="1">
        <v>550.0</v>
      </c>
      <c r="B1522" s="1" t="s">
        <v>806</v>
      </c>
      <c r="C1522" s="1" t="s">
        <v>807</v>
      </c>
      <c r="D1522" s="1" t="s">
        <v>812</v>
      </c>
      <c r="E1522" s="1">
        <v>0.0</v>
      </c>
      <c r="F1522" s="1">
        <v>0.0</v>
      </c>
      <c r="G1522" s="1" t="s">
        <v>809</v>
      </c>
      <c r="H1522" s="1" t="s">
        <v>809</v>
      </c>
      <c r="I1522" s="1" t="s">
        <v>809</v>
      </c>
      <c r="J1522" s="1" t="s">
        <v>809</v>
      </c>
      <c r="K1522" s="1">
        <v>1.0</v>
      </c>
      <c r="L1522" s="1">
        <v>30613.0</v>
      </c>
    </row>
    <row r="1523">
      <c r="A1523" s="1">
        <v>550.0</v>
      </c>
      <c r="B1523" s="1" t="s">
        <v>806</v>
      </c>
      <c r="C1523" s="1" t="s">
        <v>810</v>
      </c>
      <c r="D1523" s="1" t="s">
        <v>812</v>
      </c>
      <c r="E1523" s="1">
        <v>0.0</v>
      </c>
      <c r="F1523" s="1">
        <v>0.0</v>
      </c>
      <c r="G1523" s="1" t="s">
        <v>809</v>
      </c>
      <c r="H1523" s="1" t="s">
        <v>809</v>
      </c>
      <c r="I1523" s="1" t="s">
        <v>809</v>
      </c>
      <c r="J1523" s="1" t="s">
        <v>809</v>
      </c>
      <c r="K1523" s="1">
        <v>1.0</v>
      </c>
      <c r="L1523" s="1">
        <v>30613.0</v>
      </c>
    </row>
    <row r="1524">
      <c r="A1524" s="1">
        <v>550.0</v>
      </c>
      <c r="B1524" s="1" t="s">
        <v>806</v>
      </c>
      <c r="C1524" s="1" t="s">
        <v>809</v>
      </c>
      <c r="D1524" s="1" t="s">
        <v>1002</v>
      </c>
      <c r="E1524" s="1" t="s">
        <v>809</v>
      </c>
      <c r="F1524" s="1" t="s">
        <v>809</v>
      </c>
      <c r="G1524" s="1" t="s">
        <v>809</v>
      </c>
      <c r="H1524" s="1" t="s">
        <v>809</v>
      </c>
      <c r="I1524" s="1" t="s">
        <v>809</v>
      </c>
      <c r="J1524" s="1" t="s">
        <v>809</v>
      </c>
      <c r="K1524" s="1">
        <v>1.0</v>
      </c>
      <c r="L1524" s="1">
        <v>170000.0</v>
      </c>
    </row>
    <row r="1525">
      <c r="A1525" s="1">
        <v>551.0</v>
      </c>
      <c r="B1525" s="1" t="s">
        <v>809</v>
      </c>
      <c r="C1525" s="1" t="s">
        <v>809</v>
      </c>
      <c r="D1525" s="1" t="s">
        <v>1052</v>
      </c>
      <c r="E1525" s="1" t="s">
        <v>809</v>
      </c>
      <c r="F1525" s="1" t="s">
        <v>809</v>
      </c>
      <c r="G1525" s="1" t="s">
        <v>809</v>
      </c>
      <c r="H1525" s="1" t="s">
        <v>809</v>
      </c>
      <c r="I1525" s="1" t="s">
        <v>809</v>
      </c>
      <c r="J1525" s="1" t="s">
        <v>809</v>
      </c>
      <c r="K1525" s="1">
        <v>1.0</v>
      </c>
      <c r="L1525" s="1">
        <v>60000.0</v>
      </c>
    </row>
    <row r="1526">
      <c r="A1526" s="1">
        <v>552.0</v>
      </c>
      <c r="B1526" s="1" t="s">
        <v>806</v>
      </c>
      <c r="C1526" s="1" t="s">
        <v>807</v>
      </c>
      <c r="D1526" s="1" t="s">
        <v>1041</v>
      </c>
      <c r="E1526" s="1">
        <v>0.0</v>
      </c>
      <c r="F1526" s="1">
        <v>0.0</v>
      </c>
      <c r="G1526" s="1" t="s">
        <v>809</v>
      </c>
      <c r="H1526" s="1" t="s">
        <v>809</v>
      </c>
      <c r="I1526" s="1" t="s">
        <v>809</v>
      </c>
      <c r="J1526" s="1" t="s">
        <v>809</v>
      </c>
      <c r="K1526" s="1">
        <v>1.0</v>
      </c>
      <c r="L1526" s="1">
        <v>244000.0</v>
      </c>
    </row>
    <row r="1527">
      <c r="A1527" s="1">
        <v>552.0</v>
      </c>
      <c r="B1527" s="1" t="s">
        <v>806</v>
      </c>
      <c r="C1527" s="1" t="s">
        <v>810</v>
      </c>
      <c r="D1527" s="1" t="s">
        <v>1041</v>
      </c>
      <c r="E1527" s="1">
        <v>0.0</v>
      </c>
      <c r="F1527" s="1">
        <v>0.0</v>
      </c>
      <c r="G1527" s="1" t="s">
        <v>809</v>
      </c>
      <c r="H1527" s="1" t="s">
        <v>809</v>
      </c>
      <c r="I1527" s="1" t="s">
        <v>809</v>
      </c>
      <c r="J1527" s="1" t="s">
        <v>809</v>
      </c>
      <c r="K1527" s="1">
        <v>1.0</v>
      </c>
      <c r="L1527" s="1">
        <v>0.0</v>
      </c>
    </row>
    <row r="1528">
      <c r="A1528" s="1">
        <v>552.0</v>
      </c>
      <c r="B1528" s="1" t="s">
        <v>806</v>
      </c>
      <c r="C1528" s="1" t="s">
        <v>809</v>
      </c>
      <c r="D1528" s="1" t="s">
        <v>915</v>
      </c>
      <c r="E1528" s="1" t="s">
        <v>809</v>
      </c>
      <c r="F1528" s="1" t="s">
        <v>809</v>
      </c>
      <c r="G1528" s="1" t="s">
        <v>809</v>
      </c>
      <c r="H1528" s="1" t="s">
        <v>809</v>
      </c>
      <c r="I1528" s="1" t="s">
        <v>809</v>
      </c>
      <c r="J1528" s="1" t="s">
        <v>809</v>
      </c>
      <c r="K1528" s="1">
        <v>1.0</v>
      </c>
      <c r="L1528" s="1">
        <v>160000.0</v>
      </c>
    </row>
    <row r="1529">
      <c r="A1529" s="1">
        <v>553.0</v>
      </c>
      <c r="B1529" s="1" t="s">
        <v>806</v>
      </c>
      <c r="C1529" s="1" t="s">
        <v>807</v>
      </c>
      <c r="D1529" s="1" t="s">
        <v>836</v>
      </c>
      <c r="E1529" s="1">
        <v>-1.25</v>
      </c>
      <c r="F1529" s="1">
        <v>-0.75</v>
      </c>
      <c r="G1529" s="1">
        <v>100.0</v>
      </c>
      <c r="H1529" s="1" t="s">
        <v>809</v>
      </c>
      <c r="I1529" s="1">
        <v>30.0</v>
      </c>
      <c r="J1529" s="1">
        <v>24.0</v>
      </c>
      <c r="K1529" s="1">
        <v>1.0</v>
      </c>
      <c r="L1529" s="1">
        <v>93000.0</v>
      </c>
    </row>
    <row r="1530">
      <c r="A1530" s="1">
        <v>553.0</v>
      </c>
      <c r="B1530" s="1" t="s">
        <v>806</v>
      </c>
      <c r="C1530" s="1" t="s">
        <v>810</v>
      </c>
      <c r="D1530" s="1" t="s">
        <v>836</v>
      </c>
      <c r="E1530" s="1">
        <v>-1.75</v>
      </c>
      <c r="F1530" s="1">
        <v>-0.5</v>
      </c>
      <c r="G1530" s="1">
        <v>103.0</v>
      </c>
      <c r="H1530" s="1" t="s">
        <v>809</v>
      </c>
      <c r="I1530" s="1">
        <v>30.0</v>
      </c>
      <c r="J1530" s="1">
        <v>24.0</v>
      </c>
      <c r="K1530" s="1">
        <v>1.0</v>
      </c>
      <c r="L1530" s="1">
        <v>93000.0</v>
      </c>
    </row>
    <row r="1531">
      <c r="A1531" s="1">
        <v>553.0</v>
      </c>
      <c r="B1531" s="1" t="s">
        <v>806</v>
      </c>
      <c r="C1531" s="1" t="s">
        <v>809</v>
      </c>
      <c r="D1531" s="1" t="s">
        <v>929</v>
      </c>
      <c r="E1531" s="1" t="s">
        <v>809</v>
      </c>
      <c r="F1531" s="1" t="s">
        <v>809</v>
      </c>
      <c r="G1531" s="1" t="s">
        <v>809</v>
      </c>
      <c r="H1531" s="1" t="s">
        <v>809</v>
      </c>
      <c r="I1531" s="1" t="s">
        <v>809</v>
      </c>
      <c r="J1531" s="1" t="s">
        <v>809</v>
      </c>
      <c r="K1531" s="1">
        <v>1.0</v>
      </c>
      <c r="L1531" s="1">
        <v>120000.0</v>
      </c>
    </row>
    <row r="1532">
      <c r="A1532" s="1">
        <v>554.0</v>
      </c>
      <c r="B1532" s="1" t="s">
        <v>806</v>
      </c>
      <c r="C1532" s="1" t="s">
        <v>807</v>
      </c>
      <c r="D1532" s="1" t="s">
        <v>826</v>
      </c>
      <c r="E1532" s="1">
        <v>0.0</v>
      </c>
      <c r="F1532" s="1">
        <v>0.0</v>
      </c>
      <c r="G1532" s="1" t="s">
        <v>809</v>
      </c>
      <c r="H1532" s="1" t="s">
        <v>809</v>
      </c>
      <c r="I1532" s="1" t="s">
        <v>809</v>
      </c>
      <c r="J1532" s="1" t="s">
        <v>809</v>
      </c>
      <c r="K1532" s="1">
        <v>1.0</v>
      </c>
      <c r="L1532" s="1">
        <v>22464.98</v>
      </c>
    </row>
    <row r="1533">
      <c r="A1533" s="1">
        <v>554.0</v>
      </c>
      <c r="B1533" s="1" t="s">
        <v>806</v>
      </c>
      <c r="C1533" s="1" t="s">
        <v>810</v>
      </c>
      <c r="D1533" s="1" t="s">
        <v>826</v>
      </c>
      <c r="E1533" s="1">
        <v>0.0</v>
      </c>
      <c r="F1533" s="1">
        <v>0.0</v>
      </c>
      <c r="G1533" s="1" t="s">
        <v>809</v>
      </c>
      <c r="H1533" s="1" t="s">
        <v>809</v>
      </c>
      <c r="I1533" s="1" t="s">
        <v>809</v>
      </c>
      <c r="J1533" s="1" t="s">
        <v>809</v>
      </c>
      <c r="K1533" s="1">
        <v>1.0</v>
      </c>
      <c r="L1533" s="1">
        <v>22464.98</v>
      </c>
    </row>
    <row r="1534">
      <c r="A1534" s="1">
        <v>554.0</v>
      </c>
      <c r="B1534" s="1" t="s">
        <v>806</v>
      </c>
      <c r="C1534" s="1" t="s">
        <v>809</v>
      </c>
      <c r="D1534" s="1" t="s">
        <v>929</v>
      </c>
      <c r="E1534" s="1" t="s">
        <v>809</v>
      </c>
      <c r="F1534" s="1" t="s">
        <v>809</v>
      </c>
      <c r="G1534" s="1" t="s">
        <v>809</v>
      </c>
      <c r="H1534" s="1" t="s">
        <v>809</v>
      </c>
      <c r="I1534" s="1" t="s">
        <v>809</v>
      </c>
      <c r="J1534" s="1" t="s">
        <v>809</v>
      </c>
      <c r="K1534" s="1">
        <v>1.0</v>
      </c>
      <c r="L1534" s="1">
        <v>85100.0</v>
      </c>
    </row>
    <row r="1535">
      <c r="A1535" s="1">
        <v>555.0</v>
      </c>
      <c r="B1535" s="1" t="s">
        <v>806</v>
      </c>
      <c r="C1535" s="1" t="s">
        <v>807</v>
      </c>
      <c r="D1535" s="1" t="s">
        <v>894</v>
      </c>
      <c r="E1535" s="1">
        <v>0.0</v>
      </c>
      <c r="F1535" s="1">
        <v>0.0</v>
      </c>
      <c r="G1535" s="1" t="s">
        <v>809</v>
      </c>
      <c r="H1535" s="1" t="s">
        <v>809</v>
      </c>
      <c r="I1535" s="1" t="s">
        <v>809</v>
      </c>
      <c r="J1535" s="1" t="s">
        <v>809</v>
      </c>
      <c r="K1535" s="1">
        <v>1.0</v>
      </c>
      <c r="L1535" s="1">
        <v>170000.0</v>
      </c>
    </row>
    <row r="1536">
      <c r="A1536" s="1">
        <v>555.0</v>
      </c>
      <c r="B1536" s="1" t="s">
        <v>806</v>
      </c>
      <c r="C1536" s="1" t="s">
        <v>810</v>
      </c>
      <c r="D1536" s="1" t="s">
        <v>894</v>
      </c>
      <c r="E1536" s="1">
        <v>0.0</v>
      </c>
      <c r="F1536" s="1">
        <v>0.0</v>
      </c>
      <c r="G1536" s="1" t="s">
        <v>809</v>
      </c>
      <c r="H1536" s="1" t="s">
        <v>809</v>
      </c>
      <c r="I1536" s="1" t="s">
        <v>809</v>
      </c>
      <c r="J1536" s="1" t="s">
        <v>809</v>
      </c>
      <c r="K1536" s="1">
        <v>1.0</v>
      </c>
      <c r="L1536" s="1">
        <v>170000.0</v>
      </c>
    </row>
    <row r="1537">
      <c r="A1537" s="1">
        <v>556.0</v>
      </c>
      <c r="B1537" s="1" t="s">
        <v>809</v>
      </c>
      <c r="C1537" s="1" t="s">
        <v>809</v>
      </c>
      <c r="D1537" s="1" t="s">
        <v>1029</v>
      </c>
      <c r="E1537" s="1" t="s">
        <v>809</v>
      </c>
      <c r="F1537" s="1" t="s">
        <v>809</v>
      </c>
      <c r="G1537" s="1" t="s">
        <v>809</v>
      </c>
      <c r="H1537" s="1" t="s">
        <v>809</v>
      </c>
      <c r="I1537" s="1" t="s">
        <v>809</v>
      </c>
      <c r="J1537" s="1" t="s">
        <v>809</v>
      </c>
      <c r="K1537" s="1">
        <v>2.0</v>
      </c>
      <c r="L1537" s="1">
        <v>196000.0</v>
      </c>
    </row>
    <row r="1538">
      <c r="A1538" s="1">
        <v>557.0</v>
      </c>
      <c r="B1538" s="1" t="s">
        <v>806</v>
      </c>
      <c r="C1538" s="1" t="s">
        <v>807</v>
      </c>
      <c r="D1538" s="1" t="s">
        <v>823</v>
      </c>
      <c r="E1538" s="1">
        <v>-0.5</v>
      </c>
      <c r="F1538" s="1">
        <v>-0.5</v>
      </c>
      <c r="G1538" s="1">
        <v>150.0</v>
      </c>
      <c r="H1538" s="1" t="s">
        <v>809</v>
      </c>
      <c r="I1538" s="1" t="s">
        <v>809</v>
      </c>
      <c r="J1538" s="1" t="s">
        <v>809</v>
      </c>
      <c r="K1538" s="1">
        <v>1.0</v>
      </c>
      <c r="L1538" s="1">
        <v>285000.0</v>
      </c>
    </row>
    <row r="1539">
      <c r="A1539" s="1">
        <v>557.0</v>
      </c>
      <c r="B1539" s="1" t="s">
        <v>806</v>
      </c>
      <c r="C1539" s="1" t="s">
        <v>810</v>
      </c>
      <c r="D1539" s="1" t="s">
        <v>823</v>
      </c>
      <c r="E1539" s="1">
        <v>0.75</v>
      </c>
      <c r="F1539" s="1">
        <v>0.0</v>
      </c>
      <c r="G1539" s="1" t="s">
        <v>809</v>
      </c>
      <c r="H1539" s="1" t="s">
        <v>809</v>
      </c>
      <c r="I1539" s="1" t="s">
        <v>809</v>
      </c>
      <c r="J1539" s="1" t="s">
        <v>809</v>
      </c>
      <c r="K1539" s="1">
        <v>1.0</v>
      </c>
      <c r="L1539" s="1">
        <v>285000.0</v>
      </c>
    </row>
    <row r="1540">
      <c r="A1540" s="1">
        <v>557.0</v>
      </c>
      <c r="B1540" s="1" t="s">
        <v>806</v>
      </c>
      <c r="C1540" s="1" t="s">
        <v>809</v>
      </c>
      <c r="D1540" s="1" t="s">
        <v>1053</v>
      </c>
      <c r="E1540" s="1" t="s">
        <v>809</v>
      </c>
      <c r="F1540" s="1" t="s">
        <v>809</v>
      </c>
      <c r="G1540" s="1" t="s">
        <v>809</v>
      </c>
      <c r="H1540" s="1" t="s">
        <v>809</v>
      </c>
      <c r="I1540" s="1" t="s">
        <v>809</v>
      </c>
      <c r="J1540" s="1" t="s">
        <v>809</v>
      </c>
      <c r="K1540" s="1">
        <v>1.0</v>
      </c>
      <c r="L1540" s="1">
        <v>252000.0</v>
      </c>
    </row>
    <row r="1541">
      <c r="A1541" s="1">
        <v>558.0</v>
      </c>
      <c r="B1541" s="1" t="s">
        <v>806</v>
      </c>
      <c r="C1541" s="1" t="s">
        <v>807</v>
      </c>
      <c r="D1541" s="1" t="s">
        <v>823</v>
      </c>
      <c r="E1541" s="1">
        <v>-0.5</v>
      </c>
      <c r="F1541" s="1">
        <v>-0.5</v>
      </c>
      <c r="G1541" s="1">
        <v>150.0</v>
      </c>
      <c r="H1541" s="1" t="s">
        <v>809</v>
      </c>
      <c r="I1541" s="1" t="s">
        <v>809</v>
      </c>
      <c r="J1541" s="1" t="s">
        <v>809</v>
      </c>
      <c r="K1541" s="1">
        <v>1.0</v>
      </c>
      <c r="L1541" s="1">
        <v>285000.0</v>
      </c>
    </row>
    <row r="1542">
      <c r="A1542" s="1">
        <v>558.0</v>
      </c>
      <c r="B1542" s="1" t="s">
        <v>806</v>
      </c>
      <c r="C1542" s="1" t="s">
        <v>810</v>
      </c>
      <c r="D1542" s="1" t="s">
        <v>823</v>
      </c>
      <c r="E1542" s="1">
        <v>0.75</v>
      </c>
      <c r="F1542" s="1">
        <v>0.0</v>
      </c>
      <c r="G1542" s="1" t="s">
        <v>809</v>
      </c>
      <c r="H1542" s="1" t="s">
        <v>809</v>
      </c>
      <c r="I1542" s="1" t="s">
        <v>809</v>
      </c>
      <c r="J1542" s="1" t="s">
        <v>809</v>
      </c>
      <c r="K1542" s="1">
        <v>1.0</v>
      </c>
      <c r="L1542" s="1">
        <v>285000.0</v>
      </c>
    </row>
    <row r="1543">
      <c r="A1543" s="1">
        <v>558.0</v>
      </c>
      <c r="B1543" s="1" t="s">
        <v>806</v>
      </c>
      <c r="C1543" s="1" t="s">
        <v>809</v>
      </c>
      <c r="D1543" s="1" t="s">
        <v>1053</v>
      </c>
      <c r="E1543" s="1" t="s">
        <v>809</v>
      </c>
      <c r="F1543" s="1" t="s">
        <v>809</v>
      </c>
      <c r="G1543" s="1" t="s">
        <v>809</v>
      </c>
      <c r="H1543" s="1" t="s">
        <v>809</v>
      </c>
      <c r="I1543" s="1" t="s">
        <v>809</v>
      </c>
      <c r="J1543" s="1" t="s">
        <v>809</v>
      </c>
      <c r="K1543" s="1">
        <v>1.0</v>
      </c>
      <c r="L1543" s="1">
        <v>252000.0</v>
      </c>
    </row>
    <row r="1544">
      <c r="A1544" s="1">
        <v>559.0</v>
      </c>
      <c r="B1544" s="1" t="s">
        <v>809</v>
      </c>
      <c r="C1544" s="1" t="s">
        <v>809</v>
      </c>
      <c r="D1544" s="1" t="s">
        <v>929</v>
      </c>
      <c r="E1544" s="1" t="s">
        <v>809</v>
      </c>
      <c r="F1544" s="1" t="s">
        <v>809</v>
      </c>
      <c r="G1544" s="1" t="s">
        <v>809</v>
      </c>
      <c r="H1544" s="1" t="s">
        <v>809</v>
      </c>
      <c r="I1544" s="1" t="s">
        <v>809</v>
      </c>
      <c r="J1544" s="1" t="s">
        <v>809</v>
      </c>
      <c r="K1544" s="1">
        <v>1.0</v>
      </c>
      <c r="L1544" s="1">
        <v>200000.0</v>
      </c>
    </row>
    <row r="1545">
      <c r="A1545" s="1">
        <v>559.0</v>
      </c>
      <c r="B1545" s="1" t="s">
        <v>809</v>
      </c>
      <c r="C1545" s="1" t="s">
        <v>809</v>
      </c>
      <c r="D1545" s="1" t="s">
        <v>1029</v>
      </c>
      <c r="E1545" s="1" t="s">
        <v>809</v>
      </c>
      <c r="F1545" s="1" t="s">
        <v>809</v>
      </c>
      <c r="G1545" s="1" t="s">
        <v>809</v>
      </c>
      <c r="H1545" s="1" t="s">
        <v>809</v>
      </c>
      <c r="I1545" s="1" t="s">
        <v>809</v>
      </c>
      <c r="J1545" s="1" t="s">
        <v>809</v>
      </c>
      <c r="K1545" s="1">
        <v>1.0</v>
      </c>
      <c r="L1545" s="1">
        <v>115000.0</v>
      </c>
    </row>
    <row r="1546">
      <c r="A1546" s="1">
        <v>560.0</v>
      </c>
      <c r="B1546" s="1" t="s">
        <v>809</v>
      </c>
      <c r="C1546" s="1" t="s">
        <v>809</v>
      </c>
      <c r="D1546" s="1" t="s">
        <v>912</v>
      </c>
      <c r="E1546" s="1" t="s">
        <v>809</v>
      </c>
      <c r="F1546" s="1" t="s">
        <v>809</v>
      </c>
      <c r="G1546" s="1" t="s">
        <v>809</v>
      </c>
      <c r="H1546" s="1" t="s">
        <v>809</v>
      </c>
      <c r="I1546" s="1" t="s">
        <v>809</v>
      </c>
      <c r="J1546" s="1" t="s">
        <v>809</v>
      </c>
      <c r="K1546" s="1">
        <v>1.0</v>
      </c>
      <c r="L1546" s="1">
        <v>80000.0</v>
      </c>
    </row>
    <row r="1547">
      <c r="A1547" s="1">
        <v>561.0</v>
      </c>
      <c r="B1547" s="1" t="s">
        <v>825</v>
      </c>
      <c r="C1547" s="1" t="s">
        <v>807</v>
      </c>
      <c r="D1547" s="1" t="s">
        <v>812</v>
      </c>
      <c r="E1547" s="1">
        <v>1.0</v>
      </c>
      <c r="F1547" s="1">
        <v>0.0</v>
      </c>
      <c r="G1547" s="1" t="s">
        <v>809</v>
      </c>
      <c r="H1547" s="1" t="s">
        <v>809</v>
      </c>
      <c r="I1547" s="1">
        <v>30.0</v>
      </c>
      <c r="J1547" s="1" t="s">
        <v>809</v>
      </c>
      <c r="K1547" s="1">
        <v>1.0</v>
      </c>
      <c r="L1547" s="1">
        <v>30000.0</v>
      </c>
    </row>
    <row r="1548">
      <c r="A1548" s="1">
        <v>561.0</v>
      </c>
      <c r="B1548" s="1" t="s">
        <v>825</v>
      </c>
      <c r="C1548" s="1" t="s">
        <v>810</v>
      </c>
      <c r="D1548" s="1" t="s">
        <v>812</v>
      </c>
      <c r="E1548" s="1">
        <v>1.0</v>
      </c>
      <c r="F1548" s="1">
        <v>0.0</v>
      </c>
      <c r="G1548" s="1" t="s">
        <v>809</v>
      </c>
      <c r="H1548" s="1" t="s">
        <v>809</v>
      </c>
      <c r="I1548" s="1">
        <v>30.0</v>
      </c>
      <c r="J1548" s="1" t="s">
        <v>809</v>
      </c>
      <c r="K1548" s="1">
        <v>1.0</v>
      </c>
      <c r="L1548" s="1">
        <v>30000.0</v>
      </c>
    </row>
    <row r="1549">
      <c r="A1549" s="1">
        <v>561.0</v>
      </c>
      <c r="B1549" s="1" t="s">
        <v>825</v>
      </c>
      <c r="C1549" s="1" t="s">
        <v>809</v>
      </c>
      <c r="D1549" s="1" t="s">
        <v>912</v>
      </c>
      <c r="E1549" s="1" t="s">
        <v>809</v>
      </c>
      <c r="F1549" s="1" t="s">
        <v>809</v>
      </c>
      <c r="G1549" s="1" t="s">
        <v>809</v>
      </c>
      <c r="H1549" s="1" t="s">
        <v>809</v>
      </c>
      <c r="I1549" s="1" t="s">
        <v>809</v>
      </c>
      <c r="J1549" s="1" t="s">
        <v>809</v>
      </c>
      <c r="K1549" s="1">
        <v>1.0</v>
      </c>
      <c r="L1549" s="1">
        <v>130000.0</v>
      </c>
    </row>
    <row r="1550">
      <c r="A1550" s="1">
        <v>562.0</v>
      </c>
      <c r="B1550" s="1" t="s">
        <v>806</v>
      </c>
      <c r="C1550" s="1" t="s">
        <v>807</v>
      </c>
      <c r="D1550" s="1" t="s">
        <v>823</v>
      </c>
      <c r="E1550" s="1">
        <v>3.5</v>
      </c>
      <c r="F1550" s="1">
        <v>0.0</v>
      </c>
      <c r="G1550" s="1" t="s">
        <v>809</v>
      </c>
      <c r="H1550" s="1">
        <v>2.0</v>
      </c>
      <c r="I1550" s="1" t="s">
        <v>809</v>
      </c>
      <c r="J1550" s="1" t="s">
        <v>809</v>
      </c>
      <c r="K1550" s="1">
        <v>1.0</v>
      </c>
      <c r="L1550" s="1">
        <v>294000.0</v>
      </c>
    </row>
    <row r="1551">
      <c r="A1551" s="1">
        <v>562.0</v>
      </c>
      <c r="B1551" s="1" t="s">
        <v>806</v>
      </c>
      <c r="C1551" s="1" t="s">
        <v>810</v>
      </c>
      <c r="D1551" s="1" t="s">
        <v>823</v>
      </c>
      <c r="E1551" s="1">
        <v>4.75</v>
      </c>
      <c r="F1551" s="1">
        <v>-0.25</v>
      </c>
      <c r="G1551" s="1">
        <v>20.0</v>
      </c>
      <c r="H1551" s="1">
        <v>2.0</v>
      </c>
      <c r="I1551" s="1" t="s">
        <v>809</v>
      </c>
      <c r="J1551" s="1" t="s">
        <v>809</v>
      </c>
      <c r="K1551" s="1">
        <v>1.0</v>
      </c>
      <c r="L1551" s="1">
        <v>294000.0</v>
      </c>
    </row>
    <row r="1552">
      <c r="A1552" s="1">
        <v>562.0</v>
      </c>
      <c r="B1552" s="1" t="s">
        <v>806</v>
      </c>
      <c r="C1552" s="1" t="s">
        <v>809</v>
      </c>
      <c r="D1552" s="1" t="s">
        <v>1054</v>
      </c>
      <c r="E1552" s="1" t="s">
        <v>809</v>
      </c>
      <c r="F1552" s="1" t="s">
        <v>809</v>
      </c>
      <c r="G1552" s="1" t="s">
        <v>809</v>
      </c>
      <c r="H1552" s="1" t="s">
        <v>809</v>
      </c>
      <c r="I1552" s="1" t="s">
        <v>809</v>
      </c>
      <c r="J1552" s="1" t="s">
        <v>809</v>
      </c>
      <c r="K1552" s="1">
        <v>1.0</v>
      </c>
      <c r="L1552" s="1">
        <v>240000.0</v>
      </c>
    </row>
    <row r="1553">
      <c r="A1553" s="1">
        <v>563.0</v>
      </c>
      <c r="B1553" s="1" t="s">
        <v>806</v>
      </c>
      <c r="C1553" s="1" t="s">
        <v>807</v>
      </c>
      <c r="D1553" s="1" t="s">
        <v>836</v>
      </c>
      <c r="E1553" s="1">
        <v>6.0</v>
      </c>
      <c r="F1553" s="1">
        <v>-3.0</v>
      </c>
      <c r="G1553" s="1">
        <v>25.0</v>
      </c>
      <c r="H1553" s="1" t="s">
        <v>809</v>
      </c>
      <c r="I1553" s="1" t="s">
        <v>809</v>
      </c>
      <c r="J1553" s="1" t="s">
        <v>809</v>
      </c>
      <c r="K1553" s="1">
        <v>1.0</v>
      </c>
      <c r="L1553" s="1">
        <v>75000.0</v>
      </c>
    </row>
    <row r="1554">
      <c r="A1554" s="1">
        <v>563.0</v>
      </c>
      <c r="B1554" s="1" t="s">
        <v>806</v>
      </c>
      <c r="C1554" s="1" t="s">
        <v>810</v>
      </c>
      <c r="D1554" s="1" t="s">
        <v>836</v>
      </c>
      <c r="E1554" s="1">
        <v>5.0</v>
      </c>
      <c r="F1554" s="1">
        <v>-2.0</v>
      </c>
      <c r="G1554" s="1">
        <v>0.0</v>
      </c>
      <c r="H1554" s="1" t="s">
        <v>809</v>
      </c>
      <c r="I1554" s="1" t="s">
        <v>809</v>
      </c>
      <c r="J1554" s="1" t="s">
        <v>809</v>
      </c>
      <c r="K1554" s="1">
        <v>1.0</v>
      </c>
      <c r="L1554" s="1">
        <v>75000.0</v>
      </c>
    </row>
    <row r="1555">
      <c r="A1555" s="1">
        <v>563.0</v>
      </c>
      <c r="B1555" s="1" t="s">
        <v>806</v>
      </c>
      <c r="C1555" s="1" t="s">
        <v>809</v>
      </c>
      <c r="D1555" s="1" t="s">
        <v>915</v>
      </c>
      <c r="E1555" s="1" t="s">
        <v>809</v>
      </c>
      <c r="F1555" s="1" t="s">
        <v>809</v>
      </c>
      <c r="G1555" s="1" t="s">
        <v>809</v>
      </c>
      <c r="H1555" s="1" t="s">
        <v>809</v>
      </c>
      <c r="I1555" s="1" t="s">
        <v>809</v>
      </c>
      <c r="J1555" s="1" t="s">
        <v>809</v>
      </c>
      <c r="K1555" s="1">
        <v>1.0</v>
      </c>
      <c r="L1555" s="1">
        <v>130000.0</v>
      </c>
    </row>
    <row r="1556">
      <c r="A1556" s="1">
        <v>563.0</v>
      </c>
      <c r="B1556" s="1" t="s">
        <v>825</v>
      </c>
      <c r="C1556" s="1" t="s">
        <v>807</v>
      </c>
      <c r="D1556" s="1" t="s">
        <v>1055</v>
      </c>
      <c r="E1556" s="1">
        <v>8.5</v>
      </c>
      <c r="F1556" s="1">
        <v>-3.0</v>
      </c>
      <c r="G1556" s="1">
        <v>25.0</v>
      </c>
      <c r="H1556" s="1" t="s">
        <v>809</v>
      </c>
      <c r="I1556" s="1" t="s">
        <v>809</v>
      </c>
      <c r="J1556" s="1" t="s">
        <v>809</v>
      </c>
      <c r="K1556" s="1">
        <v>1.0</v>
      </c>
      <c r="L1556" s="1">
        <v>182688.0</v>
      </c>
    </row>
    <row r="1557">
      <c r="A1557" s="1">
        <v>563.0</v>
      </c>
      <c r="B1557" s="1" t="s">
        <v>825</v>
      </c>
      <c r="C1557" s="1" t="s">
        <v>810</v>
      </c>
      <c r="D1557" s="1" t="s">
        <v>1055</v>
      </c>
      <c r="E1557" s="1">
        <v>7.5</v>
      </c>
      <c r="F1557" s="1">
        <v>-2.0</v>
      </c>
      <c r="G1557" s="1">
        <v>0.0</v>
      </c>
      <c r="H1557" s="1" t="s">
        <v>809</v>
      </c>
      <c r="I1557" s="1" t="s">
        <v>809</v>
      </c>
      <c r="J1557" s="1" t="s">
        <v>809</v>
      </c>
      <c r="K1557" s="1">
        <v>1.0</v>
      </c>
      <c r="L1557" s="1">
        <v>182688.0</v>
      </c>
    </row>
    <row r="1558">
      <c r="A1558" s="1">
        <v>563.0</v>
      </c>
      <c r="B1558" s="1" t="s">
        <v>825</v>
      </c>
      <c r="C1558" s="1" t="s">
        <v>809</v>
      </c>
      <c r="D1558" s="1" t="s">
        <v>929</v>
      </c>
      <c r="E1558" s="1" t="s">
        <v>809</v>
      </c>
      <c r="F1558" s="1" t="s">
        <v>809</v>
      </c>
      <c r="G1558" s="1" t="s">
        <v>809</v>
      </c>
      <c r="H1558" s="1" t="s">
        <v>809</v>
      </c>
      <c r="I1558" s="1" t="s">
        <v>809</v>
      </c>
      <c r="J1558" s="1" t="s">
        <v>809</v>
      </c>
      <c r="K1558" s="1">
        <v>1.0</v>
      </c>
      <c r="L1558" s="1">
        <v>120000.0</v>
      </c>
    </row>
    <row r="1559">
      <c r="A1559" s="1">
        <v>564.0</v>
      </c>
      <c r="B1559" s="1" t="s">
        <v>806</v>
      </c>
      <c r="C1559" s="1" t="s">
        <v>807</v>
      </c>
      <c r="D1559" s="1" t="s">
        <v>812</v>
      </c>
      <c r="E1559" s="1">
        <v>0.25</v>
      </c>
      <c r="F1559" s="1">
        <v>-0.25</v>
      </c>
      <c r="G1559" s="1">
        <v>180.0</v>
      </c>
      <c r="H1559" s="1" t="s">
        <v>809</v>
      </c>
      <c r="I1559" s="1">
        <v>28.0</v>
      </c>
      <c r="J1559" s="1" t="s">
        <v>809</v>
      </c>
      <c r="K1559" s="1">
        <v>1.0</v>
      </c>
      <c r="L1559" s="1">
        <v>30613.0</v>
      </c>
    </row>
    <row r="1560">
      <c r="A1560" s="1">
        <v>564.0</v>
      </c>
      <c r="B1560" s="1" t="s">
        <v>806</v>
      </c>
      <c r="C1560" s="1" t="s">
        <v>810</v>
      </c>
      <c r="D1560" s="1" t="s">
        <v>812</v>
      </c>
      <c r="E1560" s="1">
        <v>0.0</v>
      </c>
      <c r="F1560" s="1">
        <v>-0.25</v>
      </c>
      <c r="G1560" s="1">
        <v>10.0</v>
      </c>
      <c r="H1560" s="1" t="s">
        <v>809</v>
      </c>
      <c r="I1560" s="1">
        <v>28.0</v>
      </c>
      <c r="J1560" s="1" t="s">
        <v>809</v>
      </c>
      <c r="K1560" s="1">
        <v>1.0</v>
      </c>
      <c r="L1560" s="1">
        <v>30613.0</v>
      </c>
    </row>
    <row r="1561">
      <c r="A1561" s="1">
        <v>565.0</v>
      </c>
      <c r="B1561" s="1" t="s">
        <v>809</v>
      </c>
      <c r="C1561" s="1" t="s">
        <v>809</v>
      </c>
      <c r="D1561" s="1" t="s">
        <v>965</v>
      </c>
      <c r="E1561" s="1" t="s">
        <v>809</v>
      </c>
      <c r="F1561" s="1" t="s">
        <v>809</v>
      </c>
      <c r="G1561" s="1" t="s">
        <v>809</v>
      </c>
      <c r="H1561" s="1" t="s">
        <v>809</v>
      </c>
      <c r="I1561" s="1" t="s">
        <v>809</v>
      </c>
      <c r="J1561" s="1" t="s">
        <v>809</v>
      </c>
      <c r="K1561" s="1">
        <v>1.0</v>
      </c>
      <c r="L1561" s="1">
        <v>130000.0</v>
      </c>
    </row>
    <row r="1562">
      <c r="A1562" s="1">
        <v>566.0</v>
      </c>
      <c r="B1562" s="1" t="s">
        <v>809</v>
      </c>
      <c r="C1562" s="1" t="s">
        <v>809</v>
      </c>
      <c r="D1562" s="1" t="s">
        <v>1056</v>
      </c>
      <c r="E1562" s="1" t="s">
        <v>809</v>
      </c>
      <c r="F1562" s="1" t="s">
        <v>809</v>
      </c>
      <c r="G1562" s="1" t="s">
        <v>809</v>
      </c>
      <c r="H1562" s="1" t="s">
        <v>809</v>
      </c>
      <c r="I1562" s="1" t="s">
        <v>809</v>
      </c>
      <c r="J1562" s="1" t="s">
        <v>809</v>
      </c>
      <c r="K1562" s="1">
        <v>1.0</v>
      </c>
      <c r="L1562" s="1">
        <v>128000.0</v>
      </c>
    </row>
    <row r="1563">
      <c r="A1563" s="1">
        <v>566.0</v>
      </c>
      <c r="B1563" s="1" t="s">
        <v>809</v>
      </c>
      <c r="C1563" s="1" t="s">
        <v>809</v>
      </c>
      <c r="D1563" s="1" t="s">
        <v>957</v>
      </c>
      <c r="E1563" s="1" t="s">
        <v>809</v>
      </c>
      <c r="F1563" s="1" t="s">
        <v>809</v>
      </c>
      <c r="G1563" s="1" t="s">
        <v>809</v>
      </c>
      <c r="H1563" s="1" t="s">
        <v>809</v>
      </c>
      <c r="I1563" s="1" t="s">
        <v>809</v>
      </c>
      <c r="J1563" s="1" t="s">
        <v>809</v>
      </c>
      <c r="K1563" s="1">
        <v>1.0</v>
      </c>
      <c r="L1563" s="1">
        <v>105000.0</v>
      </c>
    </row>
    <row r="1564">
      <c r="A1564" s="1">
        <v>567.0</v>
      </c>
      <c r="B1564" s="1" t="s">
        <v>806</v>
      </c>
      <c r="C1564" s="1" t="s">
        <v>807</v>
      </c>
      <c r="D1564" s="1" t="s">
        <v>823</v>
      </c>
      <c r="E1564" s="1">
        <v>0.0</v>
      </c>
      <c r="F1564" s="1">
        <v>-2.0</v>
      </c>
      <c r="G1564" s="1">
        <v>10.0</v>
      </c>
      <c r="H1564" s="1">
        <v>2.0</v>
      </c>
      <c r="I1564" s="1" t="s">
        <v>809</v>
      </c>
      <c r="J1564" s="1" t="s">
        <v>809</v>
      </c>
      <c r="K1564" s="1">
        <v>1.0</v>
      </c>
      <c r="L1564" s="1">
        <v>255000.0</v>
      </c>
    </row>
    <row r="1565">
      <c r="A1565" s="1">
        <v>567.0</v>
      </c>
      <c r="B1565" s="1" t="s">
        <v>806</v>
      </c>
      <c r="C1565" s="1" t="s">
        <v>810</v>
      </c>
      <c r="D1565" s="1" t="s">
        <v>823</v>
      </c>
      <c r="E1565" s="1">
        <v>0.0</v>
      </c>
      <c r="F1565" s="1">
        <v>-2.0</v>
      </c>
      <c r="G1565" s="1">
        <v>15.0</v>
      </c>
      <c r="H1565" s="1">
        <v>2.0</v>
      </c>
      <c r="I1565" s="1" t="s">
        <v>809</v>
      </c>
      <c r="J1565" s="1" t="s">
        <v>809</v>
      </c>
      <c r="K1565" s="1">
        <v>1.0</v>
      </c>
      <c r="L1565" s="1">
        <v>255000.0</v>
      </c>
    </row>
    <row r="1566">
      <c r="A1566" s="1">
        <v>568.0</v>
      </c>
      <c r="B1566" s="1" t="s">
        <v>806</v>
      </c>
      <c r="C1566" s="1" t="s">
        <v>807</v>
      </c>
      <c r="D1566" s="1" t="s">
        <v>1057</v>
      </c>
      <c r="E1566" s="1">
        <v>0.0</v>
      </c>
      <c r="F1566" s="1">
        <v>0.0</v>
      </c>
      <c r="G1566" s="1" t="s">
        <v>809</v>
      </c>
      <c r="H1566" s="1" t="s">
        <v>809</v>
      </c>
      <c r="I1566" s="1" t="s">
        <v>809</v>
      </c>
      <c r="J1566" s="1" t="s">
        <v>809</v>
      </c>
      <c r="K1566" s="1">
        <v>1.0</v>
      </c>
      <c r="L1566" s="1">
        <v>650000.0</v>
      </c>
    </row>
    <row r="1567">
      <c r="A1567" s="1">
        <v>568.0</v>
      </c>
      <c r="B1567" s="1" t="s">
        <v>806</v>
      </c>
      <c r="C1567" s="1" t="s">
        <v>810</v>
      </c>
      <c r="D1567" s="1" t="s">
        <v>1057</v>
      </c>
      <c r="E1567" s="1">
        <v>0.0</v>
      </c>
      <c r="F1567" s="1">
        <v>0.0</v>
      </c>
      <c r="G1567" s="1" t="s">
        <v>809</v>
      </c>
      <c r="H1567" s="1" t="s">
        <v>809</v>
      </c>
      <c r="I1567" s="1" t="s">
        <v>809</v>
      </c>
      <c r="J1567" s="1" t="s">
        <v>809</v>
      </c>
      <c r="K1567" s="1">
        <v>1.0</v>
      </c>
      <c r="L1567" s="1">
        <v>650000.0</v>
      </c>
    </row>
    <row r="1568">
      <c r="A1568" s="1">
        <v>568.0</v>
      </c>
      <c r="B1568" s="1" t="s">
        <v>806</v>
      </c>
      <c r="C1568" s="1" t="s">
        <v>809</v>
      </c>
      <c r="D1568" s="1" t="s">
        <v>1058</v>
      </c>
      <c r="E1568" s="1" t="s">
        <v>809</v>
      </c>
      <c r="F1568" s="1" t="s">
        <v>809</v>
      </c>
      <c r="G1568" s="1" t="s">
        <v>809</v>
      </c>
      <c r="H1568" s="1" t="s">
        <v>809</v>
      </c>
      <c r="I1568" s="1" t="s">
        <v>809</v>
      </c>
      <c r="J1568" s="1" t="s">
        <v>809</v>
      </c>
      <c r="K1568" s="1">
        <v>1.0</v>
      </c>
      <c r="L1568" s="1">
        <v>288000.0</v>
      </c>
    </row>
    <row r="1569">
      <c r="A1569" s="1">
        <v>569.0</v>
      </c>
      <c r="B1569" s="1" t="s">
        <v>809</v>
      </c>
      <c r="C1569" s="1" t="s">
        <v>809</v>
      </c>
      <c r="D1569" s="1" t="s">
        <v>1059</v>
      </c>
      <c r="E1569" s="1" t="s">
        <v>809</v>
      </c>
      <c r="F1569" s="1" t="s">
        <v>809</v>
      </c>
      <c r="G1569" s="1" t="s">
        <v>809</v>
      </c>
      <c r="H1569" s="1" t="s">
        <v>809</v>
      </c>
      <c r="I1569" s="1" t="s">
        <v>809</v>
      </c>
      <c r="J1569" s="1" t="s">
        <v>809</v>
      </c>
      <c r="K1569" s="1">
        <v>1.0</v>
      </c>
      <c r="L1569" s="1">
        <v>189000.0</v>
      </c>
    </row>
    <row r="1570">
      <c r="A1570" s="1">
        <v>570.0</v>
      </c>
      <c r="B1570" s="1" t="s">
        <v>806</v>
      </c>
      <c r="C1570" s="1" t="s">
        <v>807</v>
      </c>
      <c r="D1570" s="1" t="s">
        <v>1060</v>
      </c>
      <c r="E1570" s="1">
        <v>0.5</v>
      </c>
      <c r="F1570" s="1">
        <v>-5.25</v>
      </c>
      <c r="G1570" s="1">
        <v>5.0</v>
      </c>
      <c r="H1570" s="1" t="s">
        <v>809</v>
      </c>
      <c r="I1570" s="1" t="s">
        <v>809</v>
      </c>
      <c r="J1570" s="1" t="s">
        <v>809</v>
      </c>
      <c r="K1570" s="1">
        <v>1.0</v>
      </c>
      <c r="L1570" s="1">
        <v>47507.37</v>
      </c>
    </row>
    <row r="1571">
      <c r="A1571" s="1">
        <v>570.0</v>
      </c>
      <c r="B1571" s="1" t="s">
        <v>806</v>
      </c>
      <c r="C1571" s="1" t="s">
        <v>810</v>
      </c>
      <c r="D1571" s="1" t="s">
        <v>1060</v>
      </c>
      <c r="E1571" s="1">
        <v>0.5</v>
      </c>
      <c r="F1571" s="1">
        <v>-4.5</v>
      </c>
      <c r="G1571" s="1">
        <v>175.0</v>
      </c>
      <c r="H1571" s="1" t="s">
        <v>809</v>
      </c>
      <c r="I1571" s="1" t="s">
        <v>809</v>
      </c>
      <c r="J1571" s="1" t="s">
        <v>809</v>
      </c>
      <c r="K1571" s="1">
        <v>1.0</v>
      </c>
      <c r="L1571" s="1">
        <v>47507.37</v>
      </c>
    </row>
    <row r="1572">
      <c r="A1572" s="1">
        <v>570.0</v>
      </c>
      <c r="B1572" s="1" t="s">
        <v>806</v>
      </c>
      <c r="C1572" s="1" t="s">
        <v>809</v>
      </c>
      <c r="D1572" s="1" t="s">
        <v>814</v>
      </c>
      <c r="E1572" s="1" t="s">
        <v>809</v>
      </c>
      <c r="F1572" s="1" t="s">
        <v>809</v>
      </c>
      <c r="G1572" s="1" t="s">
        <v>809</v>
      </c>
      <c r="H1572" s="1" t="s">
        <v>809</v>
      </c>
      <c r="I1572" s="1" t="s">
        <v>809</v>
      </c>
      <c r="J1572" s="1" t="s">
        <v>809</v>
      </c>
      <c r="K1572" s="1">
        <v>1.0</v>
      </c>
      <c r="L1572" s="1">
        <v>125000.0</v>
      </c>
    </row>
    <row r="1573">
      <c r="A1573" s="1">
        <v>571.0</v>
      </c>
      <c r="B1573" s="1" t="s">
        <v>806</v>
      </c>
      <c r="C1573" s="1" t="s">
        <v>807</v>
      </c>
      <c r="D1573" s="1" t="s">
        <v>1060</v>
      </c>
      <c r="E1573" s="1">
        <v>0.0</v>
      </c>
      <c r="F1573" s="1">
        <v>0.0</v>
      </c>
      <c r="G1573" s="1" t="s">
        <v>809</v>
      </c>
      <c r="H1573" s="1" t="s">
        <v>809</v>
      </c>
      <c r="I1573" s="1" t="s">
        <v>809</v>
      </c>
      <c r="J1573" s="1" t="s">
        <v>809</v>
      </c>
      <c r="K1573" s="1">
        <v>1.0</v>
      </c>
      <c r="L1573" s="1">
        <v>22500.0</v>
      </c>
    </row>
    <row r="1574">
      <c r="A1574" s="1">
        <v>571.0</v>
      </c>
      <c r="B1574" s="1" t="s">
        <v>806</v>
      </c>
      <c r="C1574" s="1" t="s">
        <v>810</v>
      </c>
      <c r="D1574" s="1" t="s">
        <v>1060</v>
      </c>
      <c r="E1574" s="1">
        <v>0.0</v>
      </c>
      <c r="F1574" s="1">
        <v>0.0</v>
      </c>
      <c r="G1574" s="1" t="s">
        <v>809</v>
      </c>
      <c r="H1574" s="1" t="s">
        <v>809</v>
      </c>
      <c r="I1574" s="1" t="s">
        <v>809</v>
      </c>
      <c r="J1574" s="1" t="s">
        <v>809</v>
      </c>
      <c r="K1574" s="1">
        <v>1.0</v>
      </c>
      <c r="L1574" s="1">
        <v>22500.0</v>
      </c>
    </row>
    <row r="1575">
      <c r="A1575" s="1">
        <v>571.0</v>
      </c>
      <c r="B1575" s="1" t="s">
        <v>806</v>
      </c>
      <c r="C1575" s="1" t="s">
        <v>809</v>
      </c>
      <c r="D1575" s="1" t="s">
        <v>814</v>
      </c>
      <c r="E1575" s="1" t="s">
        <v>809</v>
      </c>
      <c r="F1575" s="1" t="s">
        <v>809</v>
      </c>
      <c r="G1575" s="1" t="s">
        <v>809</v>
      </c>
      <c r="H1575" s="1" t="s">
        <v>809</v>
      </c>
      <c r="I1575" s="1" t="s">
        <v>809</v>
      </c>
      <c r="J1575" s="1" t="s">
        <v>809</v>
      </c>
      <c r="K1575" s="1">
        <v>1.0</v>
      </c>
      <c r="L1575" s="1">
        <v>120000.0</v>
      </c>
    </row>
    <row r="1576">
      <c r="A1576" s="1">
        <v>572.0</v>
      </c>
      <c r="B1576" s="1" t="s">
        <v>809</v>
      </c>
      <c r="C1576" s="1" t="s">
        <v>809</v>
      </c>
      <c r="D1576" s="1" t="s">
        <v>912</v>
      </c>
      <c r="E1576" s="1" t="s">
        <v>809</v>
      </c>
      <c r="F1576" s="1" t="s">
        <v>809</v>
      </c>
      <c r="G1576" s="1" t="s">
        <v>809</v>
      </c>
      <c r="H1576" s="1" t="s">
        <v>809</v>
      </c>
      <c r="I1576" s="1" t="s">
        <v>809</v>
      </c>
      <c r="J1576" s="1" t="s">
        <v>809</v>
      </c>
      <c r="K1576" s="1">
        <v>1.0</v>
      </c>
      <c r="L1576" s="1">
        <v>120000.0</v>
      </c>
    </row>
    <row r="1577">
      <c r="A1577" s="1">
        <v>573.0</v>
      </c>
      <c r="B1577" s="1" t="s">
        <v>806</v>
      </c>
      <c r="C1577" s="1" t="s">
        <v>807</v>
      </c>
      <c r="D1577" s="1" t="s">
        <v>836</v>
      </c>
      <c r="E1577" s="1">
        <v>-0.25</v>
      </c>
      <c r="F1577" s="1">
        <v>-0.25</v>
      </c>
      <c r="G1577" s="1">
        <v>10.0</v>
      </c>
      <c r="H1577" s="1" t="s">
        <v>809</v>
      </c>
      <c r="I1577" s="1" t="s">
        <v>809</v>
      </c>
      <c r="J1577" s="1" t="s">
        <v>809</v>
      </c>
      <c r="K1577" s="1">
        <v>1.0</v>
      </c>
      <c r="L1577" s="1">
        <v>55000.0</v>
      </c>
    </row>
    <row r="1578">
      <c r="A1578" s="1">
        <v>573.0</v>
      </c>
      <c r="B1578" s="1" t="s">
        <v>806</v>
      </c>
      <c r="C1578" s="1" t="s">
        <v>810</v>
      </c>
      <c r="D1578" s="1" t="s">
        <v>836</v>
      </c>
      <c r="E1578" s="1">
        <v>0.0</v>
      </c>
      <c r="F1578" s="1">
        <v>-0.25</v>
      </c>
      <c r="G1578" s="1">
        <v>80.0</v>
      </c>
      <c r="H1578" s="1" t="s">
        <v>809</v>
      </c>
      <c r="I1578" s="1" t="s">
        <v>809</v>
      </c>
      <c r="J1578" s="1" t="s">
        <v>809</v>
      </c>
      <c r="K1578" s="1">
        <v>1.0</v>
      </c>
      <c r="L1578" s="1">
        <v>55000.0</v>
      </c>
    </row>
    <row r="1579">
      <c r="A1579" s="1">
        <v>573.0</v>
      </c>
      <c r="B1579" s="1" t="s">
        <v>806</v>
      </c>
      <c r="C1579" s="1" t="s">
        <v>809</v>
      </c>
      <c r="D1579" s="1" t="s">
        <v>912</v>
      </c>
      <c r="E1579" s="1" t="s">
        <v>809</v>
      </c>
      <c r="F1579" s="1" t="s">
        <v>809</v>
      </c>
      <c r="G1579" s="1" t="s">
        <v>809</v>
      </c>
      <c r="H1579" s="1" t="s">
        <v>809</v>
      </c>
      <c r="I1579" s="1" t="s">
        <v>809</v>
      </c>
      <c r="J1579" s="1" t="s">
        <v>809</v>
      </c>
      <c r="K1579" s="1">
        <v>1.0</v>
      </c>
      <c r="L1579" s="1">
        <v>120000.0</v>
      </c>
    </row>
    <row r="1580">
      <c r="A1580" s="1">
        <v>574.0</v>
      </c>
      <c r="B1580" s="1" t="s">
        <v>806</v>
      </c>
      <c r="C1580" s="1" t="s">
        <v>807</v>
      </c>
      <c r="D1580" s="1" t="s">
        <v>826</v>
      </c>
      <c r="E1580" s="1">
        <v>0.75</v>
      </c>
      <c r="F1580" s="1">
        <v>-0.5</v>
      </c>
      <c r="G1580" s="1">
        <v>15.0</v>
      </c>
      <c r="H1580" s="1" t="s">
        <v>809</v>
      </c>
      <c r="I1580" s="1">
        <v>26.0</v>
      </c>
      <c r="J1580" s="1">
        <v>22.0</v>
      </c>
      <c r="K1580" s="1">
        <v>1.0</v>
      </c>
      <c r="L1580" s="1">
        <v>15000.0</v>
      </c>
    </row>
    <row r="1581">
      <c r="A1581" s="1">
        <v>574.0</v>
      </c>
      <c r="B1581" s="1" t="s">
        <v>806</v>
      </c>
      <c r="C1581" s="1" t="s">
        <v>810</v>
      </c>
      <c r="D1581" s="1" t="s">
        <v>826</v>
      </c>
      <c r="E1581" s="1">
        <v>0.75</v>
      </c>
      <c r="F1581" s="1">
        <v>-0.5</v>
      </c>
      <c r="G1581" s="1">
        <v>160.0</v>
      </c>
      <c r="H1581" s="1" t="s">
        <v>809</v>
      </c>
      <c r="I1581" s="1">
        <v>27.0</v>
      </c>
      <c r="J1581" s="1">
        <v>22.0</v>
      </c>
      <c r="K1581" s="1">
        <v>1.0</v>
      </c>
      <c r="L1581" s="1">
        <v>15000.0</v>
      </c>
    </row>
    <row r="1582">
      <c r="A1582" s="1">
        <v>574.0</v>
      </c>
      <c r="B1582" s="1" t="s">
        <v>806</v>
      </c>
      <c r="C1582" s="1" t="s">
        <v>809</v>
      </c>
      <c r="D1582" s="1" t="s">
        <v>1056</v>
      </c>
      <c r="E1582" s="1" t="s">
        <v>809</v>
      </c>
      <c r="F1582" s="1" t="s">
        <v>809</v>
      </c>
      <c r="G1582" s="1" t="s">
        <v>809</v>
      </c>
      <c r="H1582" s="1" t="s">
        <v>809</v>
      </c>
      <c r="I1582" s="1" t="s">
        <v>809</v>
      </c>
      <c r="J1582" s="1" t="s">
        <v>809</v>
      </c>
      <c r="K1582" s="1">
        <v>1.0</v>
      </c>
      <c r="L1582" s="1">
        <v>130000.0</v>
      </c>
    </row>
    <row r="1583">
      <c r="A1583" s="1">
        <v>575.0</v>
      </c>
      <c r="B1583" s="1" t="s">
        <v>806</v>
      </c>
      <c r="C1583" s="1" t="s">
        <v>807</v>
      </c>
      <c r="D1583" s="1" t="s">
        <v>823</v>
      </c>
      <c r="E1583" s="1">
        <v>0.0</v>
      </c>
      <c r="F1583" s="1">
        <v>0.0</v>
      </c>
      <c r="G1583" s="1" t="s">
        <v>809</v>
      </c>
      <c r="H1583" s="1" t="s">
        <v>809</v>
      </c>
      <c r="I1583" s="1" t="s">
        <v>809</v>
      </c>
      <c r="J1583" s="1" t="s">
        <v>809</v>
      </c>
      <c r="K1583" s="1">
        <v>1.0</v>
      </c>
      <c r="L1583" s="1">
        <v>249000.0</v>
      </c>
    </row>
    <row r="1584">
      <c r="A1584" s="1">
        <v>575.0</v>
      </c>
      <c r="B1584" s="1" t="s">
        <v>806</v>
      </c>
      <c r="C1584" s="1" t="s">
        <v>810</v>
      </c>
      <c r="D1584" s="1" t="s">
        <v>823</v>
      </c>
      <c r="E1584" s="1">
        <v>0.0</v>
      </c>
      <c r="F1584" s="1">
        <v>0.0</v>
      </c>
      <c r="G1584" s="1" t="s">
        <v>809</v>
      </c>
      <c r="H1584" s="1" t="s">
        <v>809</v>
      </c>
      <c r="I1584" s="1" t="s">
        <v>809</v>
      </c>
      <c r="J1584" s="1" t="s">
        <v>809</v>
      </c>
      <c r="K1584" s="1">
        <v>1.0</v>
      </c>
      <c r="L1584" s="1">
        <v>249000.0</v>
      </c>
    </row>
    <row r="1585">
      <c r="A1585" s="1">
        <v>575.0</v>
      </c>
      <c r="B1585" s="1" t="s">
        <v>806</v>
      </c>
      <c r="C1585" s="1" t="s">
        <v>809</v>
      </c>
      <c r="D1585" s="1" t="s">
        <v>1061</v>
      </c>
      <c r="E1585" s="1" t="s">
        <v>809</v>
      </c>
      <c r="F1585" s="1" t="s">
        <v>809</v>
      </c>
      <c r="G1585" s="1" t="s">
        <v>809</v>
      </c>
      <c r="H1585" s="1" t="s">
        <v>809</v>
      </c>
      <c r="I1585" s="1" t="s">
        <v>809</v>
      </c>
      <c r="J1585" s="1" t="s">
        <v>809</v>
      </c>
      <c r="K1585" s="1">
        <v>1.0</v>
      </c>
      <c r="L1585" s="1">
        <v>130000.0</v>
      </c>
    </row>
    <row r="1586">
      <c r="A1586" s="1">
        <v>576.0</v>
      </c>
      <c r="B1586" s="1" t="s">
        <v>809</v>
      </c>
      <c r="C1586" s="1" t="s">
        <v>809</v>
      </c>
      <c r="D1586" s="1" t="s">
        <v>1029</v>
      </c>
      <c r="E1586" s="1" t="s">
        <v>809</v>
      </c>
      <c r="F1586" s="1" t="s">
        <v>809</v>
      </c>
      <c r="G1586" s="1" t="s">
        <v>809</v>
      </c>
      <c r="H1586" s="1" t="s">
        <v>809</v>
      </c>
      <c r="I1586" s="1" t="s">
        <v>809</v>
      </c>
      <c r="J1586" s="1" t="s">
        <v>809</v>
      </c>
      <c r="K1586" s="1">
        <v>1.0</v>
      </c>
      <c r="L1586" s="1">
        <v>160000.0</v>
      </c>
    </row>
    <row r="1587">
      <c r="A1587" s="1">
        <v>576.0</v>
      </c>
      <c r="B1587" s="1" t="s">
        <v>809</v>
      </c>
      <c r="C1587" s="1" t="s">
        <v>809</v>
      </c>
      <c r="D1587" s="1" t="s">
        <v>1059</v>
      </c>
      <c r="E1587" s="1" t="s">
        <v>809</v>
      </c>
      <c r="F1587" s="1" t="s">
        <v>809</v>
      </c>
      <c r="G1587" s="1" t="s">
        <v>809</v>
      </c>
      <c r="H1587" s="1" t="s">
        <v>809</v>
      </c>
      <c r="I1587" s="1" t="s">
        <v>809</v>
      </c>
      <c r="J1587" s="1" t="s">
        <v>809</v>
      </c>
      <c r="K1587" s="1">
        <v>1.0</v>
      </c>
      <c r="L1587" s="1">
        <v>150000.0</v>
      </c>
    </row>
    <row r="1588">
      <c r="A1588" s="1">
        <v>577.0</v>
      </c>
      <c r="B1588" s="1" t="s">
        <v>806</v>
      </c>
      <c r="C1588" s="1" t="s">
        <v>807</v>
      </c>
      <c r="D1588" s="1" t="s">
        <v>836</v>
      </c>
      <c r="E1588" s="1">
        <v>0.0</v>
      </c>
      <c r="F1588" s="1">
        <v>-4.0</v>
      </c>
      <c r="G1588" s="1">
        <v>10.0</v>
      </c>
      <c r="H1588" s="1" t="s">
        <v>809</v>
      </c>
      <c r="I1588" s="1" t="s">
        <v>809</v>
      </c>
      <c r="J1588" s="1" t="s">
        <v>809</v>
      </c>
      <c r="K1588" s="1">
        <v>1.0</v>
      </c>
      <c r="L1588" s="1">
        <v>45000.0</v>
      </c>
    </row>
    <row r="1589">
      <c r="A1589" s="1">
        <v>577.0</v>
      </c>
      <c r="B1589" s="1" t="s">
        <v>806</v>
      </c>
      <c r="C1589" s="1" t="s">
        <v>810</v>
      </c>
      <c r="D1589" s="1" t="s">
        <v>836</v>
      </c>
      <c r="E1589" s="1">
        <v>-1.0</v>
      </c>
      <c r="F1589" s="1">
        <v>-4.0</v>
      </c>
      <c r="G1589" s="1">
        <v>170.0</v>
      </c>
      <c r="H1589" s="1" t="s">
        <v>809</v>
      </c>
      <c r="I1589" s="1" t="s">
        <v>809</v>
      </c>
      <c r="J1589" s="1" t="s">
        <v>809</v>
      </c>
      <c r="K1589" s="1">
        <v>1.0</v>
      </c>
      <c r="L1589" s="1">
        <v>45000.0</v>
      </c>
    </row>
    <row r="1590">
      <c r="A1590" s="1">
        <v>577.0</v>
      </c>
      <c r="B1590" s="1" t="s">
        <v>806</v>
      </c>
      <c r="C1590" s="1" t="s">
        <v>809</v>
      </c>
      <c r="D1590" s="1" t="s">
        <v>912</v>
      </c>
      <c r="E1590" s="1" t="s">
        <v>809</v>
      </c>
      <c r="F1590" s="1" t="s">
        <v>809</v>
      </c>
      <c r="G1590" s="1" t="s">
        <v>809</v>
      </c>
      <c r="H1590" s="1" t="s">
        <v>809</v>
      </c>
      <c r="I1590" s="1" t="s">
        <v>809</v>
      </c>
      <c r="J1590" s="1" t="s">
        <v>809</v>
      </c>
      <c r="K1590" s="1">
        <v>1.0</v>
      </c>
      <c r="L1590" s="1">
        <v>120000.0</v>
      </c>
    </row>
    <row r="1591">
      <c r="A1591" s="1">
        <v>578.0</v>
      </c>
      <c r="B1591" s="1" t="s">
        <v>806</v>
      </c>
      <c r="C1591" s="1" t="s">
        <v>807</v>
      </c>
      <c r="D1591" s="1" t="s">
        <v>882</v>
      </c>
      <c r="E1591" s="1">
        <v>0.0</v>
      </c>
      <c r="F1591" s="1">
        <v>0.0</v>
      </c>
      <c r="G1591" s="1" t="s">
        <v>809</v>
      </c>
      <c r="H1591" s="1" t="s">
        <v>809</v>
      </c>
      <c r="I1591" s="1" t="s">
        <v>809</v>
      </c>
      <c r="J1591" s="1" t="s">
        <v>809</v>
      </c>
      <c r="K1591" s="1">
        <v>1.0</v>
      </c>
      <c r="L1591" s="1">
        <v>83000.0</v>
      </c>
    </row>
    <row r="1592">
      <c r="A1592" s="1">
        <v>578.0</v>
      </c>
      <c r="B1592" s="1" t="s">
        <v>806</v>
      </c>
      <c r="C1592" s="1" t="s">
        <v>810</v>
      </c>
      <c r="D1592" s="1" t="s">
        <v>882</v>
      </c>
      <c r="E1592" s="1">
        <v>0.0</v>
      </c>
      <c r="F1592" s="1">
        <v>0.0</v>
      </c>
      <c r="G1592" s="1" t="s">
        <v>809</v>
      </c>
      <c r="H1592" s="1" t="s">
        <v>809</v>
      </c>
      <c r="I1592" s="1" t="s">
        <v>809</v>
      </c>
      <c r="J1592" s="1" t="s">
        <v>809</v>
      </c>
      <c r="K1592" s="1">
        <v>1.0</v>
      </c>
      <c r="L1592" s="1">
        <v>83000.0</v>
      </c>
    </row>
    <row r="1593">
      <c r="A1593" s="1">
        <v>579.0</v>
      </c>
      <c r="B1593" s="1" t="s">
        <v>806</v>
      </c>
      <c r="C1593" s="1" t="s">
        <v>807</v>
      </c>
      <c r="D1593" s="1" t="s">
        <v>812</v>
      </c>
      <c r="E1593" s="1">
        <v>-1.5</v>
      </c>
      <c r="F1593" s="1">
        <v>0.0</v>
      </c>
      <c r="G1593" s="1" t="s">
        <v>809</v>
      </c>
      <c r="H1593" s="1" t="s">
        <v>809</v>
      </c>
      <c r="I1593" s="1" t="s">
        <v>809</v>
      </c>
      <c r="J1593" s="1" t="s">
        <v>809</v>
      </c>
      <c r="K1593" s="1">
        <v>1.0</v>
      </c>
      <c r="L1593" s="1">
        <v>30000.0</v>
      </c>
    </row>
    <row r="1594">
      <c r="A1594" s="1">
        <v>579.0</v>
      </c>
      <c r="B1594" s="1" t="s">
        <v>806</v>
      </c>
      <c r="C1594" s="1" t="s">
        <v>810</v>
      </c>
      <c r="D1594" s="1" t="s">
        <v>812</v>
      </c>
      <c r="E1594" s="1">
        <v>-1.5</v>
      </c>
      <c r="F1594" s="1">
        <v>0.0</v>
      </c>
      <c r="G1594" s="1" t="s">
        <v>809</v>
      </c>
      <c r="H1594" s="1" t="s">
        <v>809</v>
      </c>
      <c r="I1594" s="1" t="s">
        <v>809</v>
      </c>
      <c r="J1594" s="1" t="s">
        <v>809</v>
      </c>
      <c r="K1594" s="1">
        <v>1.0</v>
      </c>
      <c r="L1594" s="1">
        <v>30000.0</v>
      </c>
    </row>
    <row r="1595">
      <c r="A1595" s="1">
        <v>579.0</v>
      </c>
      <c r="B1595" s="1" t="s">
        <v>806</v>
      </c>
      <c r="C1595" s="1" t="s">
        <v>809</v>
      </c>
      <c r="D1595" s="1">
        <v>6003.0</v>
      </c>
      <c r="E1595" s="1" t="s">
        <v>809</v>
      </c>
      <c r="F1595" s="1" t="s">
        <v>809</v>
      </c>
      <c r="G1595" s="1" t="s">
        <v>809</v>
      </c>
      <c r="H1595" s="1" t="s">
        <v>809</v>
      </c>
      <c r="I1595" s="1" t="s">
        <v>809</v>
      </c>
      <c r="J1595" s="1" t="s">
        <v>809</v>
      </c>
      <c r="K1595" s="1">
        <v>1.0</v>
      </c>
      <c r="L1595" s="1">
        <v>140000.0</v>
      </c>
    </row>
    <row r="1596">
      <c r="A1596" s="1">
        <v>580.0</v>
      </c>
      <c r="B1596" s="1" t="s">
        <v>806</v>
      </c>
      <c r="C1596" s="1" t="s">
        <v>807</v>
      </c>
      <c r="D1596" s="1" t="s">
        <v>808</v>
      </c>
      <c r="E1596" s="1">
        <v>0.0</v>
      </c>
      <c r="F1596" s="1">
        <v>0.0</v>
      </c>
      <c r="G1596" s="1" t="s">
        <v>809</v>
      </c>
      <c r="H1596" s="1" t="s">
        <v>809</v>
      </c>
      <c r="I1596" s="1" t="s">
        <v>809</v>
      </c>
      <c r="J1596" s="1" t="s">
        <v>809</v>
      </c>
      <c r="K1596" s="1">
        <v>1.0</v>
      </c>
      <c r="L1596" s="1">
        <v>9722.9</v>
      </c>
    </row>
    <row r="1597">
      <c r="A1597" s="1">
        <v>580.0</v>
      </c>
      <c r="B1597" s="1" t="s">
        <v>806</v>
      </c>
      <c r="C1597" s="1" t="s">
        <v>810</v>
      </c>
      <c r="D1597" s="1" t="s">
        <v>808</v>
      </c>
      <c r="E1597" s="1">
        <v>0.0</v>
      </c>
      <c r="F1597" s="1">
        <v>0.0</v>
      </c>
      <c r="G1597" s="1" t="s">
        <v>809</v>
      </c>
      <c r="H1597" s="1" t="s">
        <v>809</v>
      </c>
      <c r="I1597" s="1" t="s">
        <v>809</v>
      </c>
      <c r="J1597" s="1" t="s">
        <v>809</v>
      </c>
      <c r="K1597" s="1">
        <v>1.0</v>
      </c>
      <c r="L1597" s="1">
        <v>9722.9</v>
      </c>
    </row>
    <row r="1598">
      <c r="A1598" s="1">
        <v>580.0</v>
      </c>
      <c r="B1598" s="1" t="s">
        <v>806</v>
      </c>
      <c r="C1598" s="1">
        <v>2.0</v>
      </c>
      <c r="D1598" s="1" t="s">
        <v>1062</v>
      </c>
      <c r="E1598" s="1" t="s">
        <v>809</v>
      </c>
      <c r="F1598" s="1" t="s">
        <v>809</v>
      </c>
      <c r="G1598" s="1" t="s">
        <v>809</v>
      </c>
      <c r="H1598" s="1" t="s">
        <v>809</v>
      </c>
      <c r="I1598" s="1" t="s">
        <v>809</v>
      </c>
      <c r="J1598" s="1" t="s">
        <v>809</v>
      </c>
      <c r="K1598" s="1">
        <v>2.0</v>
      </c>
      <c r="L1598" s="1">
        <v>18561.4</v>
      </c>
    </row>
    <row r="1599">
      <c r="A1599" s="1">
        <v>580.0</v>
      </c>
      <c r="B1599" s="1" t="s">
        <v>806</v>
      </c>
      <c r="C1599" s="1" t="s">
        <v>809</v>
      </c>
      <c r="D1599" s="1" t="s">
        <v>833</v>
      </c>
      <c r="E1599" s="1" t="s">
        <v>809</v>
      </c>
      <c r="F1599" s="1" t="s">
        <v>809</v>
      </c>
      <c r="G1599" s="1" t="s">
        <v>809</v>
      </c>
      <c r="H1599" s="1" t="s">
        <v>809</v>
      </c>
      <c r="I1599" s="1" t="s">
        <v>809</v>
      </c>
      <c r="J1599" s="1" t="s">
        <v>809</v>
      </c>
      <c r="K1599" s="1">
        <v>1.0</v>
      </c>
      <c r="L1599" s="1">
        <v>165440.0</v>
      </c>
    </row>
    <row r="1600">
      <c r="A1600" s="1">
        <v>581.0</v>
      </c>
      <c r="B1600" s="1" t="s">
        <v>825</v>
      </c>
      <c r="C1600" s="1" t="s">
        <v>807</v>
      </c>
      <c r="D1600" s="1" t="s">
        <v>812</v>
      </c>
      <c r="E1600" s="1">
        <v>1.0</v>
      </c>
      <c r="F1600" s="1">
        <v>0.0</v>
      </c>
      <c r="G1600" s="1" t="s">
        <v>809</v>
      </c>
      <c r="H1600" s="1" t="s">
        <v>809</v>
      </c>
      <c r="I1600" s="1" t="s">
        <v>809</v>
      </c>
      <c r="J1600" s="1" t="s">
        <v>809</v>
      </c>
      <c r="K1600" s="1">
        <v>1.0</v>
      </c>
      <c r="L1600" s="1">
        <v>30613.0</v>
      </c>
    </row>
    <row r="1601">
      <c r="A1601" s="1">
        <v>581.0</v>
      </c>
      <c r="B1601" s="1" t="s">
        <v>825</v>
      </c>
      <c r="C1601" s="1" t="s">
        <v>810</v>
      </c>
      <c r="D1601" s="1" t="s">
        <v>812</v>
      </c>
      <c r="E1601" s="1">
        <v>1.0</v>
      </c>
      <c r="F1601" s="1">
        <v>0.0</v>
      </c>
      <c r="G1601" s="1" t="s">
        <v>809</v>
      </c>
      <c r="H1601" s="1" t="s">
        <v>809</v>
      </c>
      <c r="I1601" s="1" t="s">
        <v>809</v>
      </c>
      <c r="J1601" s="1" t="s">
        <v>809</v>
      </c>
      <c r="K1601" s="1">
        <v>1.0</v>
      </c>
      <c r="L1601" s="1">
        <v>30613.0</v>
      </c>
    </row>
    <row r="1602">
      <c r="A1602" s="1">
        <v>581.0</v>
      </c>
      <c r="B1602" s="1" t="s">
        <v>825</v>
      </c>
      <c r="C1602" s="1" t="s">
        <v>809</v>
      </c>
      <c r="D1602" s="1" t="s">
        <v>957</v>
      </c>
      <c r="E1602" s="1" t="s">
        <v>809</v>
      </c>
      <c r="F1602" s="1" t="s">
        <v>809</v>
      </c>
      <c r="G1602" s="1" t="s">
        <v>809</v>
      </c>
      <c r="H1602" s="1" t="s">
        <v>809</v>
      </c>
      <c r="I1602" s="1" t="s">
        <v>809</v>
      </c>
      <c r="J1602" s="1" t="s">
        <v>809</v>
      </c>
      <c r="K1602" s="1">
        <v>1.0</v>
      </c>
      <c r="L1602" s="1">
        <v>120000.0</v>
      </c>
    </row>
    <row r="1603">
      <c r="A1603" s="1">
        <v>582.0</v>
      </c>
      <c r="B1603" s="1" t="s">
        <v>806</v>
      </c>
      <c r="C1603" s="1" t="s">
        <v>807</v>
      </c>
      <c r="D1603" s="1" t="s">
        <v>870</v>
      </c>
      <c r="E1603" s="1">
        <v>4.0</v>
      </c>
      <c r="F1603" s="1">
        <v>-0.25</v>
      </c>
      <c r="G1603" s="1">
        <v>20.0</v>
      </c>
      <c r="H1603" s="1">
        <v>2.0</v>
      </c>
      <c r="I1603" s="1">
        <v>28.0</v>
      </c>
      <c r="J1603" s="1">
        <v>26.0</v>
      </c>
      <c r="K1603" s="1">
        <v>1.0</v>
      </c>
      <c r="L1603" s="1">
        <v>294000.0</v>
      </c>
    </row>
    <row r="1604">
      <c r="A1604" s="1">
        <v>582.0</v>
      </c>
      <c r="B1604" s="1" t="s">
        <v>806</v>
      </c>
      <c r="C1604" s="1" t="s">
        <v>810</v>
      </c>
      <c r="D1604" s="1" t="s">
        <v>870</v>
      </c>
      <c r="E1604" s="1">
        <v>4.0</v>
      </c>
      <c r="F1604" s="1">
        <v>-1.0</v>
      </c>
      <c r="G1604" s="1">
        <v>5.0</v>
      </c>
      <c r="H1604" s="1">
        <v>2.0</v>
      </c>
      <c r="I1604" s="1">
        <v>28.0</v>
      </c>
      <c r="J1604" s="1">
        <v>26.0</v>
      </c>
      <c r="K1604" s="1">
        <v>1.0</v>
      </c>
      <c r="L1604" s="1">
        <v>294000.0</v>
      </c>
    </row>
    <row r="1605">
      <c r="A1605" s="1">
        <v>582.0</v>
      </c>
      <c r="B1605" s="1" t="s">
        <v>806</v>
      </c>
      <c r="C1605" s="1" t="s">
        <v>809</v>
      </c>
      <c r="D1605" s="1" t="s">
        <v>929</v>
      </c>
      <c r="E1605" s="1" t="s">
        <v>809</v>
      </c>
      <c r="F1605" s="1" t="s">
        <v>809</v>
      </c>
      <c r="G1605" s="1" t="s">
        <v>809</v>
      </c>
      <c r="H1605" s="1" t="s">
        <v>809</v>
      </c>
      <c r="I1605" s="1" t="s">
        <v>809</v>
      </c>
      <c r="J1605" s="1" t="s">
        <v>809</v>
      </c>
      <c r="K1605" s="1">
        <v>1.0</v>
      </c>
      <c r="L1605" s="1">
        <v>130000.0</v>
      </c>
    </row>
    <row r="1606">
      <c r="A1606" s="1">
        <v>583.0</v>
      </c>
      <c r="B1606" s="1" t="s">
        <v>806</v>
      </c>
      <c r="C1606" s="1" t="s">
        <v>807</v>
      </c>
      <c r="D1606" s="1" t="s">
        <v>808</v>
      </c>
      <c r="E1606" s="1">
        <v>0.0</v>
      </c>
      <c r="F1606" s="1">
        <v>0.0</v>
      </c>
      <c r="G1606" s="1" t="s">
        <v>809</v>
      </c>
      <c r="H1606" s="1" t="s">
        <v>809</v>
      </c>
      <c r="I1606" s="1" t="s">
        <v>809</v>
      </c>
      <c r="J1606" s="1" t="s">
        <v>809</v>
      </c>
      <c r="K1606" s="1">
        <v>1.0</v>
      </c>
      <c r="L1606" s="1">
        <v>0.0</v>
      </c>
    </row>
    <row r="1607">
      <c r="A1607" s="1">
        <v>583.0</v>
      </c>
      <c r="B1607" s="1" t="s">
        <v>806</v>
      </c>
      <c r="C1607" s="1" t="s">
        <v>810</v>
      </c>
      <c r="D1607" s="1" t="s">
        <v>808</v>
      </c>
      <c r="E1607" s="1">
        <v>0.0</v>
      </c>
      <c r="F1607" s="1">
        <v>0.0</v>
      </c>
      <c r="G1607" s="1" t="s">
        <v>809</v>
      </c>
      <c r="H1607" s="1" t="s">
        <v>809</v>
      </c>
      <c r="I1607" s="1" t="s">
        <v>809</v>
      </c>
      <c r="J1607" s="1" t="s">
        <v>809</v>
      </c>
      <c r="K1607" s="1">
        <v>1.0</v>
      </c>
      <c r="L1607" s="1">
        <v>0.0</v>
      </c>
    </row>
    <row r="1608">
      <c r="A1608" s="1">
        <v>583.0</v>
      </c>
      <c r="B1608" s="1" t="s">
        <v>806</v>
      </c>
      <c r="C1608" s="1">
        <v>2.0</v>
      </c>
      <c r="D1608" s="1" t="s">
        <v>1062</v>
      </c>
      <c r="E1608" s="1" t="s">
        <v>809</v>
      </c>
      <c r="F1608" s="1" t="s">
        <v>809</v>
      </c>
      <c r="G1608" s="1" t="s">
        <v>809</v>
      </c>
      <c r="H1608" s="1" t="s">
        <v>809</v>
      </c>
      <c r="I1608" s="1" t="s">
        <v>809</v>
      </c>
      <c r="J1608" s="1" t="s">
        <v>809</v>
      </c>
      <c r="K1608" s="1">
        <v>1.0</v>
      </c>
      <c r="L1608" s="1">
        <v>69000.0</v>
      </c>
    </row>
    <row r="1609">
      <c r="A1609" s="1">
        <v>584.0</v>
      </c>
      <c r="B1609" s="1" t="s">
        <v>806</v>
      </c>
      <c r="C1609" s="1" t="s">
        <v>807</v>
      </c>
      <c r="D1609" s="1" t="s">
        <v>812</v>
      </c>
      <c r="E1609" s="1">
        <v>0.0</v>
      </c>
      <c r="F1609" s="1">
        <v>0.0</v>
      </c>
      <c r="G1609" s="1" t="s">
        <v>809</v>
      </c>
      <c r="H1609" s="1" t="s">
        <v>809</v>
      </c>
      <c r="I1609" s="1" t="s">
        <v>809</v>
      </c>
      <c r="J1609" s="1" t="s">
        <v>809</v>
      </c>
      <c r="K1609" s="1">
        <v>1.0</v>
      </c>
      <c r="L1609" s="1">
        <v>30000.0</v>
      </c>
    </row>
    <row r="1610">
      <c r="A1610" s="1">
        <v>584.0</v>
      </c>
      <c r="B1610" s="1" t="s">
        <v>806</v>
      </c>
      <c r="C1610" s="1" t="s">
        <v>810</v>
      </c>
      <c r="D1610" s="1" t="s">
        <v>812</v>
      </c>
      <c r="E1610" s="1">
        <v>0.0</v>
      </c>
      <c r="F1610" s="1">
        <v>0.0</v>
      </c>
      <c r="G1610" s="1" t="s">
        <v>809</v>
      </c>
      <c r="H1610" s="1" t="s">
        <v>809</v>
      </c>
      <c r="I1610" s="1" t="s">
        <v>809</v>
      </c>
      <c r="J1610" s="1" t="s">
        <v>809</v>
      </c>
      <c r="K1610" s="1">
        <v>1.0</v>
      </c>
      <c r="L1610" s="1">
        <v>30000.0</v>
      </c>
    </row>
    <row r="1611">
      <c r="A1611" s="1">
        <v>584.0</v>
      </c>
      <c r="B1611" s="1" t="s">
        <v>806</v>
      </c>
      <c r="C1611" s="1" t="s">
        <v>809</v>
      </c>
      <c r="D1611" s="1" t="s">
        <v>912</v>
      </c>
      <c r="E1611" s="1" t="s">
        <v>809</v>
      </c>
      <c r="F1611" s="1" t="s">
        <v>809</v>
      </c>
      <c r="G1611" s="1" t="s">
        <v>809</v>
      </c>
      <c r="H1611" s="1" t="s">
        <v>809</v>
      </c>
      <c r="I1611" s="1" t="s">
        <v>809</v>
      </c>
      <c r="J1611" s="1" t="s">
        <v>809</v>
      </c>
      <c r="K1611" s="1">
        <v>1.0</v>
      </c>
      <c r="L1611" s="1">
        <v>118000.0</v>
      </c>
    </row>
    <row r="1612">
      <c r="A1612" s="1">
        <v>585.0</v>
      </c>
      <c r="B1612" s="1" t="s">
        <v>806</v>
      </c>
      <c r="C1612" s="1" t="s">
        <v>807</v>
      </c>
      <c r="D1612" s="1" t="s">
        <v>1063</v>
      </c>
      <c r="E1612" s="1">
        <v>-5.5</v>
      </c>
      <c r="F1612" s="1">
        <v>-2.25</v>
      </c>
      <c r="G1612" s="1">
        <v>170.0</v>
      </c>
      <c r="H1612" s="1" t="s">
        <v>809</v>
      </c>
      <c r="I1612" s="1">
        <v>24.0</v>
      </c>
      <c r="J1612" s="1">
        <v>21.0</v>
      </c>
      <c r="K1612" s="1">
        <v>1.0</v>
      </c>
      <c r="L1612" s="1">
        <v>419920.0</v>
      </c>
    </row>
    <row r="1613">
      <c r="A1613" s="1">
        <v>585.0</v>
      </c>
      <c r="B1613" s="1" t="s">
        <v>806</v>
      </c>
      <c r="C1613" s="1" t="s">
        <v>810</v>
      </c>
      <c r="D1613" s="1" t="s">
        <v>1063</v>
      </c>
      <c r="E1613" s="1">
        <v>-7.0</v>
      </c>
      <c r="F1613" s="1">
        <v>-2.0</v>
      </c>
      <c r="G1613" s="1">
        <v>5.0</v>
      </c>
      <c r="H1613" s="1" t="s">
        <v>809</v>
      </c>
      <c r="I1613" s="1">
        <v>24.0</v>
      </c>
      <c r="J1613" s="1">
        <v>21.0</v>
      </c>
      <c r="K1613" s="1">
        <v>1.0</v>
      </c>
      <c r="L1613" s="1">
        <v>419920.0</v>
      </c>
    </row>
    <row r="1614">
      <c r="A1614" s="1">
        <v>585.0</v>
      </c>
      <c r="B1614" s="1" t="s">
        <v>806</v>
      </c>
      <c r="C1614" s="1" t="s">
        <v>809</v>
      </c>
      <c r="D1614" s="1" t="s">
        <v>814</v>
      </c>
      <c r="E1614" s="1" t="s">
        <v>809</v>
      </c>
      <c r="F1614" s="1" t="s">
        <v>809</v>
      </c>
      <c r="G1614" s="1" t="s">
        <v>809</v>
      </c>
      <c r="H1614" s="1" t="s">
        <v>809</v>
      </c>
      <c r="I1614" s="1" t="s">
        <v>809</v>
      </c>
      <c r="J1614" s="1" t="s">
        <v>809</v>
      </c>
      <c r="K1614" s="1">
        <v>1.0</v>
      </c>
      <c r="L1614" s="1">
        <v>125000.0</v>
      </c>
    </row>
    <row r="1615">
      <c r="A1615" s="1">
        <v>586.0</v>
      </c>
      <c r="B1615" s="1" t="s">
        <v>809</v>
      </c>
      <c r="C1615" s="1" t="s">
        <v>809</v>
      </c>
      <c r="D1615" s="1" t="s">
        <v>954</v>
      </c>
      <c r="E1615" s="1" t="s">
        <v>809</v>
      </c>
      <c r="F1615" s="1" t="s">
        <v>809</v>
      </c>
      <c r="G1615" s="1" t="s">
        <v>809</v>
      </c>
      <c r="H1615" s="1" t="s">
        <v>809</v>
      </c>
      <c r="I1615" s="1" t="s">
        <v>809</v>
      </c>
      <c r="J1615" s="1" t="s">
        <v>809</v>
      </c>
      <c r="K1615" s="1">
        <v>1.0</v>
      </c>
      <c r="L1615" s="1">
        <v>145000.0</v>
      </c>
    </row>
    <row r="1616">
      <c r="A1616" s="1">
        <v>587.0</v>
      </c>
      <c r="B1616" s="1" t="s">
        <v>806</v>
      </c>
      <c r="C1616" s="1" t="s">
        <v>807</v>
      </c>
      <c r="D1616" s="1" t="s">
        <v>826</v>
      </c>
      <c r="E1616" s="1">
        <v>0.0</v>
      </c>
      <c r="F1616" s="1">
        <v>0.0</v>
      </c>
      <c r="G1616" s="1" t="s">
        <v>809</v>
      </c>
      <c r="H1616" s="1" t="s">
        <v>809</v>
      </c>
      <c r="I1616" s="1" t="s">
        <v>809</v>
      </c>
      <c r="J1616" s="1" t="s">
        <v>809</v>
      </c>
      <c r="K1616" s="1">
        <v>1.0</v>
      </c>
      <c r="L1616" s="1">
        <v>15000.0</v>
      </c>
    </row>
    <row r="1617">
      <c r="A1617" s="1">
        <v>587.0</v>
      </c>
      <c r="B1617" s="1" t="s">
        <v>806</v>
      </c>
      <c r="C1617" s="1" t="s">
        <v>810</v>
      </c>
      <c r="D1617" s="1" t="s">
        <v>826</v>
      </c>
      <c r="E1617" s="1">
        <v>0.0</v>
      </c>
      <c r="F1617" s="1">
        <v>0.0</v>
      </c>
      <c r="G1617" s="1" t="s">
        <v>809</v>
      </c>
      <c r="H1617" s="1" t="s">
        <v>809</v>
      </c>
      <c r="I1617" s="1" t="s">
        <v>809</v>
      </c>
      <c r="J1617" s="1" t="s">
        <v>809</v>
      </c>
      <c r="K1617" s="1">
        <v>1.0</v>
      </c>
      <c r="L1617" s="1">
        <v>15000.0</v>
      </c>
    </row>
    <row r="1618">
      <c r="A1618" s="1">
        <v>587.0</v>
      </c>
      <c r="B1618" s="1" t="s">
        <v>806</v>
      </c>
      <c r="C1618" s="1" t="s">
        <v>809</v>
      </c>
      <c r="D1618" s="1" t="s">
        <v>912</v>
      </c>
      <c r="E1618" s="1" t="s">
        <v>809</v>
      </c>
      <c r="F1618" s="1" t="s">
        <v>809</v>
      </c>
      <c r="G1618" s="1" t="s">
        <v>809</v>
      </c>
      <c r="H1618" s="1" t="s">
        <v>809</v>
      </c>
      <c r="I1618" s="1" t="s">
        <v>809</v>
      </c>
      <c r="J1618" s="1" t="s">
        <v>809</v>
      </c>
      <c r="K1618" s="1">
        <v>1.0</v>
      </c>
      <c r="L1618" s="1">
        <v>100000.0</v>
      </c>
    </row>
    <row r="1619">
      <c r="A1619" s="1">
        <v>588.0</v>
      </c>
      <c r="B1619" s="1" t="s">
        <v>806</v>
      </c>
      <c r="C1619" s="1" t="s">
        <v>807</v>
      </c>
      <c r="D1619" s="1" t="s">
        <v>826</v>
      </c>
      <c r="E1619" s="1">
        <v>-0.5</v>
      </c>
      <c r="F1619" s="1">
        <v>-2.0</v>
      </c>
      <c r="G1619" s="1">
        <v>15.0</v>
      </c>
      <c r="H1619" s="1" t="s">
        <v>809</v>
      </c>
      <c r="I1619" s="1" t="s">
        <v>809</v>
      </c>
      <c r="J1619" s="1">
        <v>24.0</v>
      </c>
      <c r="K1619" s="1">
        <v>1.0</v>
      </c>
      <c r="L1619" s="1">
        <v>22464.98</v>
      </c>
    </row>
    <row r="1620">
      <c r="A1620" s="1">
        <v>588.0</v>
      </c>
      <c r="B1620" s="1" t="s">
        <v>806</v>
      </c>
      <c r="C1620" s="1" t="s">
        <v>810</v>
      </c>
      <c r="D1620" s="1" t="s">
        <v>826</v>
      </c>
      <c r="E1620" s="1">
        <v>-0.5</v>
      </c>
      <c r="F1620" s="1">
        <v>-1.75</v>
      </c>
      <c r="G1620" s="1">
        <v>167.0</v>
      </c>
      <c r="H1620" s="1" t="s">
        <v>809</v>
      </c>
      <c r="I1620" s="1" t="s">
        <v>809</v>
      </c>
      <c r="J1620" s="1">
        <v>24.0</v>
      </c>
      <c r="K1620" s="1">
        <v>1.0</v>
      </c>
      <c r="L1620" s="1">
        <v>22464.98</v>
      </c>
    </row>
    <row r="1621">
      <c r="A1621" s="1">
        <v>588.0</v>
      </c>
      <c r="B1621" s="1" t="s">
        <v>806</v>
      </c>
      <c r="C1621" s="1" t="s">
        <v>809</v>
      </c>
      <c r="D1621" s="1" t="s">
        <v>957</v>
      </c>
      <c r="E1621" s="1" t="s">
        <v>809</v>
      </c>
      <c r="F1621" s="1" t="s">
        <v>809</v>
      </c>
      <c r="G1621" s="1" t="s">
        <v>809</v>
      </c>
      <c r="H1621" s="1" t="s">
        <v>809</v>
      </c>
      <c r="I1621" s="1" t="s">
        <v>809</v>
      </c>
      <c r="J1621" s="1" t="s">
        <v>809</v>
      </c>
      <c r="K1621" s="1">
        <v>1.0</v>
      </c>
      <c r="L1621" s="1">
        <v>100000.0</v>
      </c>
    </row>
    <row r="1622">
      <c r="A1622" s="1">
        <v>589.0</v>
      </c>
      <c r="B1622" s="1" t="s">
        <v>809</v>
      </c>
      <c r="C1622" s="1" t="s">
        <v>809</v>
      </c>
      <c r="D1622" s="1" t="s">
        <v>1064</v>
      </c>
      <c r="E1622" s="1" t="s">
        <v>809</v>
      </c>
      <c r="F1622" s="1" t="s">
        <v>809</v>
      </c>
      <c r="G1622" s="1" t="s">
        <v>809</v>
      </c>
      <c r="H1622" s="1" t="s">
        <v>809</v>
      </c>
      <c r="I1622" s="1" t="s">
        <v>809</v>
      </c>
      <c r="J1622" s="1" t="s">
        <v>809</v>
      </c>
      <c r="K1622" s="1">
        <v>1.0</v>
      </c>
      <c r="L1622" s="1">
        <v>180000.0</v>
      </c>
    </row>
    <row r="1623">
      <c r="A1623" s="1">
        <v>590.0</v>
      </c>
      <c r="B1623" s="1" t="s">
        <v>806</v>
      </c>
      <c r="C1623" s="1" t="s">
        <v>807</v>
      </c>
      <c r="D1623" s="1" t="s">
        <v>812</v>
      </c>
      <c r="E1623" s="1">
        <v>0.0</v>
      </c>
      <c r="F1623" s="1">
        <v>0.0</v>
      </c>
      <c r="G1623" s="1" t="s">
        <v>809</v>
      </c>
      <c r="H1623" s="1" t="s">
        <v>809</v>
      </c>
      <c r="I1623" s="1" t="s">
        <v>809</v>
      </c>
      <c r="J1623" s="1" t="s">
        <v>809</v>
      </c>
      <c r="K1623" s="1">
        <v>1.0</v>
      </c>
      <c r="L1623" s="1">
        <v>30613.0</v>
      </c>
    </row>
    <row r="1624">
      <c r="A1624" s="1">
        <v>590.0</v>
      </c>
      <c r="B1624" s="1" t="s">
        <v>806</v>
      </c>
      <c r="C1624" s="1" t="s">
        <v>810</v>
      </c>
      <c r="D1624" s="1" t="s">
        <v>812</v>
      </c>
      <c r="E1624" s="1">
        <v>0.0</v>
      </c>
      <c r="F1624" s="1">
        <v>-2.5</v>
      </c>
      <c r="G1624" s="1">
        <v>15.0</v>
      </c>
      <c r="H1624" s="1" t="s">
        <v>809</v>
      </c>
      <c r="I1624" s="1" t="s">
        <v>809</v>
      </c>
      <c r="J1624" s="1" t="s">
        <v>809</v>
      </c>
      <c r="K1624" s="1">
        <v>1.0</v>
      </c>
      <c r="L1624" s="1">
        <v>30613.0</v>
      </c>
    </row>
    <row r="1625">
      <c r="A1625" s="1">
        <v>590.0</v>
      </c>
      <c r="B1625" s="1" t="s">
        <v>806</v>
      </c>
      <c r="C1625" s="1" t="s">
        <v>809</v>
      </c>
      <c r="D1625" s="1" t="s">
        <v>929</v>
      </c>
      <c r="E1625" s="1" t="s">
        <v>809</v>
      </c>
      <c r="F1625" s="1" t="s">
        <v>809</v>
      </c>
      <c r="G1625" s="1" t="s">
        <v>809</v>
      </c>
      <c r="H1625" s="1" t="s">
        <v>809</v>
      </c>
      <c r="I1625" s="1" t="s">
        <v>809</v>
      </c>
      <c r="J1625" s="1" t="s">
        <v>809</v>
      </c>
      <c r="K1625" s="1">
        <v>1.0</v>
      </c>
      <c r="L1625" s="1">
        <v>100000.0</v>
      </c>
    </row>
    <row r="1626">
      <c r="A1626" s="1">
        <v>591.0</v>
      </c>
      <c r="B1626" s="1" t="s">
        <v>806</v>
      </c>
      <c r="C1626" s="1" t="s">
        <v>807</v>
      </c>
      <c r="D1626" s="1" t="s">
        <v>1060</v>
      </c>
      <c r="E1626" s="1">
        <v>-1.5</v>
      </c>
      <c r="F1626" s="1">
        <v>-0.5</v>
      </c>
      <c r="G1626" s="1">
        <v>80.0</v>
      </c>
      <c r="H1626" s="1" t="s">
        <v>809</v>
      </c>
      <c r="I1626" s="1">
        <v>30.0</v>
      </c>
      <c r="J1626" s="1">
        <v>27.0</v>
      </c>
      <c r="K1626" s="1">
        <v>1.0</v>
      </c>
      <c r="L1626" s="1">
        <v>49000.0</v>
      </c>
    </row>
    <row r="1627">
      <c r="A1627" s="1">
        <v>591.0</v>
      </c>
      <c r="B1627" s="1" t="s">
        <v>806</v>
      </c>
      <c r="C1627" s="1" t="s">
        <v>810</v>
      </c>
      <c r="D1627" s="1" t="s">
        <v>1060</v>
      </c>
      <c r="E1627" s="1">
        <v>-1.25</v>
      </c>
      <c r="F1627" s="1">
        <v>0.0</v>
      </c>
      <c r="G1627" s="1" t="s">
        <v>809</v>
      </c>
      <c r="H1627" s="1" t="s">
        <v>809</v>
      </c>
      <c r="I1627" s="1">
        <v>30.0</v>
      </c>
      <c r="J1627" s="1">
        <v>27.0</v>
      </c>
      <c r="K1627" s="1">
        <v>1.0</v>
      </c>
      <c r="L1627" s="1">
        <v>49000.0</v>
      </c>
    </row>
    <row r="1628">
      <c r="A1628" s="1">
        <v>592.0</v>
      </c>
      <c r="B1628" s="1" t="s">
        <v>806</v>
      </c>
      <c r="C1628" s="1" t="s">
        <v>807</v>
      </c>
      <c r="D1628" s="1" t="s">
        <v>808</v>
      </c>
      <c r="E1628" s="1">
        <v>-1.5</v>
      </c>
      <c r="F1628" s="1">
        <v>-0.5</v>
      </c>
      <c r="G1628" s="1">
        <v>80.0</v>
      </c>
      <c r="H1628" s="1" t="s">
        <v>809</v>
      </c>
      <c r="I1628" s="1" t="s">
        <v>809</v>
      </c>
      <c r="J1628" s="1" t="s">
        <v>809</v>
      </c>
      <c r="K1628" s="1">
        <v>1.0</v>
      </c>
      <c r="L1628" s="1">
        <v>25000.0</v>
      </c>
    </row>
    <row r="1629">
      <c r="A1629" s="1">
        <v>592.0</v>
      </c>
      <c r="B1629" s="1" t="s">
        <v>806</v>
      </c>
      <c r="C1629" s="1" t="s">
        <v>810</v>
      </c>
      <c r="D1629" s="1" t="s">
        <v>808</v>
      </c>
      <c r="E1629" s="1">
        <v>-1.25</v>
      </c>
      <c r="F1629" s="1">
        <v>0.0</v>
      </c>
      <c r="G1629" s="1" t="s">
        <v>809</v>
      </c>
      <c r="H1629" s="1" t="s">
        <v>809</v>
      </c>
      <c r="I1629" s="1" t="s">
        <v>809</v>
      </c>
      <c r="J1629" s="1" t="s">
        <v>809</v>
      </c>
      <c r="K1629" s="1">
        <v>1.0</v>
      </c>
      <c r="L1629" s="1">
        <v>25000.0</v>
      </c>
    </row>
    <row r="1630">
      <c r="A1630" s="1">
        <v>592.0</v>
      </c>
      <c r="B1630" s="1" t="s">
        <v>806</v>
      </c>
      <c r="C1630" s="1">
        <v>2.0</v>
      </c>
      <c r="D1630" s="1" t="s">
        <v>1065</v>
      </c>
      <c r="E1630" s="1" t="s">
        <v>809</v>
      </c>
      <c r="F1630" s="1" t="s">
        <v>809</v>
      </c>
      <c r="G1630" s="1" t="s">
        <v>809</v>
      </c>
      <c r="H1630" s="1" t="s">
        <v>809</v>
      </c>
      <c r="I1630" s="1" t="s">
        <v>809</v>
      </c>
      <c r="J1630" s="1" t="s">
        <v>809</v>
      </c>
      <c r="K1630" s="1">
        <v>1.0</v>
      </c>
      <c r="L1630" s="1">
        <v>20000.0</v>
      </c>
    </row>
    <row r="1631">
      <c r="A1631" s="1">
        <v>593.0</v>
      </c>
      <c r="B1631" s="1" t="s">
        <v>806</v>
      </c>
      <c r="C1631" s="1" t="s">
        <v>807</v>
      </c>
      <c r="D1631" s="1" t="s">
        <v>1066</v>
      </c>
      <c r="E1631" s="1">
        <v>0.5</v>
      </c>
      <c r="F1631" s="1">
        <v>-1.0</v>
      </c>
      <c r="G1631" s="1">
        <v>50.0</v>
      </c>
      <c r="H1631" s="1">
        <v>3.0</v>
      </c>
      <c r="I1631" s="1" t="s">
        <v>809</v>
      </c>
      <c r="J1631" s="1">
        <v>27.0</v>
      </c>
      <c r="K1631" s="1">
        <v>1.0</v>
      </c>
      <c r="L1631" s="1">
        <v>300000.0</v>
      </c>
    </row>
    <row r="1632">
      <c r="A1632" s="1">
        <v>593.0</v>
      </c>
      <c r="B1632" s="1" t="s">
        <v>806</v>
      </c>
      <c r="C1632" s="1" t="s">
        <v>810</v>
      </c>
      <c r="D1632" s="1" t="s">
        <v>1066</v>
      </c>
      <c r="E1632" s="1">
        <v>0.0</v>
      </c>
      <c r="F1632" s="1">
        <v>0.0</v>
      </c>
      <c r="G1632" s="1" t="s">
        <v>809</v>
      </c>
      <c r="H1632" s="1" t="s">
        <v>809</v>
      </c>
      <c r="I1632" s="1" t="s">
        <v>809</v>
      </c>
      <c r="J1632" s="1" t="s">
        <v>809</v>
      </c>
      <c r="K1632" s="1">
        <v>1.0</v>
      </c>
      <c r="L1632" s="1">
        <v>300000.0</v>
      </c>
    </row>
    <row r="1633">
      <c r="A1633" s="1">
        <v>593.0</v>
      </c>
      <c r="B1633" s="1" t="s">
        <v>806</v>
      </c>
      <c r="C1633" s="1" t="s">
        <v>809</v>
      </c>
      <c r="D1633" s="1" t="s">
        <v>929</v>
      </c>
      <c r="E1633" s="1" t="s">
        <v>809</v>
      </c>
      <c r="F1633" s="1" t="s">
        <v>809</v>
      </c>
      <c r="G1633" s="1" t="s">
        <v>809</v>
      </c>
      <c r="H1633" s="1" t="s">
        <v>809</v>
      </c>
      <c r="I1633" s="1" t="s">
        <v>809</v>
      </c>
      <c r="J1633" s="1" t="s">
        <v>809</v>
      </c>
      <c r="K1633" s="1">
        <v>1.0</v>
      </c>
      <c r="L1633" s="1">
        <v>129000.0</v>
      </c>
    </row>
    <row r="1634">
      <c r="A1634" s="1">
        <v>594.0</v>
      </c>
      <c r="B1634" s="1" t="s">
        <v>806</v>
      </c>
      <c r="C1634" s="1" t="s">
        <v>807</v>
      </c>
      <c r="D1634" s="1" t="s">
        <v>812</v>
      </c>
      <c r="E1634" s="1">
        <v>0.0</v>
      </c>
      <c r="F1634" s="1">
        <v>0.0</v>
      </c>
      <c r="G1634" s="1" t="s">
        <v>809</v>
      </c>
      <c r="H1634" s="1" t="s">
        <v>809</v>
      </c>
      <c r="I1634" s="1">
        <v>30.0</v>
      </c>
      <c r="J1634" s="1">
        <v>26.0</v>
      </c>
      <c r="K1634" s="1">
        <v>1.0</v>
      </c>
      <c r="L1634" s="1">
        <v>30613.0</v>
      </c>
    </row>
    <row r="1635">
      <c r="A1635" s="1">
        <v>594.0</v>
      </c>
      <c r="B1635" s="1" t="s">
        <v>806</v>
      </c>
      <c r="C1635" s="1" t="s">
        <v>810</v>
      </c>
      <c r="D1635" s="1" t="s">
        <v>812</v>
      </c>
      <c r="E1635" s="1">
        <v>-0.25</v>
      </c>
      <c r="F1635" s="1">
        <v>-0.5</v>
      </c>
      <c r="G1635" s="1">
        <v>35.0</v>
      </c>
      <c r="H1635" s="1" t="s">
        <v>809</v>
      </c>
      <c r="I1635" s="1">
        <v>30.0</v>
      </c>
      <c r="J1635" s="1">
        <v>26.0</v>
      </c>
      <c r="K1635" s="1">
        <v>1.0</v>
      </c>
      <c r="L1635" s="1">
        <v>30613.0</v>
      </c>
    </row>
    <row r="1636">
      <c r="A1636" s="1">
        <v>594.0</v>
      </c>
      <c r="B1636" s="1" t="s">
        <v>806</v>
      </c>
      <c r="C1636" s="1" t="s">
        <v>809</v>
      </c>
      <c r="D1636" s="1" t="s">
        <v>912</v>
      </c>
      <c r="E1636" s="1" t="s">
        <v>809</v>
      </c>
      <c r="F1636" s="1" t="s">
        <v>809</v>
      </c>
      <c r="G1636" s="1" t="s">
        <v>809</v>
      </c>
      <c r="H1636" s="1" t="s">
        <v>809</v>
      </c>
      <c r="I1636" s="1" t="s">
        <v>809</v>
      </c>
      <c r="J1636" s="1" t="s">
        <v>809</v>
      </c>
      <c r="K1636" s="1">
        <v>1.0</v>
      </c>
      <c r="L1636" s="1">
        <v>120001.0</v>
      </c>
    </row>
    <row r="1637">
      <c r="A1637" s="1">
        <v>595.0</v>
      </c>
      <c r="B1637" s="1" t="s">
        <v>809</v>
      </c>
      <c r="C1637" s="1" t="s">
        <v>809</v>
      </c>
      <c r="D1637" s="1" t="s">
        <v>1067</v>
      </c>
      <c r="E1637" s="1" t="s">
        <v>809</v>
      </c>
      <c r="F1637" s="1" t="s">
        <v>809</v>
      </c>
      <c r="G1637" s="1" t="s">
        <v>809</v>
      </c>
      <c r="H1637" s="1" t="s">
        <v>809</v>
      </c>
      <c r="I1637" s="1" t="s">
        <v>809</v>
      </c>
      <c r="J1637" s="1" t="s">
        <v>809</v>
      </c>
      <c r="K1637" s="1">
        <v>1.0</v>
      </c>
      <c r="L1637" s="1">
        <v>240000.0</v>
      </c>
    </row>
    <row r="1638">
      <c r="A1638" s="1">
        <v>596.0</v>
      </c>
      <c r="B1638" s="1" t="s">
        <v>809</v>
      </c>
      <c r="C1638" s="1" t="s">
        <v>809</v>
      </c>
      <c r="D1638" s="1" t="s">
        <v>1068</v>
      </c>
      <c r="E1638" s="1" t="s">
        <v>809</v>
      </c>
      <c r="F1638" s="1" t="s">
        <v>809</v>
      </c>
      <c r="G1638" s="1" t="s">
        <v>809</v>
      </c>
      <c r="H1638" s="1" t="s">
        <v>809</v>
      </c>
      <c r="I1638" s="1" t="s">
        <v>809</v>
      </c>
      <c r="J1638" s="1" t="s">
        <v>809</v>
      </c>
      <c r="K1638" s="1">
        <v>1.0</v>
      </c>
      <c r="L1638" s="1">
        <v>135000.0</v>
      </c>
    </row>
    <row r="1639">
      <c r="A1639" s="1">
        <v>597.0</v>
      </c>
      <c r="B1639" s="1" t="s">
        <v>806</v>
      </c>
      <c r="C1639" s="1" t="s">
        <v>807</v>
      </c>
      <c r="D1639" s="1" t="s">
        <v>1042</v>
      </c>
      <c r="E1639" s="1">
        <v>-0.25</v>
      </c>
      <c r="F1639" s="1">
        <v>0.0</v>
      </c>
      <c r="G1639" s="1" t="s">
        <v>809</v>
      </c>
      <c r="H1639" s="1">
        <v>1.75</v>
      </c>
      <c r="I1639" s="1">
        <v>28.5</v>
      </c>
      <c r="J1639" s="1">
        <v>28.0</v>
      </c>
      <c r="K1639" s="1">
        <v>1.0</v>
      </c>
      <c r="L1639" s="1">
        <v>550000.0</v>
      </c>
    </row>
    <row r="1640">
      <c r="A1640" s="1">
        <v>597.0</v>
      </c>
      <c r="B1640" s="1" t="s">
        <v>806</v>
      </c>
      <c r="C1640" s="1" t="s">
        <v>810</v>
      </c>
      <c r="D1640" s="1" t="s">
        <v>1042</v>
      </c>
      <c r="E1640" s="1">
        <v>-0.25</v>
      </c>
      <c r="F1640" s="1">
        <v>0.0</v>
      </c>
      <c r="G1640" s="1" t="s">
        <v>809</v>
      </c>
      <c r="H1640" s="1">
        <v>1.75</v>
      </c>
      <c r="I1640" s="1">
        <v>28.5</v>
      </c>
      <c r="J1640" s="1">
        <v>28.0</v>
      </c>
      <c r="K1640" s="1">
        <v>1.0</v>
      </c>
      <c r="L1640" s="1">
        <v>550000.0</v>
      </c>
    </row>
    <row r="1641">
      <c r="A1641" s="1">
        <v>597.0</v>
      </c>
      <c r="B1641" s="1" t="s">
        <v>806</v>
      </c>
      <c r="C1641" s="1" t="s">
        <v>809</v>
      </c>
      <c r="D1641" s="1" t="s">
        <v>915</v>
      </c>
      <c r="E1641" s="1" t="s">
        <v>809</v>
      </c>
      <c r="F1641" s="1" t="s">
        <v>809</v>
      </c>
      <c r="G1641" s="1" t="s">
        <v>809</v>
      </c>
      <c r="H1641" s="1" t="s">
        <v>809</v>
      </c>
      <c r="I1641" s="1" t="s">
        <v>809</v>
      </c>
      <c r="J1641" s="1" t="s">
        <v>809</v>
      </c>
      <c r="K1641" s="1">
        <v>1.0</v>
      </c>
      <c r="L1641" s="1">
        <v>122000.0</v>
      </c>
    </row>
    <row r="1642">
      <c r="A1642" s="1">
        <v>598.0</v>
      </c>
      <c r="B1642" s="1" t="s">
        <v>806</v>
      </c>
      <c r="C1642" s="1" t="s">
        <v>807</v>
      </c>
      <c r="D1642" s="1" t="s">
        <v>836</v>
      </c>
      <c r="E1642" s="1">
        <v>0.0</v>
      </c>
      <c r="F1642" s="1">
        <v>0.0</v>
      </c>
      <c r="G1642" s="1" t="s">
        <v>809</v>
      </c>
      <c r="H1642" s="1" t="s">
        <v>809</v>
      </c>
      <c r="I1642" s="1" t="s">
        <v>809</v>
      </c>
      <c r="J1642" s="1" t="s">
        <v>809</v>
      </c>
      <c r="K1642" s="1">
        <v>1.0</v>
      </c>
      <c r="L1642" s="1">
        <v>30000.0</v>
      </c>
    </row>
    <row r="1643">
      <c r="A1643" s="1">
        <v>598.0</v>
      </c>
      <c r="B1643" s="1" t="s">
        <v>806</v>
      </c>
      <c r="C1643" s="1" t="s">
        <v>810</v>
      </c>
      <c r="D1643" s="1" t="s">
        <v>836</v>
      </c>
      <c r="E1643" s="1">
        <v>-4.25</v>
      </c>
      <c r="F1643" s="1">
        <v>-1.0</v>
      </c>
      <c r="G1643" s="1">
        <v>145.0</v>
      </c>
      <c r="H1643" s="1" t="s">
        <v>809</v>
      </c>
      <c r="I1643" s="1">
        <v>30.0</v>
      </c>
      <c r="J1643" s="1">
        <v>27.0</v>
      </c>
      <c r="K1643" s="1">
        <v>1.0</v>
      </c>
      <c r="L1643" s="1">
        <v>62500.0</v>
      </c>
    </row>
    <row r="1644">
      <c r="A1644" s="1">
        <v>598.0</v>
      </c>
      <c r="B1644" s="1" t="s">
        <v>806</v>
      </c>
      <c r="C1644" s="1" t="s">
        <v>809</v>
      </c>
      <c r="D1644" s="1" t="s">
        <v>814</v>
      </c>
      <c r="E1644" s="1" t="s">
        <v>809</v>
      </c>
      <c r="F1644" s="1" t="s">
        <v>809</v>
      </c>
      <c r="G1644" s="1" t="s">
        <v>809</v>
      </c>
      <c r="H1644" s="1" t="s">
        <v>809</v>
      </c>
      <c r="I1644" s="1" t="s">
        <v>809</v>
      </c>
      <c r="J1644" s="1" t="s">
        <v>809</v>
      </c>
      <c r="K1644" s="1">
        <v>1.0</v>
      </c>
      <c r="L1644" s="1">
        <v>90000.0</v>
      </c>
    </row>
    <row r="1645">
      <c r="A1645" s="1">
        <v>599.0</v>
      </c>
      <c r="B1645" s="1" t="s">
        <v>809</v>
      </c>
      <c r="C1645" s="1">
        <v>2.0</v>
      </c>
      <c r="D1645" s="1" t="s">
        <v>1069</v>
      </c>
      <c r="E1645" s="1">
        <v>-4.25</v>
      </c>
      <c r="F1645" s="1">
        <v>0.0</v>
      </c>
      <c r="G1645" s="1">
        <v>0.0</v>
      </c>
      <c r="H1645" s="1" t="s">
        <v>809</v>
      </c>
      <c r="I1645" s="1" t="s">
        <v>809</v>
      </c>
      <c r="J1645" s="1" t="s">
        <v>809</v>
      </c>
      <c r="K1645" s="1">
        <v>1.0</v>
      </c>
      <c r="L1645" s="1">
        <v>180000.0</v>
      </c>
    </row>
    <row r="1646">
      <c r="A1646" s="1">
        <v>600.0</v>
      </c>
      <c r="B1646" s="1" t="s">
        <v>809</v>
      </c>
      <c r="C1646" s="1" t="s">
        <v>809</v>
      </c>
      <c r="D1646" s="1" t="s">
        <v>1070</v>
      </c>
      <c r="E1646" s="1" t="s">
        <v>809</v>
      </c>
      <c r="F1646" s="1" t="s">
        <v>809</v>
      </c>
      <c r="G1646" s="1" t="s">
        <v>809</v>
      </c>
      <c r="H1646" s="1" t="s">
        <v>809</v>
      </c>
      <c r="I1646" s="1" t="s">
        <v>809</v>
      </c>
      <c r="J1646" s="1" t="s">
        <v>809</v>
      </c>
      <c r="K1646" s="1">
        <v>1.0</v>
      </c>
      <c r="L1646" s="1">
        <v>187200.0</v>
      </c>
    </row>
    <row r="1647">
      <c r="A1647" s="1">
        <v>601.0</v>
      </c>
      <c r="B1647" s="1" t="s">
        <v>809</v>
      </c>
      <c r="C1647" s="1" t="s">
        <v>809</v>
      </c>
      <c r="D1647" s="1" t="s">
        <v>1070</v>
      </c>
      <c r="E1647" s="1" t="s">
        <v>809</v>
      </c>
      <c r="F1647" s="1" t="s">
        <v>809</v>
      </c>
      <c r="G1647" s="1" t="s">
        <v>809</v>
      </c>
      <c r="H1647" s="1" t="s">
        <v>809</v>
      </c>
      <c r="I1647" s="1" t="s">
        <v>809</v>
      </c>
      <c r="J1647" s="1" t="s">
        <v>809</v>
      </c>
      <c r="K1647" s="1">
        <v>1.0</v>
      </c>
      <c r="L1647" s="1">
        <v>187200.0</v>
      </c>
    </row>
    <row r="1648">
      <c r="A1648" s="1">
        <v>602.0</v>
      </c>
      <c r="B1648" s="1" t="s">
        <v>809</v>
      </c>
      <c r="C1648" s="1">
        <v>2.0</v>
      </c>
      <c r="D1648" s="1" t="s">
        <v>920</v>
      </c>
      <c r="E1648" s="1">
        <v>-9.0</v>
      </c>
      <c r="F1648" s="1">
        <v>0.0</v>
      </c>
      <c r="G1648" s="1" t="s">
        <v>809</v>
      </c>
      <c r="H1648" s="1" t="s">
        <v>809</v>
      </c>
      <c r="I1648" s="1" t="s">
        <v>809</v>
      </c>
      <c r="J1648" s="1" t="s">
        <v>809</v>
      </c>
      <c r="K1648" s="1">
        <v>1.0</v>
      </c>
      <c r="L1648" s="1">
        <v>190000.0</v>
      </c>
    </row>
    <row r="1649">
      <c r="A1649" s="1">
        <v>603.0</v>
      </c>
      <c r="B1649" s="1" t="s">
        <v>806</v>
      </c>
      <c r="C1649" s="1" t="s">
        <v>807</v>
      </c>
      <c r="D1649" s="1" t="s">
        <v>836</v>
      </c>
      <c r="E1649" s="1">
        <v>0.0</v>
      </c>
      <c r="F1649" s="1">
        <v>0.0</v>
      </c>
      <c r="G1649" s="1" t="s">
        <v>809</v>
      </c>
      <c r="H1649" s="1" t="s">
        <v>809</v>
      </c>
      <c r="I1649" s="1" t="s">
        <v>809</v>
      </c>
      <c r="J1649" s="1" t="s">
        <v>809</v>
      </c>
      <c r="K1649" s="1">
        <v>1.0</v>
      </c>
      <c r="L1649" s="1">
        <v>50000.0</v>
      </c>
    </row>
    <row r="1650">
      <c r="A1650" s="1">
        <v>603.0</v>
      </c>
      <c r="B1650" s="1" t="s">
        <v>806</v>
      </c>
      <c r="C1650" s="1" t="s">
        <v>810</v>
      </c>
      <c r="D1650" s="1" t="s">
        <v>836</v>
      </c>
      <c r="E1650" s="1">
        <v>0.0</v>
      </c>
      <c r="F1650" s="1">
        <v>0.0</v>
      </c>
      <c r="G1650" s="1" t="s">
        <v>809</v>
      </c>
      <c r="H1650" s="1" t="s">
        <v>809</v>
      </c>
      <c r="I1650" s="1" t="s">
        <v>809</v>
      </c>
      <c r="J1650" s="1" t="s">
        <v>809</v>
      </c>
      <c r="K1650" s="1">
        <v>1.0</v>
      </c>
      <c r="L1650" s="1">
        <v>50000.0</v>
      </c>
    </row>
    <row r="1651">
      <c r="A1651" s="1">
        <v>603.0</v>
      </c>
      <c r="B1651" s="1" t="s">
        <v>806</v>
      </c>
      <c r="C1651" s="1" t="s">
        <v>809</v>
      </c>
      <c r="D1651" s="1" t="s">
        <v>928</v>
      </c>
      <c r="E1651" s="1" t="s">
        <v>809</v>
      </c>
      <c r="F1651" s="1" t="s">
        <v>809</v>
      </c>
      <c r="G1651" s="1" t="s">
        <v>809</v>
      </c>
      <c r="H1651" s="1" t="s">
        <v>809</v>
      </c>
      <c r="I1651" s="1" t="s">
        <v>809</v>
      </c>
      <c r="J1651" s="1" t="s">
        <v>809</v>
      </c>
      <c r="K1651" s="1">
        <v>1.0</v>
      </c>
      <c r="L1651" s="1">
        <v>160000.0</v>
      </c>
    </row>
    <row r="1652">
      <c r="A1652" s="1">
        <v>604.0</v>
      </c>
      <c r="B1652" s="1" t="s">
        <v>809</v>
      </c>
      <c r="C1652" s="1" t="s">
        <v>809</v>
      </c>
      <c r="D1652" s="1" t="s">
        <v>829</v>
      </c>
      <c r="E1652" s="1" t="s">
        <v>809</v>
      </c>
      <c r="F1652" s="1" t="s">
        <v>809</v>
      </c>
      <c r="G1652" s="1" t="s">
        <v>809</v>
      </c>
      <c r="H1652" s="1" t="s">
        <v>809</v>
      </c>
      <c r="I1652" s="1" t="s">
        <v>809</v>
      </c>
      <c r="J1652" s="1" t="s">
        <v>809</v>
      </c>
      <c r="K1652" s="1">
        <v>1.0</v>
      </c>
      <c r="L1652" s="1">
        <v>145000.0</v>
      </c>
    </row>
    <row r="1653">
      <c r="A1653" s="1">
        <v>605.0</v>
      </c>
      <c r="B1653" s="1" t="s">
        <v>806</v>
      </c>
      <c r="C1653" s="1" t="s">
        <v>807</v>
      </c>
      <c r="D1653" s="1" t="s">
        <v>812</v>
      </c>
      <c r="E1653" s="1">
        <v>-1.0</v>
      </c>
      <c r="F1653" s="1">
        <v>0.0</v>
      </c>
      <c r="G1653" s="1" t="s">
        <v>809</v>
      </c>
      <c r="H1653" s="1" t="s">
        <v>809</v>
      </c>
      <c r="I1653" s="1" t="s">
        <v>809</v>
      </c>
      <c r="J1653" s="1" t="s">
        <v>809</v>
      </c>
      <c r="K1653" s="1">
        <v>1.0</v>
      </c>
      <c r="L1653" s="1">
        <v>30613.0</v>
      </c>
    </row>
    <row r="1654">
      <c r="A1654" s="1">
        <v>605.0</v>
      </c>
      <c r="B1654" s="1" t="s">
        <v>806</v>
      </c>
      <c r="C1654" s="1" t="s">
        <v>810</v>
      </c>
      <c r="D1654" s="1" t="s">
        <v>812</v>
      </c>
      <c r="E1654" s="1">
        <v>-1.0</v>
      </c>
      <c r="F1654" s="1">
        <v>0.0</v>
      </c>
      <c r="G1654" s="1" t="s">
        <v>809</v>
      </c>
      <c r="H1654" s="1" t="s">
        <v>809</v>
      </c>
      <c r="I1654" s="1" t="s">
        <v>809</v>
      </c>
      <c r="J1654" s="1" t="s">
        <v>809</v>
      </c>
      <c r="K1654" s="1">
        <v>1.0</v>
      </c>
      <c r="L1654" s="1">
        <v>30613.0</v>
      </c>
    </row>
    <row r="1655">
      <c r="A1655" s="1">
        <v>605.0</v>
      </c>
      <c r="B1655" s="1" t="s">
        <v>806</v>
      </c>
      <c r="C1655" s="1" t="s">
        <v>809</v>
      </c>
      <c r="D1655" s="1" t="s">
        <v>912</v>
      </c>
      <c r="E1655" s="1" t="s">
        <v>809</v>
      </c>
      <c r="F1655" s="1" t="s">
        <v>809</v>
      </c>
      <c r="G1655" s="1" t="s">
        <v>809</v>
      </c>
      <c r="H1655" s="1" t="s">
        <v>809</v>
      </c>
      <c r="I1655" s="1" t="s">
        <v>809</v>
      </c>
      <c r="J1655" s="1" t="s">
        <v>809</v>
      </c>
      <c r="K1655" s="1">
        <v>1.0</v>
      </c>
      <c r="L1655" s="1">
        <v>128774.0</v>
      </c>
    </row>
    <row r="1656">
      <c r="A1656" s="1">
        <v>606.0</v>
      </c>
      <c r="B1656" s="1" t="s">
        <v>806</v>
      </c>
      <c r="C1656" s="1" t="s">
        <v>807</v>
      </c>
      <c r="D1656" s="1" t="s">
        <v>812</v>
      </c>
      <c r="E1656" s="1">
        <v>-1.0</v>
      </c>
      <c r="F1656" s="1">
        <v>0.0</v>
      </c>
      <c r="G1656" s="1" t="s">
        <v>809</v>
      </c>
      <c r="H1656" s="1" t="s">
        <v>809</v>
      </c>
      <c r="I1656" s="1" t="s">
        <v>809</v>
      </c>
      <c r="J1656" s="1" t="s">
        <v>809</v>
      </c>
      <c r="K1656" s="1">
        <v>1.0</v>
      </c>
      <c r="L1656" s="1">
        <v>30613.0</v>
      </c>
    </row>
    <row r="1657">
      <c r="A1657" s="1">
        <v>606.0</v>
      </c>
      <c r="B1657" s="1" t="s">
        <v>806</v>
      </c>
      <c r="C1657" s="1" t="s">
        <v>810</v>
      </c>
      <c r="D1657" s="1" t="s">
        <v>812</v>
      </c>
      <c r="E1657" s="1">
        <v>-1.25</v>
      </c>
      <c r="F1657" s="1">
        <v>0.0</v>
      </c>
      <c r="G1657" s="1" t="s">
        <v>809</v>
      </c>
      <c r="H1657" s="1" t="s">
        <v>809</v>
      </c>
      <c r="I1657" s="1" t="s">
        <v>809</v>
      </c>
      <c r="J1657" s="1" t="s">
        <v>809</v>
      </c>
      <c r="K1657" s="1">
        <v>1.0</v>
      </c>
      <c r="L1657" s="1">
        <v>37850.0</v>
      </c>
    </row>
    <row r="1658">
      <c r="A1658" s="1">
        <v>607.0</v>
      </c>
      <c r="B1658" s="1" t="s">
        <v>806</v>
      </c>
      <c r="C1658" s="1" t="s">
        <v>807</v>
      </c>
      <c r="D1658" s="1" t="s">
        <v>836</v>
      </c>
      <c r="E1658" s="1">
        <v>-0.5</v>
      </c>
      <c r="F1658" s="1">
        <v>-0.75</v>
      </c>
      <c r="G1658" s="1">
        <v>40.0</v>
      </c>
      <c r="H1658" s="1" t="s">
        <v>809</v>
      </c>
      <c r="I1658" s="1" t="s">
        <v>809</v>
      </c>
      <c r="J1658" s="1" t="s">
        <v>809</v>
      </c>
      <c r="K1658" s="1">
        <v>1.0</v>
      </c>
      <c r="L1658" s="1">
        <v>69984.0</v>
      </c>
    </row>
    <row r="1659">
      <c r="A1659" s="1">
        <v>607.0</v>
      </c>
      <c r="B1659" s="1" t="s">
        <v>806</v>
      </c>
      <c r="C1659" s="1" t="s">
        <v>810</v>
      </c>
      <c r="D1659" s="1" t="s">
        <v>836</v>
      </c>
      <c r="E1659" s="1">
        <v>-2.5</v>
      </c>
      <c r="F1659" s="1">
        <v>-0.75</v>
      </c>
      <c r="G1659" s="1">
        <v>85.0</v>
      </c>
      <c r="H1659" s="1" t="s">
        <v>809</v>
      </c>
      <c r="I1659" s="1" t="s">
        <v>809</v>
      </c>
      <c r="J1659" s="1" t="s">
        <v>809</v>
      </c>
      <c r="K1659" s="1">
        <v>1.0</v>
      </c>
      <c r="L1659" s="1">
        <v>69984.0</v>
      </c>
    </row>
    <row r="1660">
      <c r="A1660" s="1">
        <v>607.0</v>
      </c>
      <c r="B1660" s="1" t="s">
        <v>806</v>
      </c>
      <c r="C1660" s="1" t="s">
        <v>809</v>
      </c>
      <c r="D1660" s="1" t="s">
        <v>929</v>
      </c>
      <c r="E1660" s="1" t="s">
        <v>809</v>
      </c>
      <c r="F1660" s="1" t="s">
        <v>809</v>
      </c>
      <c r="G1660" s="1" t="s">
        <v>809</v>
      </c>
      <c r="H1660" s="1" t="s">
        <v>809</v>
      </c>
      <c r="I1660" s="1" t="s">
        <v>809</v>
      </c>
      <c r="J1660" s="1" t="s">
        <v>809</v>
      </c>
      <c r="K1660" s="1">
        <v>1.0</v>
      </c>
      <c r="L1660" s="1">
        <v>130000.0</v>
      </c>
    </row>
    <row r="1661">
      <c r="A1661" s="1">
        <v>608.0</v>
      </c>
      <c r="B1661" s="1" t="s">
        <v>806</v>
      </c>
      <c r="C1661" s="1" t="s">
        <v>807</v>
      </c>
      <c r="D1661" s="1" t="s">
        <v>1071</v>
      </c>
      <c r="E1661" s="1">
        <v>4.5</v>
      </c>
      <c r="F1661" s="1">
        <v>-1.5</v>
      </c>
      <c r="G1661" s="1">
        <v>95.0</v>
      </c>
      <c r="H1661" s="1">
        <v>2.75</v>
      </c>
      <c r="I1661" s="1">
        <v>32.5</v>
      </c>
      <c r="J1661" s="1">
        <v>27.0</v>
      </c>
      <c r="K1661" s="1">
        <v>1.0</v>
      </c>
      <c r="L1661" s="1">
        <v>651397.98</v>
      </c>
    </row>
    <row r="1662">
      <c r="A1662" s="1">
        <v>608.0</v>
      </c>
      <c r="B1662" s="1" t="s">
        <v>806</v>
      </c>
      <c r="C1662" s="1" t="s">
        <v>810</v>
      </c>
      <c r="D1662" s="1" t="s">
        <v>1071</v>
      </c>
      <c r="E1662" s="1">
        <v>3.5</v>
      </c>
      <c r="F1662" s="1">
        <v>-0.75</v>
      </c>
      <c r="G1662" s="1">
        <v>80.0</v>
      </c>
      <c r="H1662" s="1">
        <v>2.75</v>
      </c>
      <c r="I1662" s="1">
        <v>32.5</v>
      </c>
      <c r="J1662" s="1">
        <v>27.0</v>
      </c>
      <c r="K1662" s="1">
        <v>1.0</v>
      </c>
      <c r="L1662" s="1">
        <v>651397.98</v>
      </c>
    </row>
    <row r="1663">
      <c r="A1663" s="1">
        <v>608.0</v>
      </c>
      <c r="B1663" s="1" t="s">
        <v>806</v>
      </c>
      <c r="C1663" s="1" t="s">
        <v>809</v>
      </c>
      <c r="D1663" s="1" t="s">
        <v>912</v>
      </c>
      <c r="E1663" s="1" t="s">
        <v>809</v>
      </c>
      <c r="F1663" s="1" t="s">
        <v>809</v>
      </c>
      <c r="G1663" s="1" t="s">
        <v>809</v>
      </c>
      <c r="H1663" s="1" t="s">
        <v>809</v>
      </c>
      <c r="I1663" s="1" t="s">
        <v>809</v>
      </c>
      <c r="J1663" s="1" t="s">
        <v>809</v>
      </c>
      <c r="K1663" s="1">
        <v>1.0</v>
      </c>
      <c r="L1663" s="1">
        <v>97204.04</v>
      </c>
    </row>
    <row r="1664">
      <c r="A1664" s="1">
        <v>609.0</v>
      </c>
      <c r="B1664" s="1" t="s">
        <v>806</v>
      </c>
      <c r="C1664" s="1" t="s">
        <v>807</v>
      </c>
      <c r="D1664" s="1" t="s">
        <v>1060</v>
      </c>
      <c r="E1664" s="1">
        <v>1.5</v>
      </c>
      <c r="F1664" s="1">
        <v>0.0</v>
      </c>
      <c r="G1664" s="1" t="s">
        <v>809</v>
      </c>
      <c r="H1664" s="1" t="s">
        <v>809</v>
      </c>
      <c r="I1664" s="1" t="s">
        <v>809</v>
      </c>
      <c r="J1664" s="1" t="s">
        <v>809</v>
      </c>
      <c r="K1664" s="1">
        <v>1.0</v>
      </c>
      <c r="L1664" s="1">
        <v>46000.0</v>
      </c>
    </row>
    <row r="1665">
      <c r="A1665" s="1">
        <v>609.0</v>
      </c>
      <c r="B1665" s="1" t="s">
        <v>806</v>
      </c>
      <c r="C1665" s="1" t="s">
        <v>810</v>
      </c>
      <c r="D1665" s="1" t="s">
        <v>1060</v>
      </c>
      <c r="E1665" s="1">
        <v>1.75</v>
      </c>
      <c r="F1665" s="1">
        <v>0.0</v>
      </c>
      <c r="G1665" s="1" t="s">
        <v>809</v>
      </c>
      <c r="H1665" s="1" t="s">
        <v>809</v>
      </c>
      <c r="I1665" s="1" t="s">
        <v>809</v>
      </c>
      <c r="J1665" s="1" t="s">
        <v>809</v>
      </c>
      <c r="K1665" s="1">
        <v>1.0</v>
      </c>
      <c r="L1665" s="1">
        <v>46000.0</v>
      </c>
    </row>
    <row r="1666">
      <c r="A1666" s="1">
        <v>610.0</v>
      </c>
      <c r="B1666" s="1" t="s">
        <v>806</v>
      </c>
      <c r="C1666" s="1" t="s">
        <v>807</v>
      </c>
      <c r="D1666" s="1" t="s">
        <v>812</v>
      </c>
      <c r="E1666" s="1">
        <v>0.25</v>
      </c>
      <c r="F1666" s="1">
        <v>-0.25</v>
      </c>
      <c r="G1666" s="1">
        <v>90.0</v>
      </c>
      <c r="H1666" s="1" t="s">
        <v>809</v>
      </c>
      <c r="I1666" s="1" t="s">
        <v>809</v>
      </c>
      <c r="J1666" s="1" t="s">
        <v>809</v>
      </c>
      <c r="K1666" s="1">
        <v>1.0</v>
      </c>
      <c r="L1666" s="1">
        <v>34000.0</v>
      </c>
    </row>
    <row r="1667">
      <c r="A1667" s="1">
        <v>610.0</v>
      </c>
      <c r="B1667" s="1" t="s">
        <v>806</v>
      </c>
      <c r="C1667" s="1" t="s">
        <v>810</v>
      </c>
      <c r="D1667" s="1" t="s">
        <v>812</v>
      </c>
      <c r="E1667" s="1">
        <v>0.25</v>
      </c>
      <c r="F1667" s="1">
        <v>-0.25</v>
      </c>
      <c r="G1667" s="1">
        <v>55.0</v>
      </c>
      <c r="H1667" s="1" t="s">
        <v>809</v>
      </c>
      <c r="I1667" s="1" t="s">
        <v>809</v>
      </c>
      <c r="J1667" s="1" t="s">
        <v>809</v>
      </c>
      <c r="K1667" s="1">
        <v>1.0</v>
      </c>
      <c r="L1667" s="1">
        <v>34000.0</v>
      </c>
    </row>
    <row r="1668">
      <c r="A1668" s="1">
        <v>611.0</v>
      </c>
      <c r="B1668" s="1" t="s">
        <v>806</v>
      </c>
      <c r="C1668" s="1" t="s">
        <v>807</v>
      </c>
      <c r="D1668" s="1" t="s">
        <v>812</v>
      </c>
      <c r="E1668" s="1">
        <v>0.25</v>
      </c>
      <c r="F1668" s="1">
        <v>-0.25</v>
      </c>
      <c r="G1668" s="1">
        <v>90.0</v>
      </c>
      <c r="H1668" s="1" t="s">
        <v>809</v>
      </c>
      <c r="I1668" s="1" t="s">
        <v>809</v>
      </c>
      <c r="J1668" s="1" t="s">
        <v>809</v>
      </c>
      <c r="K1668" s="1">
        <v>1.0</v>
      </c>
      <c r="L1668" s="1">
        <v>30600.0</v>
      </c>
    </row>
    <row r="1669">
      <c r="A1669" s="1">
        <v>611.0</v>
      </c>
      <c r="B1669" s="1" t="s">
        <v>806</v>
      </c>
      <c r="C1669" s="1" t="s">
        <v>810</v>
      </c>
      <c r="D1669" s="1" t="s">
        <v>812</v>
      </c>
      <c r="E1669" s="1">
        <v>0.25</v>
      </c>
      <c r="F1669" s="1">
        <v>-0.25</v>
      </c>
      <c r="G1669" s="1">
        <v>55.0</v>
      </c>
      <c r="H1669" s="1" t="s">
        <v>809</v>
      </c>
      <c r="I1669" s="1" t="s">
        <v>809</v>
      </c>
      <c r="J1669" s="1" t="s">
        <v>809</v>
      </c>
      <c r="K1669" s="1">
        <v>1.0</v>
      </c>
      <c r="L1669" s="1">
        <v>30600.0</v>
      </c>
    </row>
    <row r="1670">
      <c r="A1670" s="1">
        <v>612.0</v>
      </c>
      <c r="B1670" s="1" t="s">
        <v>806</v>
      </c>
      <c r="C1670" s="1" t="s">
        <v>807</v>
      </c>
      <c r="D1670" s="1" t="s">
        <v>885</v>
      </c>
      <c r="E1670" s="1">
        <v>-0.25</v>
      </c>
      <c r="F1670" s="1">
        <v>0.0</v>
      </c>
      <c r="G1670" s="1" t="s">
        <v>809</v>
      </c>
      <c r="H1670" s="1" t="s">
        <v>809</v>
      </c>
      <c r="I1670" s="1" t="s">
        <v>809</v>
      </c>
      <c r="J1670" s="1" t="s">
        <v>809</v>
      </c>
      <c r="K1670" s="1">
        <v>1.0</v>
      </c>
      <c r="L1670" s="1">
        <v>60000.0</v>
      </c>
    </row>
    <row r="1671">
      <c r="A1671" s="1">
        <v>612.0</v>
      </c>
      <c r="B1671" s="1" t="s">
        <v>806</v>
      </c>
      <c r="C1671" s="1" t="s">
        <v>810</v>
      </c>
      <c r="D1671" s="1" t="s">
        <v>885</v>
      </c>
      <c r="E1671" s="1">
        <v>-0.25</v>
      </c>
      <c r="F1671" s="1">
        <v>0.0</v>
      </c>
      <c r="G1671" s="1" t="s">
        <v>809</v>
      </c>
      <c r="H1671" s="1" t="s">
        <v>809</v>
      </c>
      <c r="I1671" s="1" t="s">
        <v>809</v>
      </c>
      <c r="J1671" s="1" t="s">
        <v>809</v>
      </c>
      <c r="K1671" s="1">
        <v>1.0</v>
      </c>
      <c r="L1671" s="1">
        <v>60000.0</v>
      </c>
    </row>
    <row r="1672">
      <c r="A1672" s="1">
        <v>612.0</v>
      </c>
      <c r="B1672" s="1" t="s">
        <v>806</v>
      </c>
      <c r="C1672" s="1" t="s">
        <v>809</v>
      </c>
      <c r="D1672" s="1" t="s">
        <v>912</v>
      </c>
      <c r="E1672" s="1" t="s">
        <v>809</v>
      </c>
      <c r="F1672" s="1" t="s">
        <v>809</v>
      </c>
      <c r="G1672" s="1" t="s">
        <v>809</v>
      </c>
      <c r="H1672" s="1" t="s">
        <v>809</v>
      </c>
      <c r="I1672" s="1" t="s">
        <v>809</v>
      </c>
      <c r="J1672" s="1" t="s">
        <v>809</v>
      </c>
      <c r="K1672" s="1">
        <v>1.0</v>
      </c>
      <c r="L1672" s="1">
        <v>100000.0</v>
      </c>
    </row>
    <row r="1673">
      <c r="A1673" s="1">
        <v>613.0</v>
      </c>
      <c r="B1673" s="1" t="s">
        <v>806</v>
      </c>
      <c r="C1673" s="1" t="s">
        <v>807</v>
      </c>
      <c r="D1673" s="1" t="s">
        <v>808</v>
      </c>
      <c r="E1673" s="1">
        <v>3.0</v>
      </c>
      <c r="F1673" s="1">
        <v>-1.25</v>
      </c>
      <c r="G1673" s="1">
        <v>85.0</v>
      </c>
      <c r="H1673" s="1" t="s">
        <v>809</v>
      </c>
      <c r="I1673" s="1">
        <v>30.0</v>
      </c>
      <c r="J1673" s="1" t="s">
        <v>809</v>
      </c>
      <c r="K1673" s="1">
        <v>1.0</v>
      </c>
      <c r="L1673" s="1">
        <v>9722.9</v>
      </c>
    </row>
    <row r="1674">
      <c r="A1674" s="1">
        <v>613.0</v>
      </c>
      <c r="B1674" s="1" t="s">
        <v>806</v>
      </c>
      <c r="C1674" s="1" t="s">
        <v>810</v>
      </c>
      <c r="D1674" s="1" t="s">
        <v>808</v>
      </c>
      <c r="E1674" s="1">
        <v>3.25</v>
      </c>
      <c r="F1674" s="1">
        <v>-1.25</v>
      </c>
      <c r="G1674" s="1">
        <v>95.0</v>
      </c>
      <c r="H1674" s="1" t="s">
        <v>809</v>
      </c>
      <c r="I1674" s="1">
        <v>30.0</v>
      </c>
      <c r="J1674" s="1" t="s">
        <v>809</v>
      </c>
      <c r="K1674" s="1">
        <v>1.0</v>
      </c>
      <c r="L1674" s="1">
        <v>9722.9</v>
      </c>
    </row>
    <row r="1675">
      <c r="A1675" s="1">
        <v>613.0</v>
      </c>
      <c r="B1675" s="1" t="s">
        <v>806</v>
      </c>
      <c r="C1675" s="1" t="s">
        <v>809</v>
      </c>
      <c r="D1675" s="1" t="s">
        <v>929</v>
      </c>
      <c r="E1675" s="1" t="s">
        <v>809</v>
      </c>
      <c r="F1675" s="1" t="s">
        <v>809</v>
      </c>
      <c r="G1675" s="1" t="s">
        <v>809</v>
      </c>
      <c r="H1675" s="1" t="s">
        <v>809</v>
      </c>
      <c r="I1675" s="1" t="s">
        <v>809</v>
      </c>
      <c r="J1675" s="1" t="s">
        <v>809</v>
      </c>
      <c r="K1675" s="1">
        <v>1.0</v>
      </c>
      <c r="L1675" s="1">
        <v>70555.0</v>
      </c>
    </row>
    <row r="1676">
      <c r="A1676" s="1">
        <v>614.0</v>
      </c>
      <c r="B1676" s="1" t="s">
        <v>806</v>
      </c>
      <c r="C1676" s="1" t="s">
        <v>807</v>
      </c>
      <c r="D1676" s="1" t="s">
        <v>812</v>
      </c>
      <c r="E1676" s="1">
        <v>0.0</v>
      </c>
      <c r="F1676" s="1">
        <v>-1.75</v>
      </c>
      <c r="G1676" s="1">
        <v>180.0</v>
      </c>
      <c r="H1676" s="1" t="s">
        <v>809</v>
      </c>
      <c r="I1676" s="1">
        <v>30.0</v>
      </c>
      <c r="J1676" s="1" t="s">
        <v>809</v>
      </c>
      <c r="K1676" s="1">
        <v>1.0</v>
      </c>
      <c r="L1676" s="1">
        <v>30613.0</v>
      </c>
    </row>
    <row r="1677">
      <c r="A1677" s="1">
        <v>614.0</v>
      </c>
      <c r="B1677" s="1" t="s">
        <v>806</v>
      </c>
      <c r="C1677" s="1" t="s">
        <v>810</v>
      </c>
      <c r="D1677" s="1" t="s">
        <v>812</v>
      </c>
      <c r="E1677" s="1">
        <v>0.25</v>
      </c>
      <c r="F1677" s="1">
        <v>-2.75</v>
      </c>
      <c r="G1677" s="1">
        <v>180.0</v>
      </c>
      <c r="H1677" s="1" t="s">
        <v>809</v>
      </c>
      <c r="I1677" s="1">
        <v>30.0</v>
      </c>
      <c r="J1677" s="1" t="s">
        <v>809</v>
      </c>
      <c r="K1677" s="1">
        <v>1.0</v>
      </c>
      <c r="L1677" s="1">
        <v>30613.0</v>
      </c>
    </row>
    <row r="1678">
      <c r="A1678" s="1">
        <v>614.0</v>
      </c>
      <c r="B1678" s="1" t="s">
        <v>806</v>
      </c>
      <c r="C1678" s="1" t="s">
        <v>809</v>
      </c>
      <c r="D1678" s="1" t="s">
        <v>814</v>
      </c>
      <c r="E1678" s="1" t="s">
        <v>809</v>
      </c>
      <c r="F1678" s="1" t="s">
        <v>809</v>
      </c>
      <c r="G1678" s="1" t="s">
        <v>809</v>
      </c>
      <c r="H1678" s="1" t="s">
        <v>809</v>
      </c>
      <c r="I1678" s="1" t="s">
        <v>809</v>
      </c>
      <c r="J1678" s="1" t="s">
        <v>809</v>
      </c>
      <c r="K1678" s="1">
        <v>1.0</v>
      </c>
      <c r="L1678" s="1">
        <v>120000.0</v>
      </c>
    </row>
    <row r="1679">
      <c r="A1679" s="1">
        <v>615.0</v>
      </c>
      <c r="B1679" s="1" t="s">
        <v>809</v>
      </c>
      <c r="C1679" s="1" t="s">
        <v>809</v>
      </c>
      <c r="D1679" s="1" t="s">
        <v>912</v>
      </c>
      <c r="E1679" s="1" t="s">
        <v>809</v>
      </c>
      <c r="F1679" s="1" t="s">
        <v>809</v>
      </c>
      <c r="G1679" s="1" t="s">
        <v>809</v>
      </c>
      <c r="H1679" s="1" t="s">
        <v>809</v>
      </c>
      <c r="I1679" s="1" t="s">
        <v>809</v>
      </c>
      <c r="J1679" s="1" t="s">
        <v>809</v>
      </c>
      <c r="K1679" s="1">
        <v>1.0</v>
      </c>
      <c r="L1679" s="1">
        <v>90000.0</v>
      </c>
    </row>
    <row r="1680">
      <c r="A1680" s="1">
        <v>615.0</v>
      </c>
      <c r="B1680" s="1" t="s">
        <v>809</v>
      </c>
      <c r="C1680" s="1" t="s">
        <v>809</v>
      </c>
      <c r="D1680" s="1" t="s">
        <v>856</v>
      </c>
      <c r="E1680" s="1" t="s">
        <v>809</v>
      </c>
      <c r="F1680" s="1" t="s">
        <v>809</v>
      </c>
      <c r="G1680" s="1" t="s">
        <v>809</v>
      </c>
      <c r="H1680" s="1" t="s">
        <v>809</v>
      </c>
      <c r="I1680" s="1" t="s">
        <v>809</v>
      </c>
      <c r="J1680" s="1" t="s">
        <v>809</v>
      </c>
      <c r="K1680" s="1">
        <v>1.0</v>
      </c>
      <c r="L1680" s="1">
        <v>5000.0</v>
      </c>
    </row>
    <row r="1681">
      <c r="A1681" s="1">
        <v>616.0</v>
      </c>
      <c r="B1681" s="1" t="s">
        <v>806</v>
      </c>
      <c r="C1681" s="1" t="s">
        <v>807</v>
      </c>
      <c r="D1681" s="1" t="s">
        <v>812</v>
      </c>
      <c r="E1681" s="1">
        <v>-0.25</v>
      </c>
      <c r="F1681" s="1">
        <v>0.0</v>
      </c>
      <c r="G1681" s="1" t="s">
        <v>809</v>
      </c>
      <c r="H1681" s="1" t="s">
        <v>809</v>
      </c>
      <c r="I1681" s="1" t="s">
        <v>809</v>
      </c>
      <c r="J1681" s="1" t="s">
        <v>809</v>
      </c>
      <c r="K1681" s="1">
        <v>1.0</v>
      </c>
      <c r="L1681" s="1">
        <v>30000.0</v>
      </c>
    </row>
    <row r="1682">
      <c r="A1682" s="1">
        <v>616.0</v>
      </c>
      <c r="B1682" s="1" t="s">
        <v>806</v>
      </c>
      <c r="C1682" s="1" t="s">
        <v>810</v>
      </c>
      <c r="D1682" s="1" t="s">
        <v>812</v>
      </c>
      <c r="E1682" s="1">
        <v>-0.25</v>
      </c>
      <c r="F1682" s="1">
        <v>0.0</v>
      </c>
      <c r="G1682" s="1" t="s">
        <v>809</v>
      </c>
      <c r="H1682" s="1" t="s">
        <v>809</v>
      </c>
      <c r="I1682" s="1" t="s">
        <v>809</v>
      </c>
      <c r="J1682" s="1" t="s">
        <v>809</v>
      </c>
      <c r="K1682" s="1">
        <v>1.0</v>
      </c>
      <c r="L1682" s="1">
        <v>30000.0</v>
      </c>
    </row>
    <row r="1683">
      <c r="A1683" s="1">
        <v>616.0</v>
      </c>
      <c r="B1683" s="1" t="s">
        <v>806</v>
      </c>
      <c r="C1683" s="1" t="s">
        <v>809</v>
      </c>
      <c r="D1683" s="1">
        <v>9002.0</v>
      </c>
      <c r="E1683" s="1" t="s">
        <v>809</v>
      </c>
      <c r="F1683" s="1" t="s">
        <v>809</v>
      </c>
      <c r="G1683" s="1" t="s">
        <v>809</v>
      </c>
      <c r="H1683" s="1" t="s">
        <v>809</v>
      </c>
      <c r="I1683" s="1" t="s">
        <v>809</v>
      </c>
      <c r="J1683" s="1" t="s">
        <v>809</v>
      </c>
      <c r="K1683" s="1">
        <v>1.0</v>
      </c>
      <c r="L1683" s="1">
        <v>120000.0</v>
      </c>
    </row>
    <row r="1684">
      <c r="A1684" s="1">
        <v>617.0</v>
      </c>
      <c r="B1684" s="1" t="s">
        <v>809</v>
      </c>
      <c r="C1684" s="1" t="s">
        <v>809</v>
      </c>
      <c r="D1684" s="1" t="s">
        <v>1032</v>
      </c>
      <c r="E1684" s="1" t="s">
        <v>809</v>
      </c>
      <c r="F1684" s="1" t="s">
        <v>809</v>
      </c>
      <c r="G1684" s="1" t="s">
        <v>809</v>
      </c>
      <c r="H1684" s="1" t="s">
        <v>809</v>
      </c>
      <c r="I1684" s="1" t="s">
        <v>809</v>
      </c>
      <c r="J1684" s="1" t="s">
        <v>809</v>
      </c>
      <c r="K1684" s="1">
        <v>1.0</v>
      </c>
      <c r="L1684" s="1">
        <v>130000.0</v>
      </c>
    </row>
    <row r="1685">
      <c r="A1685" s="1">
        <v>618.0</v>
      </c>
      <c r="B1685" s="1" t="s">
        <v>806</v>
      </c>
      <c r="C1685" s="1" t="s">
        <v>807</v>
      </c>
      <c r="D1685" s="1" t="s">
        <v>826</v>
      </c>
      <c r="E1685" s="1">
        <v>0.0</v>
      </c>
      <c r="F1685" s="1">
        <v>-0.75</v>
      </c>
      <c r="G1685" s="1">
        <v>5.0</v>
      </c>
      <c r="H1685" s="1" t="s">
        <v>809</v>
      </c>
      <c r="I1685" s="1">
        <v>26.0</v>
      </c>
      <c r="J1685" s="1">
        <v>22.0</v>
      </c>
      <c r="K1685" s="1">
        <v>1.0</v>
      </c>
      <c r="L1685" s="1">
        <v>20000.0</v>
      </c>
    </row>
    <row r="1686">
      <c r="A1686" s="1">
        <v>618.0</v>
      </c>
      <c r="B1686" s="1" t="s">
        <v>806</v>
      </c>
      <c r="C1686" s="1" t="s">
        <v>810</v>
      </c>
      <c r="D1686" s="1" t="s">
        <v>826</v>
      </c>
      <c r="E1686" s="1">
        <v>0.0</v>
      </c>
      <c r="F1686" s="1">
        <v>-0.75</v>
      </c>
      <c r="G1686" s="1">
        <v>170.0</v>
      </c>
      <c r="H1686" s="1" t="s">
        <v>809</v>
      </c>
      <c r="I1686" s="1">
        <v>26.0</v>
      </c>
      <c r="J1686" s="1">
        <v>22.0</v>
      </c>
      <c r="K1686" s="1">
        <v>1.0</v>
      </c>
      <c r="L1686" s="1">
        <v>20000.0</v>
      </c>
    </row>
    <row r="1687">
      <c r="A1687" s="1">
        <v>618.0</v>
      </c>
      <c r="B1687" s="1" t="s">
        <v>806</v>
      </c>
      <c r="C1687" s="1" t="s">
        <v>809</v>
      </c>
      <c r="D1687" s="1" t="s">
        <v>957</v>
      </c>
      <c r="E1687" s="1" t="s">
        <v>809</v>
      </c>
      <c r="F1687" s="1" t="s">
        <v>809</v>
      </c>
      <c r="G1687" s="1" t="s">
        <v>809</v>
      </c>
      <c r="H1687" s="1" t="s">
        <v>809</v>
      </c>
      <c r="I1687" s="1" t="s">
        <v>809</v>
      </c>
      <c r="J1687" s="1" t="s">
        <v>809</v>
      </c>
      <c r="K1687" s="1">
        <v>1.0</v>
      </c>
      <c r="L1687" s="1">
        <v>120000.0</v>
      </c>
    </row>
    <row r="1688">
      <c r="A1688" s="1">
        <v>619.0</v>
      </c>
      <c r="B1688" s="1" t="s">
        <v>806</v>
      </c>
      <c r="C1688" s="1" t="s">
        <v>807</v>
      </c>
      <c r="D1688" s="1" t="s">
        <v>812</v>
      </c>
      <c r="E1688" s="1">
        <v>-2.25</v>
      </c>
      <c r="F1688" s="1">
        <v>-0.25</v>
      </c>
      <c r="G1688" s="1">
        <v>65.0</v>
      </c>
      <c r="H1688" s="1" t="s">
        <v>809</v>
      </c>
      <c r="I1688" s="1" t="s">
        <v>809</v>
      </c>
      <c r="J1688" s="1" t="s">
        <v>809</v>
      </c>
      <c r="K1688" s="1">
        <v>1.0</v>
      </c>
      <c r="L1688" s="1">
        <v>32000.0</v>
      </c>
    </row>
    <row r="1689">
      <c r="A1689" s="1">
        <v>619.0</v>
      </c>
      <c r="B1689" s="1" t="s">
        <v>806</v>
      </c>
      <c r="C1689" s="1" t="s">
        <v>810</v>
      </c>
      <c r="D1689" s="1" t="s">
        <v>812</v>
      </c>
      <c r="E1689" s="1">
        <v>-2.0</v>
      </c>
      <c r="F1689" s="1">
        <v>-0.25</v>
      </c>
      <c r="G1689" s="1">
        <v>1.0</v>
      </c>
      <c r="H1689" s="1" t="s">
        <v>809</v>
      </c>
      <c r="I1689" s="1" t="s">
        <v>809</v>
      </c>
      <c r="J1689" s="1" t="s">
        <v>809</v>
      </c>
      <c r="K1689" s="1">
        <v>1.0</v>
      </c>
      <c r="L1689" s="1">
        <v>32000.0</v>
      </c>
    </row>
    <row r="1690">
      <c r="A1690" s="1">
        <v>619.0</v>
      </c>
      <c r="B1690" s="1" t="s">
        <v>806</v>
      </c>
      <c r="C1690" s="1" t="s">
        <v>809</v>
      </c>
      <c r="D1690" s="1" t="s">
        <v>915</v>
      </c>
      <c r="E1690" s="1" t="s">
        <v>809</v>
      </c>
      <c r="F1690" s="1" t="s">
        <v>809</v>
      </c>
      <c r="G1690" s="1" t="s">
        <v>809</v>
      </c>
      <c r="H1690" s="1" t="s">
        <v>809</v>
      </c>
      <c r="I1690" s="1" t="s">
        <v>809</v>
      </c>
      <c r="J1690" s="1" t="s">
        <v>809</v>
      </c>
      <c r="K1690" s="1">
        <v>1.0</v>
      </c>
      <c r="L1690" s="1">
        <v>110000.0</v>
      </c>
    </row>
    <row r="1691">
      <c r="A1691" s="1">
        <v>620.0</v>
      </c>
      <c r="B1691" s="1" t="s">
        <v>806</v>
      </c>
      <c r="C1691" s="1" t="s">
        <v>807</v>
      </c>
      <c r="D1691" s="1" t="s">
        <v>836</v>
      </c>
      <c r="E1691" s="1">
        <v>-3.25</v>
      </c>
      <c r="F1691" s="1">
        <v>-2.0</v>
      </c>
      <c r="G1691" s="1">
        <v>0.0</v>
      </c>
      <c r="H1691" s="1" t="s">
        <v>809</v>
      </c>
      <c r="I1691" s="1" t="s">
        <v>809</v>
      </c>
      <c r="J1691" s="1" t="s">
        <v>809</v>
      </c>
      <c r="K1691" s="1">
        <v>1.0</v>
      </c>
      <c r="L1691" s="1">
        <v>55000.0</v>
      </c>
    </row>
    <row r="1692">
      <c r="A1692" s="1">
        <v>620.0</v>
      </c>
      <c r="B1692" s="1" t="s">
        <v>806</v>
      </c>
      <c r="C1692" s="1" t="s">
        <v>810</v>
      </c>
      <c r="D1692" s="1" t="s">
        <v>836</v>
      </c>
      <c r="E1692" s="1">
        <v>-3.25</v>
      </c>
      <c r="F1692" s="1">
        <v>-1.75</v>
      </c>
      <c r="G1692" s="1">
        <v>0.0</v>
      </c>
      <c r="H1692" s="1" t="s">
        <v>809</v>
      </c>
      <c r="I1692" s="1" t="s">
        <v>809</v>
      </c>
      <c r="J1692" s="1" t="s">
        <v>809</v>
      </c>
      <c r="K1692" s="1">
        <v>1.0</v>
      </c>
      <c r="L1692" s="1">
        <v>55000.0</v>
      </c>
    </row>
    <row r="1693">
      <c r="A1693" s="1">
        <v>620.0</v>
      </c>
      <c r="B1693" s="1" t="s">
        <v>806</v>
      </c>
      <c r="C1693" s="1" t="s">
        <v>809</v>
      </c>
      <c r="D1693" s="1" t="s">
        <v>1072</v>
      </c>
      <c r="E1693" s="1" t="s">
        <v>809</v>
      </c>
      <c r="F1693" s="1" t="s">
        <v>809</v>
      </c>
      <c r="G1693" s="1" t="s">
        <v>809</v>
      </c>
      <c r="H1693" s="1" t="s">
        <v>809</v>
      </c>
      <c r="I1693" s="1" t="s">
        <v>809</v>
      </c>
      <c r="J1693" s="1" t="s">
        <v>809</v>
      </c>
      <c r="K1693" s="1">
        <v>1.0</v>
      </c>
      <c r="L1693" s="1">
        <v>172000.0</v>
      </c>
    </row>
    <row r="1694">
      <c r="A1694" s="1">
        <v>621.0</v>
      </c>
      <c r="B1694" s="1" t="s">
        <v>806</v>
      </c>
      <c r="C1694" s="1" t="s">
        <v>807</v>
      </c>
      <c r="D1694" s="1" t="s">
        <v>836</v>
      </c>
      <c r="E1694" s="1">
        <v>0.0</v>
      </c>
      <c r="F1694" s="1">
        <v>0.0</v>
      </c>
      <c r="G1694" s="1" t="s">
        <v>809</v>
      </c>
      <c r="H1694" s="1" t="s">
        <v>809</v>
      </c>
      <c r="I1694" s="1" t="s">
        <v>809</v>
      </c>
      <c r="J1694" s="1" t="s">
        <v>809</v>
      </c>
      <c r="K1694" s="1">
        <v>1.0</v>
      </c>
      <c r="L1694" s="1">
        <v>50000.0</v>
      </c>
    </row>
    <row r="1695">
      <c r="A1695" s="1">
        <v>621.0</v>
      </c>
      <c r="B1695" s="1" t="s">
        <v>806</v>
      </c>
      <c r="C1695" s="1" t="s">
        <v>810</v>
      </c>
      <c r="D1695" s="1" t="s">
        <v>836</v>
      </c>
      <c r="E1695" s="1">
        <v>0.0</v>
      </c>
      <c r="F1695" s="1">
        <v>0.0</v>
      </c>
      <c r="G1695" s="1" t="s">
        <v>809</v>
      </c>
      <c r="H1695" s="1" t="s">
        <v>809</v>
      </c>
      <c r="I1695" s="1" t="s">
        <v>809</v>
      </c>
      <c r="J1695" s="1" t="s">
        <v>809</v>
      </c>
      <c r="K1695" s="1">
        <v>1.0</v>
      </c>
      <c r="L1695" s="1">
        <v>50000.0</v>
      </c>
    </row>
    <row r="1696">
      <c r="A1696" s="1">
        <v>621.0</v>
      </c>
      <c r="B1696" s="1" t="s">
        <v>806</v>
      </c>
      <c r="C1696" s="1" t="s">
        <v>809</v>
      </c>
      <c r="D1696" s="1" t="s">
        <v>957</v>
      </c>
      <c r="E1696" s="1" t="s">
        <v>809</v>
      </c>
      <c r="F1696" s="1" t="s">
        <v>809</v>
      </c>
      <c r="G1696" s="1" t="s">
        <v>809</v>
      </c>
      <c r="H1696" s="1" t="s">
        <v>809</v>
      </c>
      <c r="I1696" s="1" t="s">
        <v>809</v>
      </c>
      <c r="J1696" s="1" t="s">
        <v>809</v>
      </c>
      <c r="K1696" s="1">
        <v>1.0</v>
      </c>
      <c r="L1696" s="1">
        <v>110000.0</v>
      </c>
    </row>
    <row r="1697">
      <c r="A1697" s="1">
        <v>622.0</v>
      </c>
      <c r="B1697" s="1" t="s">
        <v>809</v>
      </c>
      <c r="C1697" s="1" t="s">
        <v>809</v>
      </c>
      <c r="D1697" s="1" t="s">
        <v>1073</v>
      </c>
      <c r="E1697" s="1" t="s">
        <v>809</v>
      </c>
      <c r="F1697" s="1" t="s">
        <v>809</v>
      </c>
      <c r="G1697" s="1" t="s">
        <v>809</v>
      </c>
      <c r="H1697" s="1" t="s">
        <v>809</v>
      </c>
      <c r="I1697" s="1" t="s">
        <v>809</v>
      </c>
      <c r="J1697" s="1" t="s">
        <v>809</v>
      </c>
      <c r="K1697" s="1">
        <v>1.0</v>
      </c>
      <c r="L1697" s="1">
        <v>220000.0</v>
      </c>
    </row>
    <row r="1698">
      <c r="A1698" s="1">
        <v>623.0</v>
      </c>
      <c r="B1698" s="1" t="s">
        <v>806</v>
      </c>
      <c r="C1698" s="1" t="s">
        <v>807</v>
      </c>
      <c r="D1698" s="1" t="s">
        <v>836</v>
      </c>
      <c r="E1698" s="1">
        <v>-2.5</v>
      </c>
      <c r="F1698" s="1">
        <v>-0.25</v>
      </c>
      <c r="G1698" s="1">
        <v>65.0</v>
      </c>
      <c r="H1698" s="1" t="s">
        <v>809</v>
      </c>
      <c r="I1698" s="1">
        <v>32.0</v>
      </c>
      <c r="J1698" s="1">
        <v>26.0</v>
      </c>
      <c r="K1698" s="1">
        <v>1.0</v>
      </c>
      <c r="L1698" s="1">
        <v>55853.0</v>
      </c>
    </row>
    <row r="1699">
      <c r="A1699" s="1">
        <v>623.0</v>
      </c>
      <c r="B1699" s="1" t="s">
        <v>806</v>
      </c>
      <c r="C1699" s="1" t="s">
        <v>810</v>
      </c>
      <c r="D1699" s="1" t="s">
        <v>836</v>
      </c>
      <c r="E1699" s="1">
        <v>-2.0</v>
      </c>
      <c r="F1699" s="1">
        <v>-0.5</v>
      </c>
      <c r="G1699" s="1">
        <v>120.0</v>
      </c>
      <c r="H1699" s="1" t="s">
        <v>809</v>
      </c>
      <c r="I1699" s="1">
        <v>32.0</v>
      </c>
      <c r="J1699" s="1">
        <v>26.0</v>
      </c>
      <c r="K1699" s="1">
        <v>1.0</v>
      </c>
      <c r="L1699" s="1">
        <v>55853.0</v>
      </c>
    </row>
    <row r="1700">
      <c r="A1700" s="1">
        <v>623.0</v>
      </c>
      <c r="B1700" s="1" t="s">
        <v>806</v>
      </c>
      <c r="C1700" s="1" t="s">
        <v>809</v>
      </c>
      <c r="D1700" s="1" t="s">
        <v>915</v>
      </c>
      <c r="E1700" s="1" t="s">
        <v>809</v>
      </c>
      <c r="F1700" s="1" t="s">
        <v>809</v>
      </c>
      <c r="G1700" s="1" t="s">
        <v>809</v>
      </c>
      <c r="H1700" s="1" t="s">
        <v>809</v>
      </c>
      <c r="I1700" s="1" t="s">
        <v>809</v>
      </c>
      <c r="J1700" s="1" t="s">
        <v>809</v>
      </c>
      <c r="K1700" s="1">
        <v>1.0</v>
      </c>
      <c r="L1700" s="1">
        <v>100000.0</v>
      </c>
    </row>
    <row r="1701">
      <c r="A1701" s="1">
        <v>624.0</v>
      </c>
      <c r="B1701" s="1" t="s">
        <v>806</v>
      </c>
      <c r="C1701" s="1" t="s">
        <v>807</v>
      </c>
      <c r="D1701" s="1" t="s">
        <v>836</v>
      </c>
      <c r="E1701" s="1">
        <v>-3.5</v>
      </c>
      <c r="F1701" s="1">
        <v>-1.0</v>
      </c>
      <c r="G1701" s="1">
        <v>15.0</v>
      </c>
      <c r="H1701" s="1" t="s">
        <v>809</v>
      </c>
      <c r="I1701" s="1">
        <v>30.5</v>
      </c>
      <c r="J1701" s="1">
        <v>27.0</v>
      </c>
      <c r="K1701" s="1">
        <v>1.0</v>
      </c>
      <c r="L1701" s="1">
        <v>75000.0</v>
      </c>
    </row>
    <row r="1702">
      <c r="A1702" s="1">
        <v>624.0</v>
      </c>
      <c r="B1702" s="1" t="s">
        <v>806</v>
      </c>
      <c r="C1702" s="1" t="s">
        <v>810</v>
      </c>
      <c r="D1702" s="1" t="s">
        <v>836</v>
      </c>
      <c r="E1702" s="1">
        <v>-4.5</v>
      </c>
      <c r="F1702" s="1">
        <v>-1.0</v>
      </c>
      <c r="G1702" s="1">
        <v>170.0</v>
      </c>
      <c r="H1702" s="1" t="s">
        <v>809</v>
      </c>
      <c r="I1702" s="1">
        <v>32.0</v>
      </c>
      <c r="J1702" s="1">
        <v>27.0</v>
      </c>
      <c r="K1702" s="1">
        <v>1.0</v>
      </c>
      <c r="L1702" s="1">
        <v>75000.0</v>
      </c>
    </row>
    <row r="1703">
      <c r="A1703" s="1">
        <v>624.0</v>
      </c>
      <c r="B1703" s="1" t="s">
        <v>806</v>
      </c>
      <c r="C1703" s="1" t="s">
        <v>809</v>
      </c>
      <c r="D1703" s="1" t="s">
        <v>1074</v>
      </c>
      <c r="E1703" s="1" t="s">
        <v>809</v>
      </c>
      <c r="F1703" s="1" t="s">
        <v>809</v>
      </c>
      <c r="G1703" s="1" t="s">
        <v>809</v>
      </c>
      <c r="H1703" s="1" t="s">
        <v>809</v>
      </c>
      <c r="I1703" s="1" t="s">
        <v>809</v>
      </c>
      <c r="J1703" s="1" t="s">
        <v>809</v>
      </c>
      <c r="K1703" s="1">
        <v>1.0</v>
      </c>
      <c r="L1703" s="1">
        <v>187200.0</v>
      </c>
    </row>
    <row r="1704">
      <c r="A1704" s="1">
        <v>625.0</v>
      </c>
      <c r="B1704" s="1" t="s">
        <v>806</v>
      </c>
      <c r="C1704" s="1" t="s">
        <v>807</v>
      </c>
      <c r="D1704" s="1" t="s">
        <v>836</v>
      </c>
      <c r="E1704" s="1">
        <v>-5.0</v>
      </c>
      <c r="F1704" s="1">
        <v>-1.0</v>
      </c>
      <c r="G1704" s="1">
        <v>140.0</v>
      </c>
      <c r="H1704" s="1" t="s">
        <v>809</v>
      </c>
      <c r="I1704" s="1">
        <v>30.0</v>
      </c>
      <c r="J1704" s="1">
        <v>26.0</v>
      </c>
      <c r="K1704" s="1">
        <v>1.0</v>
      </c>
      <c r="L1704" s="1">
        <v>75000.0</v>
      </c>
    </row>
    <row r="1705">
      <c r="A1705" s="1">
        <v>625.0</v>
      </c>
      <c r="B1705" s="1" t="s">
        <v>806</v>
      </c>
      <c r="C1705" s="1" t="s">
        <v>810</v>
      </c>
      <c r="D1705" s="1" t="s">
        <v>836</v>
      </c>
      <c r="E1705" s="1">
        <v>-4.75</v>
      </c>
      <c r="F1705" s="1">
        <v>-1.0</v>
      </c>
      <c r="G1705" s="1">
        <v>180.0</v>
      </c>
      <c r="H1705" s="1" t="s">
        <v>809</v>
      </c>
      <c r="I1705" s="1">
        <v>32.0</v>
      </c>
      <c r="J1705" s="1">
        <v>26.0</v>
      </c>
      <c r="K1705" s="1">
        <v>1.0</v>
      </c>
      <c r="L1705" s="1">
        <v>75000.0</v>
      </c>
    </row>
    <row r="1706">
      <c r="A1706" s="1">
        <v>625.0</v>
      </c>
      <c r="B1706" s="1" t="s">
        <v>806</v>
      </c>
      <c r="C1706" s="1" t="s">
        <v>809</v>
      </c>
      <c r="D1706" s="1" t="s">
        <v>929</v>
      </c>
      <c r="E1706" s="1" t="s">
        <v>809</v>
      </c>
      <c r="F1706" s="1" t="s">
        <v>809</v>
      </c>
      <c r="G1706" s="1" t="s">
        <v>809</v>
      </c>
      <c r="H1706" s="1" t="s">
        <v>809</v>
      </c>
      <c r="I1706" s="1" t="s">
        <v>809</v>
      </c>
      <c r="J1706" s="1" t="s">
        <v>809</v>
      </c>
      <c r="K1706" s="1">
        <v>1.0</v>
      </c>
      <c r="L1706" s="1">
        <v>150000.0</v>
      </c>
    </row>
    <row r="1707">
      <c r="A1707" s="1">
        <v>626.0</v>
      </c>
      <c r="B1707" s="1" t="s">
        <v>806</v>
      </c>
      <c r="C1707" s="1" t="s">
        <v>807</v>
      </c>
      <c r="D1707" s="1" t="s">
        <v>819</v>
      </c>
      <c r="E1707" s="1">
        <v>0.0</v>
      </c>
      <c r="F1707" s="1">
        <v>0.0</v>
      </c>
      <c r="G1707" s="1" t="s">
        <v>809</v>
      </c>
      <c r="H1707" s="1" t="s">
        <v>809</v>
      </c>
      <c r="I1707" s="1" t="s">
        <v>809</v>
      </c>
      <c r="J1707" s="1" t="s">
        <v>809</v>
      </c>
      <c r="K1707" s="1">
        <v>1.0</v>
      </c>
      <c r="L1707" s="1">
        <v>50000.0</v>
      </c>
    </row>
    <row r="1708">
      <c r="A1708" s="1">
        <v>626.0</v>
      </c>
      <c r="B1708" s="1" t="s">
        <v>806</v>
      </c>
      <c r="C1708" s="1" t="s">
        <v>810</v>
      </c>
      <c r="D1708" s="1" t="s">
        <v>819</v>
      </c>
      <c r="E1708" s="1">
        <v>0.0</v>
      </c>
      <c r="F1708" s="1">
        <v>0.0</v>
      </c>
      <c r="G1708" s="1" t="s">
        <v>809</v>
      </c>
      <c r="H1708" s="1" t="s">
        <v>809</v>
      </c>
      <c r="I1708" s="1" t="s">
        <v>809</v>
      </c>
      <c r="J1708" s="1" t="s">
        <v>809</v>
      </c>
      <c r="K1708" s="1">
        <v>1.0</v>
      </c>
      <c r="L1708" s="1">
        <v>50000.0</v>
      </c>
    </row>
    <row r="1709">
      <c r="A1709" s="1">
        <v>626.0</v>
      </c>
      <c r="B1709" s="1" t="s">
        <v>806</v>
      </c>
      <c r="C1709" s="1" t="s">
        <v>809</v>
      </c>
      <c r="D1709" s="1" t="s">
        <v>962</v>
      </c>
      <c r="E1709" s="1" t="s">
        <v>809</v>
      </c>
      <c r="F1709" s="1" t="s">
        <v>809</v>
      </c>
      <c r="G1709" s="1" t="s">
        <v>809</v>
      </c>
      <c r="H1709" s="1" t="s">
        <v>809</v>
      </c>
      <c r="I1709" s="1" t="s">
        <v>809</v>
      </c>
      <c r="J1709" s="1" t="s">
        <v>809</v>
      </c>
      <c r="K1709" s="1">
        <v>1.0</v>
      </c>
      <c r="L1709" s="1">
        <v>206000.0</v>
      </c>
    </row>
    <row r="1710">
      <c r="A1710" s="1">
        <v>627.0</v>
      </c>
      <c r="B1710" s="1" t="s">
        <v>806</v>
      </c>
      <c r="C1710" s="1" t="s">
        <v>807</v>
      </c>
      <c r="D1710" s="1" t="s">
        <v>812</v>
      </c>
      <c r="E1710" s="1">
        <v>-0.75</v>
      </c>
      <c r="F1710" s="1">
        <v>-0.75</v>
      </c>
      <c r="G1710" s="1">
        <v>100.0</v>
      </c>
      <c r="H1710" s="1" t="s">
        <v>809</v>
      </c>
      <c r="I1710" s="1">
        <v>30.0</v>
      </c>
      <c r="J1710" s="1" t="s">
        <v>809</v>
      </c>
      <c r="K1710" s="1">
        <v>1.0</v>
      </c>
      <c r="L1710" s="1">
        <v>34000.0</v>
      </c>
    </row>
    <row r="1711">
      <c r="A1711" s="1">
        <v>627.0</v>
      </c>
      <c r="B1711" s="1" t="s">
        <v>806</v>
      </c>
      <c r="C1711" s="1" t="s">
        <v>810</v>
      </c>
      <c r="D1711" s="1" t="s">
        <v>812</v>
      </c>
      <c r="E1711" s="1">
        <v>-0.75</v>
      </c>
      <c r="F1711" s="1">
        <v>-0.5</v>
      </c>
      <c r="G1711" s="1">
        <v>70.0</v>
      </c>
      <c r="H1711" s="1" t="s">
        <v>809</v>
      </c>
      <c r="I1711" s="1">
        <v>30.0</v>
      </c>
      <c r="J1711" s="1" t="s">
        <v>809</v>
      </c>
      <c r="K1711" s="1">
        <v>1.0</v>
      </c>
      <c r="L1711" s="1">
        <v>34000.0</v>
      </c>
    </row>
    <row r="1712">
      <c r="A1712" s="1">
        <v>627.0</v>
      </c>
      <c r="B1712" s="1" t="s">
        <v>806</v>
      </c>
      <c r="C1712" s="1" t="s">
        <v>809</v>
      </c>
      <c r="D1712" s="1" t="s">
        <v>980</v>
      </c>
      <c r="E1712" s="1" t="s">
        <v>809</v>
      </c>
      <c r="F1712" s="1" t="s">
        <v>809</v>
      </c>
      <c r="G1712" s="1" t="s">
        <v>809</v>
      </c>
      <c r="H1712" s="1" t="s">
        <v>809</v>
      </c>
      <c r="I1712" s="1" t="s">
        <v>809</v>
      </c>
      <c r="J1712" s="1" t="s">
        <v>809</v>
      </c>
      <c r="K1712" s="1">
        <v>1.0</v>
      </c>
      <c r="L1712" s="1">
        <v>197000.0</v>
      </c>
    </row>
    <row r="1713">
      <c r="A1713" s="1">
        <v>628.0</v>
      </c>
      <c r="B1713" s="1" t="s">
        <v>806</v>
      </c>
      <c r="C1713" s="1" t="s">
        <v>807</v>
      </c>
      <c r="D1713" s="1" t="s">
        <v>1044</v>
      </c>
      <c r="E1713" s="1">
        <v>0.0</v>
      </c>
      <c r="F1713" s="1">
        <v>0.0</v>
      </c>
      <c r="G1713" s="1" t="s">
        <v>809</v>
      </c>
      <c r="H1713" s="1" t="s">
        <v>809</v>
      </c>
      <c r="I1713" s="1" t="s">
        <v>809</v>
      </c>
      <c r="J1713" s="1" t="s">
        <v>809</v>
      </c>
      <c r="K1713" s="1">
        <v>1.0</v>
      </c>
      <c r="L1713" s="1">
        <v>484800.0</v>
      </c>
    </row>
    <row r="1714">
      <c r="A1714" s="1">
        <v>628.0</v>
      </c>
      <c r="B1714" s="1" t="s">
        <v>806</v>
      </c>
      <c r="C1714" s="1" t="s">
        <v>810</v>
      </c>
      <c r="D1714" s="1" t="s">
        <v>1044</v>
      </c>
      <c r="E1714" s="1">
        <v>0.0</v>
      </c>
      <c r="F1714" s="1">
        <v>0.0</v>
      </c>
      <c r="G1714" s="1" t="s">
        <v>809</v>
      </c>
      <c r="H1714" s="1" t="s">
        <v>809</v>
      </c>
      <c r="I1714" s="1" t="s">
        <v>809</v>
      </c>
      <c r="J1714" s="1" t="s">
        <v>809</v>
      </c>
      <c r="K1714" s="1">
        <v>1.0</v>
      </c>
      <c r="L1714" s="1">
        <v>484800.0</v>
      </c>
    </row>
    <row r="1715">
      <c r="A1715" s="1">
        <v>628.0</v>
      </c>
      <c r="B1715" s="1" t="s">
        <v>806</v>
      </c>
      <c r="C1715" s="1" t="s">
        <v>809</v>
      </c>
      <c r="D1715" s="1" t="s">
        <v>912</v>
      </c>
      <c r="E1715" s="1" t="s">
        <v>809</v>
      </c>
      <c r="F1715" s="1" t="s">
        <v>809</v>
      </c>
      <c r="G1715" s="1" t="s">
        <v>809</v>
      </c>
      <c r="H1715" s="1" t="s">
        <v>809</v>
      </c>
      <c r="I1715" s="1" t="s">
        <v>809</v>
      </c>
      <c r="J1715" s="1" t="s">
        <v>809</v>
      </c>
      <c r="K1715" s="1">
        <v>1.0</v>
      </c>
      <c r="L1715" s="1">
        <v>140000.0</v>
      </c>
    </row>
    <row r="1716">
      <c r="A1716" s="1">
        <v>629.0</v>
      </c>
      <c r="B1716" s="1" t="s">
        <v>825</v>
      </c>
      <c r="C1716" s="1" t="s">
        <v>807</v>
      </c>
      <c r="D1716" s="1" t="s">
        <v>836</v>
      </c>
      <c r="E1716" s="1">
        <v>1.75</v>
      </c>
      <c r="F1716" s="1">
        <v>-0.5</v>
      </c>
      <c r="G1716" s="1">
        <v>170.0</v>
      </c>
      <c r="H1716" s="1" t="s">
        <v>809</v>
      </c>
      <c r="I1716" s="1">
        <v>31.0</v>
      </c>
      <c r="J1716" s="1">
        <v>24.0</v>
      </c>
      <c r="K1716" s="1">
        <v>1.0</v>
      </c>
      <c r="L1716" s="1">
        <v>63500.0</v>
      </c>
    </row>
    <row r="1717">
      <c r="A1717" s="1">
        <v>629.0</v>
      </c>
      <c r="B1717" s="1" t="s">
        <v>825</v>
      </c>
      <c r="C1717" s="1" t="s">
        <v>810</v>
      </c>
      <c r="D1717" s="1" t="s">
        <v>836</v>
      </c>
      <c r="E1717" s="1">
        <v>2.0</v>
      </c>
      <c r="F1717" s="1">
        <v>-0.75</v>
      </c>
      <c r="G1717" s="1">
        <v>180.0</v>
      </c>
      <c r="H1717" s="1" t="s">
        <v>809</v>
      </c>
      <c r="I1717" s="1">
        <v>30.0</v>
      </c>
      <c r="J1717" s="1">
        <v>24.0</v>
      </c>
      <c r="K1717" s="1">
        <v>1.0</v>
      </c>
      <c r="L1717" s="1">
        <v>63500.0</v>
      </c>
    </row>
    <row r="1718">
      <c r="A1718" s="1">
        <v>630.0</v>
      </c>
      <c r="B1718" s="1" t="s">
        <v>806</v>
      </c>
      <c r="C1718" s="1" t="s">
        <v>807</v>
      </c>
      <c r="D1718" s="1" t="s">
        <v>1060</v>
      </c>
      <c r="E1718" s="1">
        <v>0.0</v>
      </c>
      <c r="F1718" s="1">
        <v>0.0</v>
      </c>
      <c r="G1718" s="1" t="s">
        <v>809</v>
      </c>
      <c r="H1718" s="1" t="s">
        <v>809</v>
      </c>
      <c r="I1718" s="1" t="s">
        <v>809</v>
      </c>
      <c r="J1718" s="1" t="s">
        <v>809</v>
      </c>
      <c r="K1718" s="1">
        <v>1.0</v>
      </c>
      <c r="L1718" s="1">
        <v>47507.37</v>
      </c>
    </row>
    <row r="1719">
      <c r="A1719" s="1">
        <v>630.0</v>
      </c>
      <c r="B1719" s="1" t="s">
        <v>806</v>
      </c>
      <c r="C1719" s="1" t="s">
        <v>810</v>
      </c>
      <c r="D1719" s="1" t="s">
        <v>1060</v>
      </c>
      <c r="E1719" s="1">
        <v>0.0</v>
      </c>
      <c r="F1719" s="1">
        <v>0.0</v>
      </c>
      <c r="G1719" s="1" t="s">
        <v>809</v>
      </c>
      <c r="H1719" s="1" t="s">
        <v>809</v>
      </c>
      <c r="I1719" s="1" t="s">
        <v>809</v>
      </c>
      <c r="J1719" s="1" t="s">
        <v>809</v>
      </c>
      <c r="K1719" s="1">
        <v>1.0</v>
      </c>
      <c r="L1719" s="1">
        <v>47507.37</v>
      </c>
    </row>
    <row r="1720">
      <c r="A1720" s="1">
        <v>630.0</v>
      </c>
      <c r="B1720" s="1" t="s">
        <v>806</v>
      </c>
      <c r="C1720" s="1" t="s">
        <v>809</v>
      </c>
      <c r="D1720" s="1" t="s">
        <v>957</v>
      </c>
      <c r="E1720" s="1" t="s">
        <v>809</v>
      </c>
      <c r="F1720" s="1" t="s">
        <v>809</v>
      </c>
      <c r="G1720" s="1" t="s">
        <v>809</v>
      </c>
      <c r="H1720" s="1" t="s">
        <v>809</v>
      </c>
      <c r="I1720" s="1" t="s">
        <v>809</v>
      </c>
      <c r="J1720" s="1" t="s">
        <v>809</v>
      </c>
      <c r="K1720" s="1">
        <v>1.0</v>
      </c>
      <c r="L1720" s="1">
        <v>135000.0</v>
      </c>
    </row>
    <row r="1721">
      <c r="A1721" s="1">
        <v>631.0</v>
      </c>
      <c r="B1721" s="1" t="s">
        <v>806</v>
      </c>
      <c r="C1721" s="1" t="s">
        <v>807</v>
      </c>
      <c r="D1721" s="1" t="s">
        <v>826</v>
      </c>
      <c r="E1721" s="1">
        <v>2.0</v>
      </c>
      <c r="F1721" s="1">
        <v>0.0</v>
      </c>
      <c r="G1721" s="1" t="s">
        <v>809</v>
      </c>
      <c r="H1721" s="1" t="s">
        <v>809</v>
      </c>
      <c r="I1721" s="1">
        <v>30.0</v>
      </c>
      <c r="J1721" s="1">
        <v>26.0</v>
      </c>
      <c r="K1721" s="1">
        <v>1.0</v>
      </c>
      <c r="L1721" s="1">
        <v>20000.0</v>
      </c>
    </row>
    <row r="1722">
      <c r="A1722" s="1">
        <v>631.0</v>
      </c>
      <c r="B1722" s="1" t="s">
        <v>806</v>
      </c>
      <c r="C1722" s="1" t="s">
        <v>810</v>
      </c>
      <c r="D1722" s="1" t="s">
        <v>826</v>
      </c>
      <c r="E1722" s="1">
        <v>2.0</v>
      </c>
      <c r="F1722" s="1">
        <v>0.0</v>
      </c>
      <c r="G1722" s="1" t="s">
        <v>809</v>
      </c>
      <c r="H1722" s="1" t="s">
        <v>809</v>
      </c>
      <c r="I1722" s="1">
        <v>30.0</v>
      </c>
      <c r="J1722" s="1">
        <v>26.0</v>
      </c>
      <c r="K1722" s="1">
        <v>1.0</v>
      </c>
      <c r="L1722" s="1">
        <v>20000.0</v>
      </c>
    </row>
    <row r="1723">
      <c r="A1723" s="1">
        <v>631.0</v>
      </c>
      <c r="B1723" s="1" t="s">
        <v>806</v>
      </c>
      <c r="C1723" s="1" t="s">
        <v>809</v>
      </c>
      <c r="D1723" s="1" t="s">
        <v>912</v>
      </c>
      <c r="E1723" s="1" t="s">
        <v>809</v>
      </c>
      <c r="F1723" s="1" t="s">
        <v>809</v>
      </c>
      <c r="G1723" s="1" t="s">
        <v>809</v>
      </c>
      <c r="H1723" s="1" t="s">
        <v>809</v>
      </c>
      <c r="I1723" s="1" t="s">
        <v>809</v>
      </c>
      <c r="J1723" s="1" t="s">
        <v>809</v>
      </c>
      <c r="K1723" s="1">
        <v>1.0</v>
      </c>
      <c r="L1723" s="1">
        <v>80000.0</v>
      </c>
    </row>
    <row r="1724">
      <c r="A1724" s="1">
        <v>632.0</v>
      </c>
      <c r="B1724" s="1" t="s">
        <v>806</v>
      </c>
      <c r="C1724" s="1" t="s">
        <v>807</v>
      </c>
      <c r="D1724" s="1" t="s">
        <v>812</v>
      </c>
      <c r="E1724" s="1">
        <v>0.0</v>
      </c>
      <c r="F1724" s="1">
        <v>0.0</v>
      </c>
      <c r="G1724" s="1" t="s">
        <v>809</v>
      </c>
      <c r="H1724" s="1" t="s">
        <v>809</v>
      </c>
      <c r="I1724" s="1" t="s">
        <v>809</v>
      </c>
      <c r="J1724" s="1" t="s">
        <v>809</v>
      </c>
      <c r="K1724" s="1">
        <v>1.0</v>
      </c>
      <c r="L1724" s="1">
        <v>57000.0</v>
      </c>
    </row>
    <row r="1725">
      <c r="A1725" s="1">
        <v>632.0</v>
      </c>
      <c r="B1725" s="1" t="s">
        <v>806</v>
      </c>
      <c r="C1725" s="1" t="s">
        <v>810</v>
      </c>
      <c r="D1725" s="1" t="s">
        <v>812</v>
      </c>
      <c r="E1725" s="1">
        <v>0.0</v>
      </c>
      <c r="F1725" s="1">
        <v>0.0</v>
      </c>
      <c r="G1725" s="1" t="s">
        <v>809</v>
      </c>
      <c r="H1725" s="1" t="s">
        <v>809</v>
      </c>
      <c r="I1725" s="1" t="s">
        <v>809</v>
      </c>
      <c r="J1725" s="1" t="s">
        <v>809</v>
      </c>
      <c r="K1725" s="1">
        <v>1.0</v>
      </c>
      <c r="L1725" s="1">
        <v>0.0</v>
      </c>
    </row>
    <row r="1726">
      <c r="A1726" s="1">
        <v>632.0</v>
      </c>
      <c r="B1726" s="1" t="s">
        <v>806</v>
      </c>
      <c r="C1726" s="1" t="s">
        <v>809</v>
      </c>
      <c r="D1726" s="1" t="s">
        <v>915</v>
      </c>
      <c r="E1726" s="1" t="s">
        <v>809</v>
      </c>
      <c r="F1726" s="1" t="s">
        <v>809</v>
      </c>
      <c r="G1726" s="1" t="s">
        <v>809</v>
      </c>
      <c r="H1726" s="1" t="s">
        <v>809</v>
      </c>
      <c r="I1726" s="1" t="s">
        <v>809</v>
      </c>
      <c r="J1726" s="1" t="s">
        <v>809</v>
      </c>
      <c r="K1726" s="1">
        <v>1.0</v>
      </c>
      <c r="L1726" s="1">
        <v>120000.0</v>
      </c>
    </row>
    <row r="1727">
      <c r="A1727" s="1">
        <v>633.0</v>
      </c>
      <c r="B1727" s="1" t="s">
        <v>809</v>
      </c>
      <c r="C1727" s="1" t="s">
        <v>809</v>
      </c>
      <c r="D1727" s="1" t="s">
        <v>828</v>
      </c>
      <c r="E1727" s="1" t="s">
        <v>809</v>
      </c>
      <c r="F1727" s="1" t="s">
        <v>809</v>
      </c>
      <c r="G1727" s="1" t="s">
        <v>809</v>
      </c>
      <c r="H1727" s="1" t="s">
        <v>809</v>
      </c>
      <c r="I1727" s="1" t="s">
        <v>809</v>
      </c>
      <c r="J1727" s="1" t="s">
        <v>809</v>
      </c>
      <c r="K1727" s="1">
        <v>1.0</v>
      </c>
      <c r="L1727" s="1">
        <v>166900.0</v>
      </c>
    </row>
    <row r="1728">
      <c r="A1728" s="1">
        <v>633.0</v>
      </c>
      <c r="B1728" s="1" t="s">
        <v>809</v>
      </c>
      <c r="C1728" s="1" t="s">
        <v>809</v>
      </c>
      <c r="D1728" s="1" t="s">
        <v>856</v>
      </c>
      <c r="E1728" s="1" t="s">
        <v>809</v>
      </c>
      <c r="F1728" s="1" t="s">
        <v>809</v>
      </c>
      <c r="G1728" s="1" t="s">
        <v>809</v>
      </c>
      <c r="H1728" s="1" t="s">
        <v>809</v>
      </c>
      <c r="I1728" s="1" t="s">
        <v>809</v>
      </c>
      <c r="J1728" s="1" t="s">
        <v>809</v>
      </c>
      <c r="K1728" s="1">
        <v>1.0</v>
      </c>
      <c r="L1728" s="1">
        <v>0.0</v>
      </c>
    </row>
    <row r="1729">
      <c r="A1729" s="1">
        <v>634.0</v>
      </c>
      <c r="B1729" s="1" t="s">
        <v>806</v>
      </c>
      <c r="C1729" s="1" t="s">
        <v>807</v>
      </c>
      <c r="D1729" s="1" t="s">
        <v>836</v>
      </c>
      <c r="E1729" s="1">
        <v>0.0</v>
      </c>
      <c r="F1729" s="1">
        <v>-0.25</v>
      </c>
      <c r="G1729" s="1">
        <v>90.0</v>
      </c>
      <c r="H1729" s="1" t="s">
        <v>809</v>
      </c>
      <c r="I1729" s="1">
        <v>30.0</v>
      </c>
      <c r="J1729" s="1" t="s">
        <v>809</v>
      </c>
      <c r="K1729" s="1">
        <v>1.0</v>
      </c>
      <c r="L1729" s="1">
        <v>55853.0</v>
      </c>
    </row>
    <row r="1730">
      <c r="A1730" s="1">
        <v>634.0</v>
      </c>
      <c r="B1730" s="1" t="s">
        <v>806</v>
      </c>
      <c r="C1730" s="1" t="s">
        <v>810</v>
      </c>
      <c r="D1730" s="1" t="s">
        <v>836</v>
      </c>
      <c r="E1730" s="1">
        <v>0.0</v>
      </c>
      <c r="F1730" s="1">
        <v>-0.25</v>
      </c>
      <c r="G1730" s="1">
        <v>80.0</v>
      </c>
      <c r="H1730" s="1" t="s">
        <v>809</v>
      </c>
      <c r="I1730" s="1">
        <v>30.0</v>
      </c>
      <c r="J1730" s="1" t="s">
        <v>809</v>
      </c>
      <c r="K1730" s="1">
        <v>1.0</v>
      </c>
      <c r="L1730" s="1">
        <v>55853.0</v>
      </c>
    </row>
    <row r="1731">
      <c r="A1731" s="1">
        <v>634.0</v>
      </c>
      <c r="B1731" s="1" t="s">
        <v>806</v>
      </c>
      <c r="C1731" s="1" t="s">
        <v>809</v>
      </c>
      <c r="D1731" s="1" t="s">
        <v>929</v>
      </c>
      <c r="E1731" s="1" t="s">
        <v>809</v>
      </c>
      <c r="F1731" s="1" t="s">
        <v>809</v>
      </c>
      <c r="G1731" s="1" t="s">
        <v>809</v>
      </c>
      <c r="H1731" s="1" t="s">
        <v>809</v>
      </c>
      <c r="I1731" s="1" t="s">
        <v>809</v>
      </c>
      <c r="J1731" s="1" t="s">
        <v>809</v>
      </c>
      <c r="K1731" s="1">
        <v>1.0</v>
      </c>
      <c r="L1731" s="1">
        <v>150000.0</v>
      </c>
    </row>
    <row r="1732">
      <c r="A1732" s="1">
        <v>635.0</v>
      </c>
      <c r="B1732" s="1" t="s">
        <v>809</v>
      </c>
      <c r="C1732" s="1" t="s">
        <v>809</v>
      </c>
      <c r="D1732" s="1" t="s">
        <v>929</v>
      </c>
      <c r="E1732" s="1" t="s">
        <v>809</v>
      </c>
      <c r="F1732" s="1" t="s">
        <v>809</v>
      </c>
      <c r="G1732" s="1" t="s">
        <v>809</v>
      </c>
      <c r="H1732" s="1" t="s">
        <v>809</v>
      </c>
      <c r="I1732" s="1" t="s">
        <v>809</v>
      </c>
      <c r="J1732" s="1" t="s">
        <v>809</v>
      </c>
      <c r="K1732" s="1">
        <v>1.0</v>
      </c>
      <c r="L1732" s="1">
        <v>96000.0</v>
      </c>
    </row>
    <row r="1733">
      <c r="A1733" s="1">
        <v>636.0</v>
      </c>
      <c r="B1733" s="1" t="s">
        <v>809</v>
      </c>
      <c r="C1733" s="1" t="s">
        <v>809</v>
      </c>
      <c r="D1733" s="1" t="s">
        <v>880</v>
      </c>
      <c r="E1733" s="1" t="s">
        <v>809</v>
      </c>
      <c r="F1733" s="1" t="s">
        <v>809</v>
      </c>
      <c r="G1733" s="1" t="s">
        <v>809</v>
      </c>
      <c r="H1733" s="1" t="s">
        <v>809</v>
      </c>
      <c r="I1733" s="1" t="s">
        <v>809</v>
      </c>
      <c r="J1733" s="1" t="s">
        <v>809</v>
      </c>
      <c r="K1733" s="1">
        <v>1.0</v>
      </c>
      <c r="L1733" s="1">
        <v>46000.0</v>
      </c>
    </row>
    <row r="1734">
      <c r="A1734" s="1">
        <v>637.0</v>
      </c>
      <c r="B1734" s="1" t="s">
        <v>806</v>
      </c>
      <c r="C1734" s="1" t="s">
        <v>807</v>
      </c>
      <c r="D1734" s="1" t="s">
        <v>894</v>
      </c>
      <c r="E1734" s="1">
        <v>-1.75</v>
      </c>
      <c r="F1734" s="1">
        <v>0.0</v>
      </c>
      <c r="G1734" s="1" t="s">
        <v>809</v>
      </c>
      <c r="H1734" s="1" t="s">
        <v>809</v>
      </c>
      <c r="I1734" s="1" t="s">
        <v>809</v>
      </c>
      <c r="J1734" s="1" t="s">
        <v>809</v>
      </c>
      <c r="K1734" s="1">
        <v>1.0</v>
      </c>
      <c r="L1734" s="1">
        <v>165000.0</v>
      </c>
    </row>
    <row r="1735">
      <c r="A1735" s="1">
        <v>637.0</v>
      </c>
      <c r="B1735" s="1" t="s">
        <v>806</v>
      </c>
      <c r="C1735" s="1" t="s">
        <v>810</v>
      </c>
      <c r="D1735" s="1" t="s">
        <v>894</v>
      </c>
      <c r="E1735" s="1">
        <v>-1.75</v>
      </c>
      <c r="F1735" s="1">
        <v>-0.25</v>
      </c>
      <c r="G1735" s="1">
        <v>105.0</v>
      </c>
      <c r="H1735" s="1" t="s">
        <v>809</v>
      </c>
      <c r="I1735" s="1" t="s">
        <v>809</v>
      </c>
      <c r="J1735" s="1" t="s">
        <v>809</v>
      </c>
      <c r="K1735" s="1">
        <v>1.0</v>
      </c>
      <c r="L1735" s="1">
        <v>165000.0</v>
      </c>
    </row>
    <row r="1736">
      <c r="A1736" s="1">
        <v>638.0</v>
      </c>
      <c r="B1736" s="1" t="s">
        <v>806</v>
      </c>
      <c r="C1736" s="1" t="s">
        <v>807</v>
      </c>
      <c r="D1736" s="1" t="s">
        <v>812</v>
      </c>
      <c r="E1736" s="1">
        <v>-1.25</v>
      </c>
      <c r="F1736" s="1">
        <v>0.0</v>
      </c>
      <c r="G1736" s="1" t="s">
        <v>809</v>
      </c>
      <c r="H1736" s="1" t="s">
        <v>809</v>
      </c>
      <c r="I1736" s="1" t="s">
        <v>809</v>
      </c>
      <c r="J1736" s="1" t="s">
        <v>809</v>
      </c>
      <c r="K1736" s="1">
        <v>1.0</v>
      </c>
      <c r="L1736" s="1">
        <v>30613.0</v>
      </c>
    </row>
    <row r="1737">
      <c r="A1737" s="1">
        <v>638.0</v>
      </c>
      <c r="B1737" s="1" t="s">
        <v>806</v>
      </c>
      <c r="C1737" s="1" t="s">
        <v>810</v>
      </c>
      <c r="D1737" s="1" t="s">
        <v>812</v>
      </c>
      <c r="E1737" s="1">
        <v>-1.25</v>
      </c>
      <c r="F1737" s="1">
        <v>0.0</v>
      </c>
      <c r="G1737" s="1" t="s">
        <v>809</v>
      </c>
      <c r="H1737" s="1" t="s">
        <v>809</v>
      </c>
      <c r="I1737" s="1" t="s">
        <v>809</v>
      </c>
      <c r="J1737" s="1" t="s">
        <v>809</v>
      </c>
      <c r="K1737" s="1">
        <v>1.0</v>
      </c>
      <c r="L1737" s="1">
        <v>30613.0</v>
      </c>
    </row>
    <row r="1738">
      <c r="A1738" s="1">
        <v>638.0</v>
      </c>
      <c r="B1738" s="1" t="s">
        <v>806</v>
      </c>
      <c r="C1738" s="1" t="s">
        <v>809</v>
      </c>
      <c r="D1738" s="1" t="s">
        <v>929</v>
      </c>
      <c r="E1738" s="1" t="s">
        <v>809</v>
      </c>
      <c r="F1738" s="1" t="s">
        <v>809</v>
      </c>
      <c r="G1738" s="1" t="s">
        <v>809</v>
      </c>
      <c r="H1738" s="1" t="s">
        <v>809</v>
      </c>
      <c r="I1738" s="1" t="s">
        <v>809</v>
      </c>
      <c r="J1738" s="1" t="s">
        <v>809</v>
      </c>
      <c r="K1738" s="1">
        <v>1.0</v>
      </c>
      <c r="L1738" s="1">
        <v>120001.0</v>
      </c>
    </row>
    <row r="1739">
      <c r="A1739" s="1">
        <v>639.0</v>
      </c>
      <c r="B1739" s="1" t="s">
        <v>806</v>
      </c>
      <c r="C1739" s="1" t="s">
        <v>807</v>
      </c>
      <c r="D1739" s="1" t="s">
        <v>1041</v>
      </c>
      <c r="E1739" s="1">
        <v>-3.75</v>
      </c>
      <c r="F1739" s="1">
        <v>-3.5</v>
      </c>
      <c r="G1739" s="1">
        <v>0.0</v>
      </c>
      <c r="H1739" s="1" t="s">
        <v>809</v>
      </c>
      <c r="I1739" s="1">
        <v>30.0</v>
      </c>
      <c r="J1739" s="1" t="s">
        <v>809</v>
      </c>
      <c r="K1739" s="1">
        <v>1.0</v>
      </c>
      <c r="L1739" s="1">
        <v>314000.0</v>
      </c>
    </row>
    <row r="1740">
      <c r="A1740" s="1">
        <v>639.0</v>
      </c>
      <c r="B1740" s="1" t="s">
        <v>806</v>
      </c>
      <c r="C1740" s="1" t="s">
        <v>810</v>
      </c>
      <c r="D1740" s="1" t="s">
        <v>1041</v>
      </c>
      <c r="E1740" s="1">
        <v>-3.75</v>
      </c>
      <c r="F1740" s="1">
        <v>-3.5</v>
      </c>
      <c r="G1740" s="1">
        <v>0.0</v>
      </c>
      <c r="H1740" s="1" t="s">
        <v>809</v>
      </c>
      <c r="I1740" s="1">
        <v>32.0</v>
      </c>
      <c r="J1740" s="1" t="s">
        <v>809</v>
      </c>
      <c r="K1740" s="1">
        <v>1.0</v>
      </c>
      <c r="L1740" s="1">
        <v>0.0</v>
      </c>
    </row>
    <row r="1741">
      <c r="A1741" s="1">
        <v>639.0</v>
      </c>
      <c r="B1741" s="1" t="s">
        <v>806</v>
      </c>
      <c r="C1741" s="1" t="s">
        <v>809</v>
      </c>
      <c r="D1741" s="1" t="s">
        <v>929</v>
      </c>
      <c r="E1741" s="1" t="s">
        <v>809</v>
      </c>
      <c r="F1741" s="1" t="s">
        <v>809</v>
      </c>
      <c r="G1741" s="1" t="s">
        <v>809</v>
      </c>
      <c r="H1741" s="1" t="s">
        <v>809</v>
      </c>
      <c r="I1741" s="1" t="s">
        <v>809</v>
      </c>
      <c r="J1741" s="1" t="s">
        <v>809</v>
      </c>
      <c r="K1741" s="1">
        <v>1.0</v>
      </c>
      <c r="L1741" s="1">
        <v>140000.0</v>
      </c>
    </row>
    <row r="1742">
      <c r="A1742" s="1">
        <v>640.0</v>
      </c>
      <c r="B1742" s="1" t="s">
        <v>806</v>
      </c>
      <c r="C1742" s="1" t="s">
        <v>807</v>
      </c>
      <c r="D1742" s="1" t="s">
        <v>1041</v>
      </c>
      <c r="E1742" s="1">
        <v>-3.75</v>
      </c>
      <c r="F1742" s="1">
        <v>-3.5</v>
      </c>
      <c r="G1742" s="1">
        <v>1.0</v>
      </c>
      <c r="H1742" s="1" t="s">
        <v>809</v>
      </c>
      <c r="I1742" s="1">
        <v>30.0</v>
      </c>
      <c r="J1742" s="1" t="s">
        <v>809</v>
      </c>
      <c r="K1742" s="1">
        <v>1.0</v>
      </c>
      <c r="L1742" s="1">
        <v>314000.0</v>
      </c>
    </row>
    <row r="1743">
      <c r="A1743" s="1">
        <v>640.0</v>
      </c>
      <c r="B1743" s="1" t="s">
        <v>806</v>
      </c>
      <c r="C1743" s="1" t="s">
        <v>810</v>
      </c>
      <c r="D1743" s="1" t="s">
        <v>1041</v>
      </c>
      <c r="E1743" s="1">
        <v>-3.75</v>
      </c>
      <c r="F1743" s="1">
        <v>-3.5</v>
      </c>
      <c r="G1743" s="1">
        <v>1.0</v>
      </c>
      <c r="H1743" s="1" t="s">
        <v>809</v>
      </c>
      <c r="I1743" s="1">
        <v>32.0</v>
      </c>
      <c r="J1743" s="1" t="s">
        <v>809</v>
      </c>
      <c r="K1743" s="1">
        <v>1.0</v>
      </c>
      <c r="L1743" s="1">
        <v>0.0</v>
      </c>
    </row>
    <row r="1744">
      <c r="A1744" s="1">
        <v>640.0</v>
      </c>
      <c r="B1744" s="1" t="s">
        <v>806</v>
      </c>
      <c r="C1744" s="1" t="s">
        <v>809</v>
      </c>
      <c r="D1744" s="1" t="s">
        <v>929</v>
      </c>
      <c r="E1744" s="1" t="s">
        <v>809</v>
      </c>
      <c r="F1744" s="1" t="s">
        <v>809</v>
      </c>
      <c r="G1744" s="1" t="s">
        <v>809</v>
      </c>
      <c r="H1744" s="1" t="s">
        <v>809</v>
      </c>
      <c r="I1744" s="1" t="s">
        <v>809</v>
      </c>
      <c r="J1744" s="1" t="s">
        <v>809</v>
      </c>
      <c r="K1744" s="1">
        <v>1.0</v>
      </c>
      <c r="L1744" s="1">
        <v>195000.0</v>
      </c>
    </row>
    <row r="1745">
      <c r="A1745" s="1">
        <v>641.0</v>
      </c>
      <c r="B1745" s="1" t="s">
        <v>806</v>
      </c>
      <c r="C1745" s="1" t="s">
        <v>807</v>
      </c>
      <c r="D1745" s="1" t="s">
        <v>812</v>
      </c>
      <c r="E1745" s="1">
        <v>0.0</v>
      </c>
      <c r="F1745" s="1">
        <v>0.0</v>
      </c>
      <c r="G1745" s="1" t="s">
        <v>809</v>
      </c>
      <c r="H1745" s="1" t="s">
        <v>809</v>
      </c>
      <c r="I1745" s="1" t="s">
        <v>809</v>
      </c>
      <c r="J1745" s="1" t="s">
        <v>809</v>
      </c>
      <c r="K1745" s="1">
        <v>1.0</v>
      </c>
      <c r="L1745" s="1">
        <v>30000.0</v>
      </c>
    </row>
    <row r="1746">
      <c r="A1746" s="1">
        <v>641.0</v>
      </c>
      <c r="B1746" s="1" t="s">
        <v>806</v>
      </c>
      <c r="C1746" s="1" t="s">
        <v>810</v>
      </c>
      <c r="D1746" s="1" t="s">
        <v>812</v>
      </c>
      <c r="E1746" s="1">
        <v>0.0</v>
      </c>
      <c r="F1746" s="1">
        <v>0.0</v>
      </c>
      <c r="G1746" s="1" t="s">
        <v>809</v>
      </c>
      <c r="H1746" s="1" t="s">
        <v>809</v>
      </c>
      <c r="I1746" s="1" t="s">
        <v>809</v>
      </c>
      <c r="J1746" s="1" t="s">
        <v>809</v>
      </c>
      <c r="K1746" s="1">
        <v>1.0</v>
      </c>
      <c r="L1746" s="1">
        <v>30000.0</v>
      </c>
    </row>
    <row r="1747">
      <c r="A1747" s="1">
        <v>641.0</v>
      </c>
      <c r="B1747" s="1" t="s">
        <v>806</v>
      </c>
      <c r="C1747" s="1" t="s">
        <v>809</v>
      </c>
      <c r="D1747" s="1" t="s">
        <v>1075</v>
      </c>
      <c r="E1747" s="1" t="s">
        <v>809</v>
      </c>
      <c r="F1747" s="1" t="s">
        <v>809</v>
      </c>
      <c r="G1747" s="1" t="s">
        <v>809</v>
      </c>
      <c r="H1747" s="1" t="s">
        <v>809</v>
      </c>
      <c r="I1747" s="1" t="s">
        <v>809</v>
      </c>
      <c r="J1747" s="1" t="s">
        <v>809</v>
      </c>
      <c r="K1747" s="1">
        <v>1.0</v>
      </c>
      <c r="L1747" s="1">
        <v>140000.0</v>
      </c>
    </row>
    <row r="1748">
      <c r="A1748" s="1">
        <v>641.0</v>
      </c>
      <c r="B1748" s="1" t="s">
        <v>825</v>
      </c>
      <c r="C1748" s="1" t="s">
        <v>807</v>
      </c>
      <c r="D1748" s="1" t="s">
        <v>826</v>
      </c>
      <c r="E1748" s="1">
        <v>0.0</v>
      </c>
      <c r="F1748" s="1">
        <v>0.0</v>
      </c>
      <c r="G1748" s="1" t="s">
        <v>809</v>
      </c>
      <c r="H1748" s="1" t="s">
        <v>809</v>
      </c>
      <c r="I1748" s="1" t="s">
        <v>809</v>
      </c>
      <c r="J1748" s="1" t="s">
        <v>809</v>
      </c>
      <c r="K1748" s="1">
        <v>1.0</v>
      </c>
      <c r="L1748" s="1">
        <v>30000.0</v>
      </c>
    </row>
    <row r="1749">
      <c r="A1749" s="1">
        <v>641.0</v>
      </c>
      <c r="B1749" s="1" t="s">
        <v>825</v>
      </c>
      <c r="C1749" s="1" t="s">
        <v>810</v>
      </c>
      <c r="D1749" s="1" t="s">
        <v>826</v>
      </c>
      <c r="E1749" s="1">
        <v>0.0</v>
      </c>
      <c r="F1749" s="1">
        <v>0.0</v>
      </c>
      <c r="G1749" s="1" t="s">
        <v>809</v>
      </c>
      <c r="H1749" s="1" t="s">
        <v>809</v>
      </c>
      <c r="I1749" s="1" t="s">
        <v>809</v>
      </c>
      <c r="J1749" s="1" t="s">
        <v>809</v>
      </c>
      <c r="K1749" s="1">
        <v>1.0</v>
      </c>
      <c r="L1749" s="1">
        <v>0.0</v>
      </c>
    </row>
    <row r="1750">
      <c r="A1750" s="1">
        <v>641.0</v>
      </c>
      <c r="B1750" s="1" t="s">
        <v>825</v>
      </c>
      <c r="C1750" s="1" t="s">
        <v>809</v>
      </c>
      <c r="D1750" s="1" t="s">
        <v>929</v>
      </c>
      <c r="E1750" s="1" t="s">
        <v>809</v>
      </c>
      <c r="F1750" s="1" t="s">
        <v>809</v>
      </c>
      <c r="G1750" s="1" t="s">
        <v>809</v>
      </c>
      <c r="H1750" s="1" t="s">
        <v>809</v>
      </c>
      <c r="I1750" s="1" t="s">
        <v>809</v>
      </c>
      <c r="J1750" s="1" t="s">
        <v>809</v>
      </c>
      <c r="K1750" s="1">
        <v>1.0</v>
      </c>
      <c r="L1750" s="1">
        <v>60000.0</v>
      </c>
    </row>
    <row r="1751">
      <c r="A1751" s="1">
        <v>642.0</v>
      </c>
      <c r="B1751" s="1" t="s">
        <v>806</v>
      </c>
      <c r="C1751" s="1" t="s">
        <v>807</v>
      </c>
      <c r="D1751" s="1" t="s">
        <v>820</v>
      </c>
      <c r="E1751" s="1">
        <v>0.5</v>
      </c>
      <c r="F1751" s="1">
        <v>0.0</v>
      </c>
      <c r="G1751" s="1" t="s">
        <v>809</v>
      </c>
      <c r="H1751" s="1">
        <v>1.5</v>
      </c>
      <c r="I1751" s="1" t="s">
        <v>809</v>
      </c>
      <c r="J1751" s="1" t="s">
        <v>809</v>
      </c>
      <c r="K1751" s="1">
        <v>1.0</v>
      </c>
      <c r="L1751" s="1">
        <v>330000.0</v>
      </c>
    </row>
    <row r="1752">
      <c r="A1752" s="1">
        <v>642.0</v>
      </c>
      <c r="B1752" s="1" t="s">
        <v>806</v>
      </c>
      <c r="C1752" s="1" t="s">
        <v>810</v>
      </c>
      <c r="D1752" s="1" t="s">
        <v>820</v>
      </c>
      <c r="E1752" s="1">
        <v>1.0</v>
      </c>
      <c r="F1752" s="1">
        <v>-0.75</v>
      </c>
      <c r="G1752" s="1">
        <v>110.0</v>
      </c>
      <c r="H1752" s="1">
        <v>1.5</v>
      </c>
      <c r="I1752" s="1" t="s">
        <v>809</v>
      </c>
      <c r="J1752" s="1" t="s">
        <v>809</v>
      </c>
      <c r="K1752" s="1">
        <v>1.0</v>
      </c>
      <c r="L1752" s="1">
        <v>330000.0</v>
      </c>
    </row>
    <row r="1753">
      <c r="A1753" s="1">
        <v>642.0</v>
      </c>
      <c r="B1753" s="1" t="s">
        <v>806</v>
      </c>
      <c r="C1753" s="1" t="s">
        <v>809</v>
      </c>
      <c r="D1753" s="1" t="s">
        <v>829</v>
      </c>
      <c r="E1753" s="1" t="s">
        <v>809</v>
      </c>
      <c r="F1753" s="1" t="s">
        <v>809</v>
      </c>
      <c r="G1753" s="1" t="s">
        <v>809</v>
      </c>
      <c r="H1753" s="1" t="s">
        <v>809</v>
      </c>
      <c r="I1753" s="1" t="s">
        <v>809</v>
      </c>
      <c r="J1753" s="1" t="s">
        <v>809</v>
      </c>
      <c r="K1753" s="1">
        <v>1.0</v>
      </c>
      <c r="L1753" s="1">
        <v>170000.0</v>
      </c>
    </row>
    <row r="1754">
      <c r="A1754" s="1">
        <v>643.0</v>
      </c>
      <c r="B1754" s="1" t="s">
        <v>806</v>
      </c>
      <c r="C1754" s="1" t="s">
        <v>807</v>
      </c>
      <c r="D1754" s="1" t="s">
        <v>823</v>
      </c>
      <c r="E1754" s="1">
        <v>0.5</v>
      </c>
      <c r="F1754" s="1">
        <v>0.0</v>
      </c>
      <c r="G1754" s="1" t="s">
        <v>809</v>
      </c>
      <c r="H1754" s="1">
        <v>1.5</v>
      </c>
      <c r="I1754" s="1" t="s">
        <v>809</v>
      </c>
      <c r="J1754" s="1" t="s">
        <v>809</v>
      </c>
      <c r="K1754" s="1">
        <v>1.0</v>
      </c>
      <c r="L1754" s="1">
        <v>330000.0</v>
      </c>
    </row>
    <row r="1755">
      <c r="A1755" s="1">
        <v>643.0</v>
      </c>
      <c r="B1755" s="1" t="s">
        <v>806</v>
      </c>
      <c r="C1755" s="1" t="s">
        <v>810</v>
      </c>
      <c r="D1755" s="1" t="s">
        <v>823</v>
      </c>
      <c r="E1755" s="1">
        <v>1.0</v>
      </c>
      <c r="F1755" s="1">
        <v>-0.75</v>
      </c>
      <c r="G1755" s="1">
        <v>110.0</v>
      </c>
      <c r="H1755" s="1">
        <v>1.5</v>
      </c>
      <c r="I1755" s="1" t="s">
        <v>809</v>
      </c>
      <c r="J1755" s="1" t="s">
        <v>809</v>
      </c>
      <c r="K1755" s="1">
        <v>1.0</v>
      </c>
      <c r="L1755" s="1">
        <v>330000.0</v>
      </c>
    </row>
    <row r="1756">
      <c r="A1756" s="1">
        <v>643.0</v>
      </c>
      <c r="B1756" s="1" t="s">
        <v>806</v>
      </c>
      <c r="C1756" s="1" t="s">
        <v>809</v>
      </c>
      <c r="D1756" s="1" t="s">
        <v>915</v>
      </c>
      <c r="E1756" s="1" t="s">
        <v>809</v>
      </c>
      <c r="F1756" s="1" t="s">
        <v>809</v>
      </c>
      <c r="G1756" s="1" t="s">
        <v>809</v>
      </c>
      <c r="H1756" s="1" t="s">
        <v>809</v>
      </c>
      <c r="I1756" s="1" t="s">
        <v>809</v>
      </c>
      <c r="J1756" s="1" t="s">
        <v>809</v>
      </c>
      <c r="K1756" s="1">
        <v>1.0</v>
      </c>
      <c r="L1756" s="1">
        <v>170000.0</v>
      </c>
    </row>
    <row r="1757">
      <c r="A1757" s="1">
        <v>644.0</v>
      </c>
      <c r="B1757" s="1" t="s">
        <v>806</v>
      </c>
      <c r="C1757" s="1" t="s">
        <v>807</v>
      </c>
      <c r="D1757" s="1" t="s">
        <v>823</v>
      </c>
      <c r="E1757" s="1">
        <v>0.0</v>
      </c>
      <c r="F1757" s="1">
        <v>0.0</v>
      </c>
      <c r="G1757" s="1" t="s">
        <v>809</v>
      </c>
      <c r="H1757" s="1" t="s">
        <v>809</v>
      </c>
      <c r="I1757" s="1" t="s">
        <v>809</v>
      </c>
      <c r="J1757" s="1" t="s">
        <v>809</v>
      </c>
      <c r="K1757" s="1">
        <v>1.0</v>
      </c>
      <c r="L1757" s="1">
        <v>330000.0</v>
      </c>
    </row>
    <row r="1758">
      <c r="A1758" s="1">
        <v>644.0</v>
      </c>
      <c r="B1758" s="1" t="s">
        <v>806</v>
      </c>
      <c r="C1758" s="1" t="s">
        <v>810</v>
      </c>
      <c r="D1758" s="1" t="s">
        <v>823</v>
      </c>
      <c r="E1758" s="1">
        <v>0.0</v>
      </c>
      <c r="F1758" s="1">
        <v>0.0</v>
      </c>
      <c r="G1758" s="1" t="s">
        <v>809</v>
      </c>
      <c r="H1758" s="1" t="s">
        <v>809</v>
      </c>
      <c r="I1758" s="1" t="s">
        <v>809</v>
      </c>
      <c r="J1758" s="1" t="s">
        <v>809</v>
      </c>
      <c r="K1758" s="1">
        <v>1.0</v>
      </c>
      <c r="L1758" s="1">
        <v>330000.0</v>
      </c>
    </row>
    <row r="1759">
      <c r="A1759" s="1">
        <v>644.0</v>
      </c>
      <c r="B1759" s="1" t="s">
        <v>806</v>
      </c>
      <c r="C1759" s="1" t="s">
        <v>809</v>
      </c>
      <c r="D1759" s="1" t="s">
        <v>1076</v>
      </c>
      <c r="E1759" s="1" t="s">
        <v>809</v>
      </c>
      <c r="F1759" s="1" t="s">
        <v>809</v>
      </c>
      <c r="G1759" s="1" t="s">
        <v>809</v>
      </c>
      <c r="H1759" s="1" t="s">
        <v>809</v>
      </c>
      <c r="I1759" s="1" t="s">
        <v>809</v>
      </c>
      <c r="J1759" s="1" t="s">
        <v>809</v>
      </c>
      <c r="K1759" s="1">
        <v>1.0</v>
      </c>
      <c r="L1759" s="1">
        <v>170000.0</v>
      </c>
    </row>
    <row r="1760">
      <c r="A1760" s="1">
        <v>645.0</v>
      </c>
      <c r="B1760" s="1" t="s">
        <v>806</v>
      </c>
      <c r="C1760" s="1" t="s">
        <v>807</v>
      </c>
      <c r="D1760" s="1" t="s">
        <v>836</v>
      </c>
      <c r="E1760" s="1">
        <v>3.25</v>
      </c>
      <c r="F1760" s="1">
        <v>-0.25</v>
      </c>
      <c r="G1760" s="1">
        <v>10.0</v>
      </c>
      <c r="H1760" s="1" t="s">
        <v>809</v>
      </c>
      <c r="I1760" s="1">
        <v>30.0</v>
      </c>
      <c r="J1760" s="1" t="s">
        <v>809</v>
      </c>
      <c r="K1760" s="1">
        <v>1.0</v>
      </c>
      <c r="L1760" s="1">
        <v>72500.0</v>
      </c>
    </row>
    <row r="1761">
      <c r="A1761" s="1">
        <v>645.0</v>
      </c>
      <c r="B1761" s="1" t="s">
        <v>806</v>
      </c>
      <c r="C1761" s="1" t="s">
        <v>810</v>
      </c>
      <c r="D1761" s="1" t="s">
        <v>836</v>
      </c>
      <c r="E1761" s="1">
        <v>4.75</v>
      </c>
      <c r="F1761" s="1">
        <v>-0.5</v>
      </c>
      <c r="G1761" s="1">
        <v>170.0</v>
      </c>
      <c r="H1761" s="1" t="s">
        <v>809</v>
      </c>
      <c r="I1761" s="1">
        <v>30.0</v>
      </c>
      <c r="J1761" s="1" t="s">
        <v>809</v>
      </c>
      <c r="K1761" s="1">
        <v>1.0</v>
      </c>
      <c r="L1761" s="1">
        <v>72500.0</v>
      </c>
    </row>
    <row r="1762">
      <c r="A1762" s="1">
        <v>646.0</v>
      </c>
      <c r="B1762" s="1" t="s">
        <v>806</v>
      </c>
      <c r="C1762" s="1" t="s">
        <v>807</v>
      </c>
      <c r="D1762" s="1" t="s">
        <v>836</v>
      </c>
      <c r="E1762" s="1">
        <v>-0.75</v>
      </c>
      <c r="F1762" s="1">
        <v>0.0</v>
      </c>
      <c r="G1762" s="1" t="s">
        <v>809</v>
      </c>
      <c r="H1762" s="1" t="s">
        <v>809</v>
      </c>
      <c r="I1762" s="1">
        <v>30.0</v>
      </c>
      <c r="J1762" s="1" t="s">
        <v>809</v>
      </c>
      <c r="K1762" s="1">
        <v>1.0</v>
      </c>
      <c r="L1762" s="1">
        <v>56000.0</v>
      </c>
    </row>
    <row r="1763">
      <c r="A1763" s="1">
        <v>646.0</v>
      </c>
      <c r="B1763" s="1" t="s">
        <v>806</v>
      </c>
      <c r="C1763" s="1" t="s">
        <v>810</v>
      </c>
      <c r="D1763" s="1" t="s">
        <v>836</v>
      </c>
      <c r="E1763" s="1">
        <v>-1.75</v>
      </c>
      <c r="F1763" s="1">
        <v>-0.5</v>
      </c>
      <c r="G1763" s="1">
        <v>155.0</v>
      </c>
      <c r="H1763" s="1" t="s">
        <v>809</v>
      </c>
      <c r="I1763" s="1">
        <v>28.0</v>
      </c>
      <c r="J1763" s="1" t="s">
        <v>809</v>
      </c>
      <c r="K1763" s="1">
        <v>1.0</v>
      </c>
      <c r="L1763" s="1">
        <v>56000.0</v>
      </c>
    </row>
    <row r="1764">
      <c r="A1764" s="1">
        <v>646.0</v>
      </c>
      <c r="B1764" s="1" t="s">
        <v>806</v>
      </c>
      <c r="C1764" s="1" t="s">
        <v>809</v>
      </c>
      <c r="D1764" s="1" t="s">
        <v>1077</v>
      </c>
      <c r="E1764" s="1" t="s">
        <v>809</v>
      </c>
      <c r="F1764" s="1" t="s">
        <v>809</v>
      </c>
      <c r="G1764" s="1" t="s">
        <v>809</v>
      </c>
      <c r="H1764" s="1" t="s">
        <v>809</v>
      </c>
      <c r="I1764" s="1" t="s">
        <v>809</v>
      </c>
      <c r="J1764" s="1" t="s">
        <v>809</v>
      </c>
      <c r="K1764" s="1">
        <v>1.0</v>
      </c>
      <c r="L1764" s="1">
        <v>150000.0</v>
      </c>
    </row>
    <row r="1765">
      <c r="A1765" s="1">
        <v>646.0</v>
      </c>
      <c r="B1765" s="1" t="s">
        <v>825</v>
      </c>
      <c r="C1765" s="1" t="s">
        <v>807</v>
      </c>
      <c r="D1765" s="1" t="s">
        <v>808</v>
      </c>
      <c r="E1765" s="1">
        <v>-0.75</v>
      </c>
      <c r="F1765" s="1">
        <v>0.0</v>
      </c>
      <c r="G1765" s="1" t="s">
        <v>809</v>
      </c>
      <c r="H1765" s="1" t="s">
        <v>809</v>
      </c>
      <c r="I1765" s="1">
        <v>30.0</v>
      </c>
      <c r="J1765" s="1" t="s">
        <v>809</v>
      </c>
      <c r="K1765" s="1">
        <v>1.0</v>
      </c>
      <c r="L1765" s="1">
        <v>10000.0</v>
      </c>
    </row>
    <row r="1766">
      <c r="A1766" s="1">
        <v>646.0</v>
      </c>
      <c r="B1766" s="1" t="s">
        <v>825</v>
      </c>
      <c r="C1766" s="1" t="s">
        <v>810</v>
      </c>
      <c r="D1766" s="1" t="s">
        <v>808</v>
      </c>
      <c r="E1766" s="1">
        <v>-1.75</v>
      </c>
      <c r="F1766" s="1">
        <v>-0.5</v>
      </c>
      <c r="G1766" s="1">
        <v>155.0</v>
      </c>
      <c r="H1766" s="1" t="s">
        <v>809</v>
      </c>
      <c r="I1766" s="1">
        <v>28.0</v>
      </c>
      <c r="J1766" s="1" t="s">
        <v>809</v>
      </c>
      <c r="K1766" s="1">
        <v>1.0</v>
      </c>
      <c r="L1766" s="1">
        <v>10000.0</v>
      </c>
    </row>
    <row r="1767">
      <c r="A1767" s="1">
        <v>646.0</v>
      </c>
      <c r="B1767" s="1" t="s">
        <v>825</v>
      </c>
      <c r="C1767" s="1">
        <v>2.0</v>
      </c>
      <c r="D1767" s="1" t="s">
        <v>880</v>
      </c>
      <c r="E1767" s="1" t="s">
        <v>809</v>
      </c>
      <c r="F1767" s="1" t="s">
        <v>809</v>
      </c>
      <c r="G1767" s="1" t="s">
        <v>809</v>
      </c>
      <c r="H1767" s="1" t="s">
        <v>809</v>
      </c>
      <c r="I1767" s="1" t="s">
        <v>809</v>
      </c>
      <c r="J1767" s="1" t="s">
        <v>809</v>
      </c>
      <c r="K1767" s="1">
        <v>2.0</v>
      </c>
      <c r="L1767" s="1">
        <v>20000.0</v>
      </c>
    </row>
    <row r="1768">
      <c r="A1768" s="1">
        <v>646.0</v>
      </c>
      <c r="B1768" s="1" t="s">
        <v>825</v>
      </c>
      <c r="C1768" s="1" t="s">
        <v>809</v>
      </c>
      <c r="D1768" s="1" t="s">
        <v>929</v>
      </c>
      <c r="E1768" s="1" t="s">
        <v>809</v>
      </c>
      <c r="F1768" s="1" t="s">
        <v>809</v>
      </c>
      <c r="G1768" s="1" t="s">
        <v>809</v>
      </c>
      <c r="H1768" s="1" t="s">
        <v>809</v>
      </c>
      <c r="I1768" s="1" t="s">
        <v>809</v>
      </c>
      <c r="J1768" s="1" t="s">
        <v>809</v>
      </c>
      <c r="K1768" s="1">
        <v>1.0</v>
      </c>
      <c r="L1768" s="1">
        <v>150000.0</v>
      </c>
    </row>
    <row r="1769">
      <c r="A1769" s="1">
        <v>647.0</v>
      </c>
      <c r="B1769" s="1" t="s">
        <v>806</v>
      </c>
      <c r="C1769" s="1" t="s">
        <v>807</v>
      </c>
      <c r="D1769" s="1" t="s">
        <v>836</v>
      </c>
      <c r="E1769" s="1">
        <v>0.25</v>
      </c>
      <c r="F1769" s="1">
        <v>-0.25</v>
      </c>
      <c r="G1769" s="1">
        <v>155.0</v>
      </c>
      <c r="H1769" s="1" t="s">
        <v>809</v>
      </c>
      <c r="I1769" s="1">
        <v>30.0</v>
      </c>
      <c r="J1769" s="1" t="s">
        <v>809</v>
      </c>
      <c r="K1769" s="1">
        <v>1.0</v>
      </c>
      <c r="L1769" s="1">
        <v>72700.0</v>
      </c>
    </row>
    <row r="1770">
      <c r="A1770" s="1">
        <v>647.0</v>
      </c>
      <c r="B1770" s="1" t="s">
        <v>806</v>
      </c>
      <c r="C1770" s="1" t="s">
        <v>810</v>
      </c>
      <c r="D1770" s="1" t="s">
        <v>836</v>
      </c>
      <c r="E1770" s="1">
        <v>0.0</v>
      </c>
      <c r="F1770" s="1">
        <v>-0.25</v>
      </c>
      <c r="G1770" s="1">
        <v>40.0</v>
      </c>
      <c r="H1770" s="1" t="s">
        <v>809</v>
      </c>
      <c r="I1770" s="1">
        <v>30.0</v>
      </c>
      <c r="J1770" s="1" t="s">
        <v>809</v>
      </c>
      <c r="K1770" s="1">
        <v>1.0</v>
      </c>
      <c r="L1770" s="1">
        <v>72700.0</v>
      </c>
    </row>
    <row r="1771">
      <c r="A1771" s="1">
        <v>647.0</v>
      </c>
      <c r="B1771" s="1" t="s">
        <v>806</v>
      </c>
      <c r="C1771" s="1" t="s">
        <v>809</v>
      </c>
      <c r="D1771" s="1" t="s">
        <v>910</v>
      </c>
      <c r="E1771" s="1" t="s">
        <v>809</v>
      </c>
      <c r="F1771" s="1" t="s">
        <v>809</v>
      </c>
      <c r="G1771" s="1" t="s">
        <v>809</v>
      </c>
      <c r="H1771" s="1" t="s">
        <v>809</v>
      </c>
      <c r="I1771" s="1" t="s">
        <v>809</v>
      </c>
      <c r="J1771" s="1" t="s">
        <v>809</v>
      </c>
      <c r="K1771" s="1">
        <v>1.0</v>
      </c>
      <c r="L1771" s="1">
        <v>120001.0</v>
      </c>
    </row>
    <row r="1772">
      <c r="A1772" s="1">
        <v>648.0</v>
      </c>
      <c r="B1772" s="1" t="s">
        <v>806</v>
      </c>
      <c r="C1772" s="1" t="s">
        <v>807</v>
      </c>
      <c r="D1772" s="1" t="s">
        <v>823</v>
      </c>
      <c r="E1772" s="1">
        <v>0.0</v>
      </c>
      <c r="F1772" s="1">
        <v>-4.5</v>
      </c>
      <c r="G1772" s="1">
        <v>70.0</v>
      </c>
      <c r="H1772" s="1" t="s">
        <v>809</v>
      </c>
      <c r="I1772" s="1">
        <v>36.0</v>
      </c>
      <c r="J1772" s="1" t="s">
        <v>809</v>
      </c>
      <c r="K1772" s="1">
        <v>1.0</v>
      </c>
      <c r="L1772" s="1">
        <v>330000.0</v>
      </c>
    </row>
    <row r="1773">
      <c r="A1773" s="1">
        <v>648.0</v>
      </c>
      <c r="B1773" s="1" t="s">
        <v>806</v>
      </c>
      <c r="C1773" s="1" t="s">
        <v>810</v>
      </c>
      <c r="D1773" s="1" t="s">
        <v>823</v>
      </c>
      <c r="E1773" s="1">
        <v>0.0</v>
      </c>
      <c r="F1773" s="1">
        <v>-4.5</v>
      </c>
      <c r="G1773" s="1">
        <v>120.0</v>
      </c>
      <c r="H1773" s="1" t="s">
        <v>809</v>
      </c>
      <c r="I1773" s="1">
        <v>29.0</v>
      </c>
      <c r="J1773" s="1" t="s">
        <v>809</v>
      </c>
      <c r="K1773" s="1">
        <v>1.0</v>
      </c>
      <c r="L1773" s="1">
        <v>330000.0</v>
      </c>
    </row>
    <row r="1774">
      <c r="A1774" s="1">
        <v>648.0</v>
      </c>
      <c r="B1774" s="1" t="s">
        <v>806</v>
      </c>
      <c r="C1774" s="1" t="s">
        <v>809</v>
      </c>
      <c r="D1774" s="1" t="s">
        <v>912</v>
      </c>
      <c r="E1774" s="1" t="s">
        <v>809</v>
      </c>
      <c r="F1774" s="1" t="s">
        <v>809</v>
      </c>
      <c r="G1774" s="1" t="s">
        <v>809</v>
      </c>
      <c r="H1774" s="1" t="s">
        <v>809</v>
      </c>
      <c r="I1774" s="1" t="s">
        <v>809</v>
      </c>
      <c r="J1774" s="1" t="s">
        <v>809</v>
      </c>
      <c r="K1774" s="1">
        <v>1.0</v>
      </c>
      <c r="L1774" s="1">
        <v>150000.0</v>
      </c>
    </row>
    <row r="1775">
      <c r="A1775" s="1">
        <v>649.0</v>
      </c>
      <c r="B1775" s="1" t="s">
        <v>806</v>
      </c>
      <c r="C1775" s="1" t="s">
        <v>807</v>
      </c>
      <c r="D1775" s="1" t="s">
        <v>870</v>
      </c>
      <c r="E1775" s="1">
        <v>0.0</v>
      </c>
      <c r="F1775" s="1">
        <v>0.0</v>
      </c>
      <c r="G1775" s="1" t="s">
        <v>809</v>
      </c>
      <c r="H1775" s="1" t="s">
        <v>809</v>
      </c>
      <c r="I1775" s="1" t="s">
        <v>809</v>
      </c>
      <c r="J1775" s="1" t="s">
        <v>809</v>
      </c>
      <c r="K1775" s="1">
        <v>1.0</v>
      </c>
      <c r="L1775" s="1">
        <v>330000.0</v>
      </c>
    </row>
    <row r="1776">
      <c r="A1776" s="1">
        <v>649.0</v>
      </c>
      <c r="B1776" s="1" t="s">
        <v>806</v>
      </c>
      <c r="C1776" s="1" t="s">
        <v>810</v>
      </c>
      <c r="D1776" s="1" t="s">
        <v>870</v>
      </c>
      <c r="E1776" s="1">
        <v>0.0</v>
      </c>
      <c r="F1776" s="1">
        <v>0.0</v>
      </c>
      <c r="G1776" s="1" t="s">
        <v>809</v>
      </c>
      <c r="H1776" s="1" t="s">
        <v>809</v>
      </c>
      <c r="I1776" s="1" t="s">
        <v>809</v>
      </c>
      <c r="J1776" s="1" t="s">
        <v>809</v>
      </c>
      <c r="K1776" s="1">
        <v>1.0</v>
      </c>
      <c r="L1776" s="1">
        <v>330000.0</v>
      </c>
    </row>
    <row r="1777">
      <c r="A1777" s="1">
        <v>649.0</v>
      </c>
      <c r="B1777" s="1" t="s">
        <v>806</v>
      </c>
      <c r="C1777" s="1" t="s">
        <v>809</v>
      </c>
      <c r="D1777" s="1" t="s">
        <v>915</v>
      </c>
      <c r="E1777" s="1" t="s">
        <v>809</v>
      </c>
      <c r="F1777" s="1" t="s">
        <v>809</v>
      </c>
      <c r="G1777" s="1" t="s">
        <v>809</v>
      </c>
      <c r="H1777" s="1" t="s">
        <v>809</v>
      </c>
      <c r="I1777" s="1" t="s">
        <v>809</v>
      </c>
      <c r="J1777" s="1" t="s">
        <v>809</v>
      </c>
      <c r="K1777" s="1">
        <v>1.0</v>
      </c>
      <c r="L1777" s="1">
        <v>188000.0</v>
      </c>
    </row>
    <row r="1778">
      <c r="A1778" s="1">
        <v>650.0</v>
      </c>
      <c r="B1778" s="1" t="s">
        <v>806</v>
      </c>
      <c r="C1778" s="1" t="s">
        <v>807</v>
      </c>
      <c r="D1778" s="1" t="s">
        <v>836</v>
      </c>
      <c r="E1778" s="1">
        <v>1.25</v>
      </c>
      <c r="F1778" s="1">
        <v>0.0</v>
      </c>
      <c r="G1778" s="1" t="s">
        <v>809</v>
      </c>
      <c r="H1778" s="1" t="s">
        <v>809</v>
      </c>
      <c r="I1778" s="1">
        <v>30.0</v>
      </c>
      <c r="J1778" s="1" t="s">
        <v>809</v>
      </c>
      <c r="K1778" s="1">
        <v>1.0</v>
      </c>
      <c r="L1778" s="1">
        <v>63000.0</v>
      </c>
    </row>
    <row r="1779">
      <c r="A1779" s="1">
        <v>650.0</v>
      </c>
      <c r="B1779" s="1" t="s">
        <v>806</v>
      </c>
      <c r="C1779" s="1" t="s">
        <v>810</v>
      </c>
      <c r="D1779" s="1" t="s">
        <v>836</v>
      </c>
      <c r="E1779" s="1">
        <v>1.25</v>
      </c>
      <c r="F1779" s="1">
        <v>0.0</v>
      </c>
      <c r="G1779" s="1" t="s">
        <v>809</v>
      </c>
      <c r="H1779" s="1" t="s">
        <v>809</v>
      </c>
      <c r="I1779" s="1">
        <v>30.0</v>
      </c>
      <c r="J1779" s="1" t="s">
        <v>809</v>
      </c>
      <c r="K1779" s="1">
        <v>1.0</v>
      </c>
      <c r="L1779" s="1">
        <v>63000.0</v>
      </c>
    </row>
    <row r="1780">
      <c r="A1780" s="1">
        <v>650.0</v>
      </c>
      <c r="B1780" s="1" t="s">
        <v>806</v>
      </c>
      <c r="C1780" s="1" t="s">
        <v>809</v>
      </c>
      <c r="D1780" s="1" t="s">
        <v>1078</v>
      </c>
      <c r="E1780" s="1" t="s">
        <v>809</v>
      </c>
      <c r="F1780" s="1" t="s">
        <v>809</v>
      </c>
      <c r="G1780" s="1" t="s">
        <v>809</v>
      </c>
      <c r="H1780" s="1" t="s">
        <v>809</v>
      </c>
      <c r="I1780" s="1" t="s">
        <v>809</v>
      </c>
      <c r="J1780" s="1" t="s">
        <v>809</v>
      </c>
      <c r="K1780" s="1">
        <v>1.0</v>
      </c>
      <c r="L1780" s="1">
        <v>145000.0</v>
      </c>
    </row>
    <row r="1781">
      <c r="A1781" s="1">
        <v>651.0</v>
      </c>
      <c r="B1781" s="1" t="s">
        <v>806</v>
      </c>
      <c r="C1781" s="1" t="s">
        <v>807</v>
      </c>
      <c r="D1781" s="1" t="s">
        <v>836</v>
      </c>
      <c r="E1781" s="1">
        <v>-0.75</v>
      </c>
      <c r="F1781" s="1">
        <v>0.0</v>
      </c>
      <c r="G1781" s="1" t="s">
        <v>809</v>
      </c>
      <c r="H1781" s="1" t="s">
        <v>809</v>
      </c>
      <c r="I1781" s="1">
        <v>28.0</v>
      </c>
      <c r="J1781" s="1" t="s">
        <v>809</v>
      </c>
      <c r="K1781" s="1">
        <v>1.0</v>
      </c>
      <c r="L1781" s="1">
        <v>63000.0</v>
      </c>
    </row>
    <row r="1782">
      <c r="A1782" s="1">
        <v>651.0</v>
      </c>
      <c r="B1782" s="1" t="s">
        <v>806</v>
      </c>
      <c r="C1782" s="1" t="s">
        <v>810</v>
      </c>
      <c r="D1782" s="1" t="s">
        <v>836</v>
      </c>
      <c r="E1782" s="1">
        <v>-0.5</v>
      </c>
      <c r="F1782" s="1">
        <v>0.0</v>
      </c>
      <c r="G1782" s="1" t="s">
        <v>809</v>
      </c>
      <c r="H1782" s="1" t="s">
        <v>809</v>
      </c>
      <c r="I1782" s="1">
        <v>28.0</v>
      </c>
      <c r="J1782" s="1" t="s">
        <v>809</v>
      </c>
      <c r="K1782" s="1">
        <v>1.0</v>
      </c>
      <c r="L1782" s="1">
        <v>63000.0</v>
      </c>
    </row>
    <row r="1783">
      <c r="A1783" s="1">
        <v>651.0</v>
      </c>
      <c r="B1783" s="1" t="s">
        <v>806</v>
      </c>
      <c r="C1783" s="1" t="s">
        <v>809</v>
      </c>
      <c r="D1783" s="1" t="s">
        <v>929</v>
      </c>
      <c r="E1783" s="1" t="s">
        <v>809</v>
      </c>
      <c r="F1783" s="1" t="s">
        <v>809</v>
      </c>
      <c r="G1783" s="1" t="s">
        <v>809</v>
      </c>
      <c r="H1783" s="1" t="s">
        <v>809</v>
      </c>
      <c r="I1783" s="1" t="s">
        <v>809</v>
      </c>
      <c r="J1783" s="1" t="s">
        <v>809</v>
      </c>
      <c r="K1783" s="1">
        <v>1.0</v>
      </c>
      <c r="L1783" s="1">
        <v>145000.0</v>
      </c>
    </row>
    <row r="1784">
      <c r="A1784" s="1">
        <v>652.0</v>
      </c>
      <c r="B1784" s="1" t="s">
        <v>806</v>
      </c>
      <c r="C1784" s="1" t="s">
        <v>807</v>
      </c>
      <c r="D1784" s="1" t="s">
        <v>1060</v>
      </c>
      <c r="E1784" s="1">
        <v>0.0</v>
      </c>
      <c r="F1784" s="1">
        <v>0.0</v>
      </c>
      <c r="G1784" s="1" t="s">
        <v>809</v>
      </c>
      <c r="H1784" s="1" t="s">
        <v>809</v>
      </c>
      <c r="I1784" s="1" t="s">
        <v>809</v>
      </c>
      <c r="J1784" s="1" t="s">
        <v>809</v>
      </c>
      <c r="K1784" s="1">
        <v>1.0</v>
      </c>
      <c r="L1784" s="1">
        <v>60000.0</v>
      </c>
    </row>
    <row r="1785">
      <c r="A1785" s="1">
        <v>652.0</v>
      </c>
      <c r="B1785" s="1" t="s">
        <v>806</v>
      </c>
      <c r="C1785" s="1" t="s">
        <v>810</v>
      </c>
      <c r="D1785" s="1" t="s">
        <v>1060</v>
      </c>
      <c r="E1785" s="1">
        <v>0.0</v>
      </c>
      <c r="F1785" s="1">
        <v>0.0</v>
      </c>
      <c r="G1785" s="1" t="s">
        <v>809</v>
      </c>
      <c r="H1785" s="1" t="s">
        <v>809</v>
      </c>
      <c r="I1785" s="1" t="s">
        <v>809</v>
      </c>
      <c r="J1785" s="1" t="s">
        <v>809</v>
      </c>
      <c r="K1785" s="1">
        <v>1.0</v>
      </c>
      <c r="L1785" s="1">
        <v>60000.0</v>
      </c>
    </row>
    <row r="1786">
      <c r="A1786" s="1">
        <v>652.0</v>
      </c>
      <c r="B1786" s="1" t="s">
        <v>806</v>
      </c>
      <c r="C1786" s="1" t="s">
        <v>809</v>
      </c>
      <c r="D1786" s="1" t="s">
        <v>957</v>
      </c>
      <c r="E1786" s="1" t="s">
        <v>809</v>
      </c>
      <c r="F1786" s="1" t="s">
        <v>809</v>
      </c>
      <c r="G1786" s="1" t="s">
        <v>809</v>
      </c>
      <c r="H1786" s="1" t="s">
        <v>809</v>
      </c>
      <c r="I1786" s="1" t="s">
        <v>809</v>
      </c>
      <c r="J1786" s="1" t="s">
        <v>809</v>
      </c>
      <c r="K1786" s="1">
        <v>1.0</v>
      </c>
      <c r="L1786" s="1">
        <v>145000.0</v>
      </c>
    </row>
    <row r="1787">
      <c r="A1787" s="1">
        <v>652.0</v>
      </c>
      <c r="B1787" s="1" t="s">
        <v>825</v>
      </c>
      <c r="C1787" s="1" t="s">
        <v>807</v>
      </c>
      <c r="D1787" s="1" t="s">
        <v>808</v>
      </c>
      <c r="E1787" s="1">
        <v>0.0</v>
      </c>
      <c r="F1787" s="1">
        <v>0.0</v>
      </c>
      <c r="G1787" s="1" t="s">
        <v>809</v>
      </c>
      <c r="H1787" s="1" t="s">
        <v>809</v>
      </c>
      <c r="I1787" s="1" t="s">
        <v>809</v>
      </c>
      <c r="J1787" s="1" t="s">
        <v>809</v>
      </c>
      <c r="K1787" s="1">
        <v>1.0</v>
      </c>
      <c r="L1787" s="1">
        <v>0.0</v>
      </c>
    </row>
    <row r="1788">
      <c r="A1788" s="1">
        <v>652.0</v>
      </c>
      <c r="B1788" s="1" t="s">
        <v>825</v>
      </c>
      <c r="C1788" s="1" t="s">
        <v>810</v>
      </c>
      <c r="D1788" s="1" t="s">
        <v>808</v>
      </c>
      <c r="E1788" s="1">
        <v>0.0</v>
      </c>
      <c r="F1788" s="1">
        <v>0.0</v>
      </c>
      <c r="G1788" s="1" t="s">
        <v>809</v>
      </c>
      <c r="H1788" s="1" t="s">
        <v>809</v>
      </c>
      <c r="I1788" s="1" t="s">
        <v>809</v>
      </c>
      <c r="J1788" s="1" t="s">
        <v>809</v>
      </c>
      <c r="K1788" s="1">
        <v>1.0</v>
      </c>
      <c r="L1788" s="1">
        <v>0.0</v>
      </c>
    </row>
    <row r="1789">
      <c r="A1789" s="1">
        <v>652.0</v>
      </c>
      <c r="B1789" s="1" t="s">
        <v>825</v>
      </c>
      <c r="C1789" s="1" t="s">
        <v>809</v>
      </c>
      <c r="D1789" s="1" t="s">
        <v>957</v>
      </c>
      <c r="E1789" s="1" t="s">
        <v>809</v>
      </c>
      <c r="F1789" s="1" t="s">
        <v>809</v>
      </c>
      <c r="G1789" s="1" t="s">
        <v>809</v>
      </c>
      <c r="H1789" s="1" t="s">
        <v>809</v>
      </c>
      <c r="I1789" s="1" t="s">
        <v>809</v>
      </c>
      <c r="J1789" s="1" t="s">
        <v>809</v>
      </c>
      <c r="K1789" s="1">
        <v>1.0</v>
      </c>
      <c r="L1789" s="1">
        <v>145000.0</v>
      </c>
    </row>
    <row r="1790">
      <c r="A1790" s="1">
        <v>653.0</v>
      </c>
      <c r="B1790" s="1" t="s">
        <v>806</v>
      </c>
      <c r="C1790" s="1" t="s">
        <v>807</v>
      </c>
      <c r="D1790" s="1" t="s">
        <v>808</v>
      </c>
      <c r="E1790" s="1">
        <v>0.0</v>
      </c>
      <c r="F1790" s="1">
        <v>0.0</v>
      </c>
      <c r="G1790" s="1" t="s">
        <v>809</v>
      </c>
      <c r="H1790" s="1" t="s">
        <v>809</v>
      </c>
      <c r="I1790" s="1" t="s">
        <v>809</v>
      </c>
      <c r="J1790" s="1" t="s">
        <v>809</v>
      </c>
      <c r="K1790" s="1">
        <v>1.0</v>
      </c>
      <c r="L1790" s="1">
        <v>20000.0</v>
      </c>
    </row>
    <row r="1791">
      <c r="A1791" s="1">
        <v>653.0</v>
      </c>
      <c r="B1791" s="1" t="s">
        <v>806</v>
      </c>
      <c r="C1791" s="1" t="s">
        <v>810</v>
      </c>
      <c r="D1791" s="1" t="s">
        <v>808</v>
      </c>
      <c r="E1791" s="1">
        <v>0.0</v>
      </c>
      <c r="F1791" s="1">
        <v>0.0</v>
      </c>
      <c r="G1791" s="1" t="s">
        <v>809</v>
      </c>
      <c r="H1791" s="1" t="s">
        <v>809</v>
      </c>
      <c r="I1791" s="1" t="s">
        <v>809</v>
      </c>
      <c r="J1791" s="1" t="s">
        <v>809</v>
      </c>
      <c r="K1791" s="1">
        <v>1.0</v>
      </c>
      <c r="L1791" s="1">
        <v>20000.0</v>
      </c>
    </row>
    <row r="1792">
      <c r="A1792" s="1">
        <v>653.0</v>
      </c>
      <c r="B1792" s="1" t="s">
        <v>806</v>
      </c>
      <c r="C1792" s="1">
        <v>2.0</v>
      </c>
      <c r="D1792" s="1" t="s">
        <v>880</v>
      </c>
      <c r="E1792" s="1" t="s">
        <v>809</v>
      </c>
      <c r="F1792" s="1" t="s">
        <v>809</v>
      </c>
      <c r="G1792" s="1" t="s">
        <v>809</v>
      </c>
      <c r="H1792" s="1" t="s">
        <v>809</v>
      </c>
      <c r="I1792" s="1" t="s">
        <v>809</v>
      </c>
      <c r="J1792" s="1" t="s">
        <v>809</v>
      </c>
      <c r="K1792" s="1">
        <v>1.0</v>
      </c>
      <c r="L1792" s="1">
        <v>25000.0</v>
      </c>
    </row>
    <row r="1793">
      <c r="A1793" s="1">
        <v>654.0</v>
      </c>
      <c r="B1793" s="1" t="s">
        <v>809</v>
      </c>
      <c r="C1793" s="1" t="s">
        <v>809</v>
      </c>
      <c r="D1793" s="1" t="s">
        <v>1079</v>
      </c>
      <c r="E1793" s="1" t="s">
        <v>809</v>
      </c>
      <c r="F1793" s="1" t="s">
        <v>809</v>
      </c>
      <c r="G1793" s="1" t="s">
        <v>809</v>
      </c>
      <c r="H1793" s="1" t="s">
        <v>809</v>
      </c>
      <c r="I1793" s="1" t="s">
        <v>809</v>
      </c>
      <c r="J1793" s="1" t="s">
        <v>809</v>
      </c>
      <c r="K1793" s="1">
        <v>1.0</v>
      </c>
      <c r="L1793" s="1">
        <v>149000.0</v>
      </c>
    </row>
    <row r="1794">
      <c r="A1794" s="1">
        <v>655.0</v>
      </c>
      <c r="B1794" s="1" t="s">
        <v>806</v>
      </c>
      <c r="C1794" s="1" t="s">
        <v>807</v>
      </c>
      <c r="D1794" s="1" t="s">
        <v>812</v>
      </c>
      <c r="E1794" s="1">
        <v>1.5</v>
      </c>
      <c r="F1794" s="1">
        <v>-0.5</v>
      </c>
      <c r="G1794" s="1">
        <v>173.0</v>
      </c>
      <c r="H1794" s="1" t="s">
        <v>809</v>
      </c>
      <c r="I1794" s="1" t="s">
        <v>809</v>
      </c>
      <c r="J1794" s="1" t="s">
        <v>809</v>
      </c>
      <c r="K1794" s="1">
        <v>1.0</v>
      </c>
      <c r="L1794" s="1">
        <v>34000.0</v>
      </c>
    </row>
    <row r="1795">
      <c r="A1795" s="1">
        <v>655.0</v>
      </c>
      <c r="B1795" s="1" t="s">
        <v>806</v>
      </c>
      <c r="C1795" s="1" t="s">
        <v>810</v>
      </c>
      <c r="D1795" s="1" t="s">
        <v>812</v>
      </c>
      <c r="E1795" s="1">
        <v>2.0</v>
      </c>
      <c r="F1795" s="1">
        <v>-0.5</v>
      </c>
      <c r="G1795" s="1">
        <v>180.0</v>
      </c>
      <c r="H1795" s="1" t="s">
        <v>809</v>
      </c>
      <c r="I1795" s="1" t="s">
        <v>809</v>
      </c>
      <c r="J1795" s="1" t="s">
        <v>809</v>
      </c>
      <c r="K1795" s="1">
        <v>1.0</v>
      </c>
      <c r="L1795" s="1">
        <v>34000.0</v>
      </c>
    </row>
    <row r="1796">
      <c r="A1796" s="1">
        <v>655.0</v>
      </c>
      <c r="B1796" s="1" t="s">
        <v>806</v>
      </c>
      <c r="C1796" s="1" t="s">
        <v>809</v>
      </c>
      <c r="D1796" s="1" t="s">
        <v>910</v>
      </c>
      <c r="E1796" s="1" t="s">
        <v>809</v>
      </c>
      <c r="F1796" s="1" t="s">
        <v>809</v>
      </c>
      <c r="G1796" s="1" t="s">
        <v>809</v>
      </c>
      <c r="H1796" s="1" t="s">
        <v>809</v>
      </c>
      <c r="I1796" s="1" t="s">
        <v>809</v>
      </c>
      <c r="J1796" s="1" t="s">
        <v>809</v>
      </c>
      <c r="K1796" s="1">
        <v>1.0</v>
      </c>
      <c r="L1796" s="1">
        <v>120001.0</v>
      </c>
    </row>
    <row r="1797">
      <c r="A1797" s="1">
        <v>655.0</v>
      </c>
      <c r="B1797" s="1" t="s">
        <v>825</v>
      </c>
      <c r="C1797" s="1" t="s">
        <v>807</v>
      </c>
      <c r="D1797" s="1" t="s">
        <v>826</v>
      </c>
      <c r="E1797" s="1">
        <v>1.5</v>
      </c>
      <c r="F1797" s="1">
        <v>-0.5</v>
      </c>
      <c r="G1797" s="1">
        <v>173.0</v>
      </c>
      <c r="H1797" s="1" t="s">
        <v>809</v>
      </c>
      <c r="I1797" s="1" t="s">
        <v>809</v>
      </c>
      <c r="J1797" s="1" t="s">
        <v>809</v>
      </c>
      <c r="K1797" s="1">
        <v>1.0</v>
      </c>
      <c r="L1797" s="1">
        <v>34000.0</v>
      </c>
    </row>
    <row r="1798">
      <c r="A1798" s="1">
        <v>655.0</v>
      </c>
      <c r="B1798" s="1" t="s">
        <v>825</v>
      </c>
      <c r="C1798" s="1" t="s">
        <v>810</v>
      </c>
      <c r="D1798" s="1" t="s">
        <v>826</v>
      </c>
      <c r="E1798" s="1">
        <v>2.0</v>
      </c>
      <c r="F1798" s="1">
        <v>-0.5</v>
      </c>
      <c r="G1798" s="1">
        <v>180.0</v>
      </c>
      <c r="H1798" s="1" t="s">
        <v>809</v>
      </c>
      <c r="I1798" s="1" t="s">
        <v>809</v>
      </c>
      <c r="J1798" s="1" t="s">
        <v>809</v>
      </c>
      <c r="K1798" s="1">
        <v>1.0</v>
      </c>
      <c r="L1798" s="1">
        <v>34000.0</v>
      </c>
    </row>
    <row r="1799">
      <c r="A1799" s="1">
        <v>655.0</v>
      </c>
      <c r="B1799" s="1" t="s">
        <v>825</v>
      </c>
      <c r="C1799" s="1" t="s">
        <v>809</v>
      </c>
      <c r="D1799" s="1" t="s">
        <v>910</v>
      </c>
      <c r="E1799" s="1" t="s">
        <v>809</v>
      </c>
      <c r="F1799" s="1" t="s">
        <v>809</v>
      </c>
      <c r="G1799" s="1" t="s">
        <v>809</v>
      </c>
      <c r="H1799" s="1" t="s">
        <v>809</v>
      </c>
      <c r="I1799" s="1" t="s">
        <v>809</v>
      </c>
      <c r="J1799" s="1" t="s">
        <v>809</v>
      </c>
      <c r="K1799" s="1">
        <v>1.0</v>
      </c>
      <c r="L1799" s="1">
        <v>120001.0</v>
      </c>
    </row>
    <row r="1800">
      <c r="A1800" s="1">
        <v>656.0</v>
      </c>
      <c r="B1800" s="1" t="s">
        <v>806</v>
      </c>
      <c r="C1800" s="1" t="s">
        <v>807</v>
      </c>
      <c r="D1800" s="1" t="s">
        <v>1080</v>
      </c>
      <c r="E1800" s="1">
        <v>0.0</v>
      </c>
      <c r="F1800" s="1">
        <v>0.0</v>
      </c>
      <c r="G1800" s="1" t="s">
        <v>809</v>
      </c>
      <c r="H1800" s="1" t="s">
        <v>809</v>
      </c>
      <c r="I1800" s="1" t="s">
        <v>809</v>
      </c>
      <c r="J1800" s="1" t="s">
        <v>809</v>
      </c>
      <c r="K1800" s="1">
        <v>1.0</v>
      </c>
      <c r="L1800" s="1">
        <v>425325.25</v>
      </c>
    </row>
    <row r="1801">
      <c r="A1801" s="1">
        <v>656.0</v>
      </c>
      <c r="B1801" s="1" t="s">
        <v>806</v>
      </c>
      <c r="C1801" s="1" t="s">
        <v>810</v>
      </c>
      <c r="D1801" s="1" t="s">
        <v>1080</v>
      </c>
      <c r="E1801" s="1">
        <v>0.0</v>
      </c>
      <c r="F1801" s="1">
        <v>0.0</v>
      </c>
      <c r="G1801" s="1" t="s">
        <v>809</v>
      </c>
      <c r="H1801" s="1" t="s">
        <v>809</v>
      </c>
      <c r="I1801" s="1" t="s">
        <v>809</v>
      </c>
      <c r="J1801" s="1" t="s">
        <v>809</v>
      </c>
      <c r="K1801" s="1">
        <v>1.0</v>
      </c>
      <c r="L1801" s="1">
        <v>425325.25</v>
      </c>
    </row>
    <row r="1802">
      <c r="A1802" s="1">
        <v>656.0</v>
      </c>
      <c r="B1802" s="1" t="s">
        <v>806</v>
      </c>
      <c r="C1802" s="1" t="s">
        <v>809</v>
      </c>
      <c r="D1802" s="1" t="s">
        <v>912</v>
      </c>
      <c r="E1802" s="1" t="s">
        <v>809</v>
      </c>
      <c r="F1802" s="1" t="s">
        <v>809</v>
      </c>
      <c r="G1802" s="1" t="s">
        <v>809</v>
      </c>
      <c r="H1802" s="1" t="s">
        <v>809</v>
      </c>
      <c r="I1802" s="1" t="s">
        <v>809</v>
      </c>
      <c r="J1802" s="1" t="s">
        <v>809</v>
      </c>
      <c r="K1802" s="1">
        <v>1.0</v>
      </c>
      <c r="L1802" s="1">
        <v>140000.0</v>
      </c>
    </row>
    <row r="1803">
      <c r="A1803" s="1">
        <v>657.0</v>
      </c>
      <c r="B1803" s="1" t="s">
        <v>806</v>
      </c>
      <c r="C1803" s="1" t="s">
        <v>807</v>
      </c>
      <c r="D1803" s="1" t="s">
        <v>840</v>
      </c>
      <c r="E1803" s="1">
        <v>2.0</v>
      </c>
      <c r="F1803" s="1">
        <v>-1.75</v>
      </c>
      <c r="G1803" s="1">
        <v>160.0</v>
      </c>
      <c r="H1803" s="1" t="s">
        <v>809</v>
      </c>
      <c r="I1803" s="1">
        <v>30.0</v>
      </c>
      <c r="J1803" s="1" t="s">
        <v>809</v>
      </c>
      <c r="K1803" s="1">
        <v>1.0</v>
      </c>
      <c r="L1803" s="1">
        <v>160000.0</v>
      </c>
    </row>
    <row r="1804">
      <c r="A1804" s="1">
        <v>657.0</v>
      </c>
      <c r="B1804" s="1" t="s">
        <v>806</v>
      </c>
      <c r="C1804" s="1" t="s">
        <v>810</v>
      </c>
      <c r="D1804" s="1" t="s">
        <v>840</v>
      </c>
      <c r="E1804" s="1">
        <v>3.5</v>
      </c>
      <c r="F1804" s="1">
        <v>-5.0</v>
      </c>
      <c r="G1804" s="1">
        <v>16.0</v>
      </c>
      <c r="H1804" s="1" t="s">
        <v>809</v>
      </c>
      <c r="I1804" s="1">
        <v>32.0</v>
      </c>
      <c r="J1804" s="1" t="s">
        <v>809</v>
      </c>
      <c r="K1804" s="1">
        <v>1.0</v>
      </c>
      <c r="L1804" s="1">
        <v>160000.0</v>
      </c>
    </row>
    <row r="1805">
      <c r="A1805" s="1">
        <v>657.0</v>
      </c>
      <c r="B1805" s="1" t="s">
        <v>806</v>
      </c>
      <c r="C1805" s="1" t="s">
        <v>809</v>
      </c>
      <c r="D1805" s="1" t="s">
        <v>993</v>
      </c>
      <c r="E1805" s="1" t="s">
        <v>809</v>
      </c>
      <c r="F1805" s="1" t="s">
        <v>809</v>
      </c>
      <c r="G1805" s="1" t="s">
        <v>809</v>
      </c>
      <c r="H1805" s="1" t="s">
        <v>809</v>
      </c>
      <c r="I1805" s="1" t="s">
        <v>809</v>
      </c>
      <c r="J1805" s="1" t="s">
        <v>809</v>
      </c>
      <c r="K1805" s="1">
        <v>1.0</v>
      </c>
      <c r="L1805" s="1">
        <v>145000.0</v>
      </c>
    </row>
    <row r="1806">
      <c r="A1806" s="1">
        <v>658.0</v>
      </c>
      <c r="B1806" s="1" t="s">
        <v>806</v>
      </c>
      <c r="C1806" s="1" t="s">
        <v>807</v>
      </c>
      <c r="D1806" s="1" t="s">
        <v>840</v>
      </c>
      <c r="E1806" s="1">
        <v>2.0</v>
      </c>
      <c r="F1806" s="1">
        <v>-1.75</v>
      </c>
      <c r="G1806" s="1">
        <v>160.0</v>
      </c>
      <c r="H1806" s="1" t="s">
        <v>809</v>
      </c>
      <c r="I1806" s="1" t="s">
        <v>809</v>
      </c>
      <c r="J1806" s="1" t="s">
        <v>809</v>
      </c>
      <c r="K1806" s="1">
        <v>1.0</v>
      </c>
      <c r="L1806" s="1">
        <v>160000.0</v>
      </c>
    </row>
    <row r="1807">
      <c r="A1807" s="1">
        <v>658.0</v>
      </c>
      <c r="B1807" s="1" t="s">
        <v>806</v>
      </c>
      <c r="C1807" s="1" t="s">
        <v>810</v>
      </c>
      <c r="D1807" s="1" t="s">
        <v>840</v>
      </c>
      <c r="E1807" s="1">
        <v>3.5</v>
      </c>
      <c r="F1807" s="1">
        <v>-5.0</v>
      </c>
      <c r="G1807" s="1">
        <v>16.0</v>
      </c>
      <c r="H1807" s="1" t="s">
        <v>809</v>
      </c>
      <c r="I1807" s="1" t="s">
        <v>809</v>
      </c>
      <c r="J1807" s="1" t="s">
        <v>809</v>
      </c>
      <c r="K1807" s="1">
        <v>1.0</v>
      </c>
      <c r="L1807" s="1">
        <v>160000.0</v>
      </c>
    </row>
    <row r="1808">
      <c r="A1808" s="1">
        <v>658.0</v>
      </c>
      <c r="B1808" s="1" t="s">
        <v>806</v>
      </c>
      <c r="C1808" s="1" t="s">
        <v>809</v>
      </c>
      <c r="D1808" s="1" t="s">
        <v>993</v>
      </c>
      <c r="E1808" s="1" t="s">
        <v>809</v>
      </c>
      <c r="F1808" s="1" t="s">
        <v>809</v>
      </c>
      <c r="G1808" s="1" t="s">
        <v>809</v>
      </c>
      <c r="H1808" s="1" t="s">
        <v>809</v>
      </c>
      <c r="I1808" s="1" t="s">
        <v>809</v>
      </c>
      <c r="J1808" s="1" t="s">
        <v>809</v>
      </c>
      <c r="K1808" s="1">
        <v>1.0</v>
      </c>
      <c r="L1808" s="1">
        <v>145000.0</v>
      </c>
    </row>
    <row r="1809">
      <c r="A1809" s="1">
        <v>659.0</v>
      </c>
      <c r="B1809" s="1" t="s">
        <v>806</v>
      </c>
      <c r="C1809" s="1" t="s">
        <v>807</v>
      </c>
      <c r="D1809" s="1" t="s">
        <v>812</v>
      </c>
      <c r="E1809" s="1">
        <v>1.75</v>
      </c>
      <c r="F1809" s="1">
        <v>-0.5</v>
      </c>
      <c r="G1809" s="1">
        <v>93.0</v>
      </c>
      <c r="H1809" s="1" t="s">
        <v>809</v>
      </c>
      <c r="I1809" s="1">
        <v>30.0</v>
      </c>
      <c r="J1809" s="1" t="s">
        <v>809</v>
      </c>
      <c r="K1809" s="1">
        <v>1.0</v>
      </c>
      <c r="L1809" s="1">
        <v>30613.0</v>
      </c>
    </row>
    <row r="1810">
      <c r="A1810" s="1">
        <v>659.0</v>
      </c>
      <c r="B1810" s="1" t="s">
        <v>806</v>
      </c>
      <c r="C1810" s="1" t="s">
        <v>810</v>
      </c>
      <c r="D1810" s="1" t="s">
        <v>812</v>
      </c>
      <c r="E1810" s="1">
        <v>1.75</v>
      </c>
      <c r="F1810" s="1">
        <v>-0.25</v>
      </c>
      <c r="G1810" s="1">
        <v>73.0</v>
      </c>
      <c r="H1810" s="1" t="s">
        <v>809</v>
      </c>
      <c r="I1810" s="1">
        <v>30.0</v>
      </c>
      <c r="J1810" s="1" t="s">
        <v>809</v>
      </c>
      <c r="K1810" s="1">
        <v>1.0</v>
      </c>
      <c r="L1810" s="1">
        <v>30613.0</v>
      </c>
    </row>
    <row r="1811">
      <c r="A1811" s="1">
        <v>659.0</v>
      </c>
      <c r="B1811" s="1" t="s">
        <v>806</v>
      </c>
      <c r="C1811" s="1" t="s">
        <v>809</v>
      </c>
      <c r="D1811" s="1" t="s">
        <v>929</v>
      </c>
      <c r="E1811" s="1" t="s">
        <v>809</v>
      </c>
      <c r="F1811" s="1" t="s">
        <v>809</v>
      </c>
      <c r="G1811" s="1" t="s">
        <v>809</v>
      </c>
      <c r="H1811" s="1" t="s">
        <v>809</v>
      </c>
      <c r="I1811" s="1" t="s">
        <v>809</v>
      </c>
      <c r="J1811" s="1" t="s">
        <v>809</v>
      </c>
      <c r="K1811" s="1">
        <v>1.0</v>
      </c>
      <c r="L1811" s="1">
        <v>170000.0</v>
      </c>
    </row>
    <row r="1812">
      <c r="A1812" s="1">
        <v>660.0</v>
      </c>
      <c r="B1812" s="1" t="s">
        <v>806</v>
      </c>
      <c r="C1812" s="1" t="s">
        <v>807</v>
      </c>
      <c r="D1812" s="1" t="s">
        <v>836</v>
      </c>
      <c r="E1812" s="1">
        <v>0.0</v>
      </c>
      <c r="F1812" s="1">
        <v>0.0</v>
      </c>
      <c r="G1812" s="1" t="s">
        <v>809</v>
      </c>
      <c r="H1812" s="1" t="s">
        <v>809</v>
      </c>
      <c r="I1812" s="1" t="s">
        <v>809</v>
      </c>
      <c r="J1812" s="1" t="s">
        <v>809</v>
      </c>
      <c r="K1812" s="1">
        <v>1.0</v>
      </c>
      <c r="L1812" s="1">
        <v>63500.0</v>
      </c>
    </row>
    <row r="1813">
      <c r="A1813" s="1">
        <v>660.0</v>
      </c>
      <c r="B1813" s="1" t="s">
        <v>806</v>
      </c>
      <c r="C1813" s="1" t="s">
        <v>810</v>
      </c>
      <c r="D1813" s="1" t="s">
        <v>836</v>
      </c>
      <c r="E1813" s="1">
        <v>0.0</v>
      </c>
      <c r="F1813" s="1">
        <v>0.0</v>
      </c>
      <c r="G1813" s="1" t="s">
        <v>809</v>
      </c>
      <c r="H1813" s="1" t="s">
        <v>809</v>
      </c>
      <c r="I1813" s="1" t="s">
        <v>809</v>
      </c>
      <c r="J1813" s="1" t="s">
        <v>809</v>
      </c>
      <c r="K1813" s="1">
        <v>1.0</v>
      </c>
      <c r="L1813" s="1">
        <v>63500.0</v>
      </c>
    </row>
    <row r="1814">
      <c r="A1814" s="1">
        <v>660.0</v>
      </c>
      <c r="B1814" s="1" t="s">
        <v>806</v>
      </c>
      <c r="C1814" s="1" t="s">
        <v>809</v>
      </c>
      <c r="D1814" s="1" t="s">
        <v>1081</v>
      </c>
      <c r="E1814" s="1" t="s">
        <v>809</v>
      </c>
      <c r="F1814" s="1" t="s">
        <v>809</v>
      </c>
      <c r="G1814" s="1" t="s">
        <v>809</v>
      </c>
      <c r="H1814" s="1" t="s">
        <v>809</v>
      </c>
      <c r="I1814" s="1" t="s">
        <v>809</v>
      </c>
      <c r="J1814" s="1" t="s">
        <v>809</v>
      </c>
      <c r="K1814" s="1">
        <v>1.0</v>
      </c>
      <c r="L1814" s="1">
        <v>144000.0</v>
      </c>
    </row>
    <row r="1815">
      <c r="A1815" s="1">
        <v>661.0</v>
      </c>
      <c r="B1815" s="1" t="s">
        <v>809</v>
      </c>
      <c r="C1815" s="1">
        <v>2.0</v>
      </c>
      <c r="D1815" s="1" t="s">
        <v>1037</v>
      </c>
      <c r="E1815" s="1">
        <v>-1.25</v>
      </c>
      <c r="F1815" s="1">
        <v>-0.75</v>
      </c>
      <c r="G1815" s="1">
        <v>20.0</v>
      </c>
      <c r="H1815" s="1" t="s">
        <v>809</v>
      </c>
      <c r="I1815" s="1" t="s">
        <v>809</v>
      </c>
      <c r="J1815" s="1" t="s">
        <v>809</v>
      </c>
      <c r="K1815" s="1">
        <v>1.0</v>
      </c>
      <c r="L1815" s="1">
        <v>308550.0</v>
      </c>
    </row>
    <row r="1816">
      <c r="A1816" s="1">
        <v>662.0</v>
      </c>
      <c r="B1816" s="1" t="s">
        <v>809</v>
      </c>
      <c r="C1816" s="1" t="s">
        <v>809</v>
      </c>
      <c r="D1816" s="1" t="s">
        <v>910</v>
      </c>
      <c r="E1816" s="1" t="s">
        <v>809</v>
      </c>
      <c r="F1816" s="1" t="s">
        <v>809</v>
      </c>
      <c r="G1816" s="1" t="s">
        <v>809</v>
      </c>
      <c r="H1816" s="1" t="s">
        <v>809</v>
      </c>
      <c r="I1816" s="1" t="s">
        <v>809</v>
      </c>
      <c r="J1816" s="1" t="s">
        <v>809</v>
      </c>
      <c r="K1816" s="1">
        <v>1.0</v>
      </c>
      <c r="L1816" s="1">
        <v>133800.0</v>
      </c>
    </row>
    <row r="1817">
      <c r="A1817" s="1">
        <v>662.0</v>
      </c>
      <c r="B1817" s="1" t="s">
        <v>809</v>
      </c>
      <c r="C1817" s="1" t="s">
        <v>809</v>
      </c>
      <c r="D1817" s="1" t="s">
        <v>880</v>
      </c>
      <c r="E1817" s="1" t="s">
        <v>809</v>
      </c>
      <c r="F1817" s="1" t="s">
        <v>809</v>
      </c>
      <c r="G1817" s="1" t="s">
        <v>809</v>
      </c>
      <c r="H1817" s="1" t="s">
        <v>809</v>
      </c>
      <c r="I1817" s="1" t="s">
        <v>809</v>
      </c>
      <c r="J1817" s="1" t="s">
        <v>809</v>
      </c>
      <c r="K1817" s="1">
        <v>1.0</v>
      </c>
      <c r="L1817" s="1">
        <v>71000.0</v>
      </c>
    </row>
    <row r="1818">
      <c r="A1818" s="1">
        <v>663.0</v>
      </c>
      <c r="B1818" s="1" t="s">
        <v>806</v>
      </c>
      <c r="C1818" s="1" t="s">
        <v>807</v>
      </c>
      <c r="D1818" s="1" t="s">
        <v>808</v>
      </c>
      <c r="E1818" s="1">
        <v>0.0</v>
      </c>
      <c r="F1818" s="1">
        <v>0.0</v>
      </c>
      <c r="G1818" s="1">
        <v>0.0</v>
      </c>
      <c r="H1818" s="1" t="s">
        <v>809</v>
      </c>
      <c r="I1818" s="1" t="s">
        <v>809</v>
      </c>
      <c r="J1818" s="1" t="s">
        <v>809</v>
      </c>
      <c r="K1818" s="1">
        <v>1.0</v>
      </c>
      <c r="L1818" s="1">
        <v>0.0</v>
      </c>
    </row>
    <row r="1819">
      <c r="A1819" s="1">
        <v>663.0</v>
      </c>
      <c r="B1819" s="1" t="s">
        <v>806</v>
      </c>
      <c r="C1819" s="1" t="s">
        <v>810</v>
      </c>
      <c r="D1819" s="1" t="s">
        <v>808</v>
      </c>
      <c r="E1819" s="1">
        <v>0.0</v>
      </c>
      <c r="F1819" s="1">
        <v>0.0</v>
      </c>
      <c r="G1819" s="1">
        <v>0.0</v>
      </c>
      <c r="H1819" s="1" t="s">
        <v>809</v>
      </c>
      <c r="I1819" s="1" t="s">
        <v>809</v>
      </c>
      <c r="J1819" s="1" t="s">
        <v>809</v>
      </c>
      <c r="K1819" s="1">
        <v>1.0</v>
      </c>
      <c r="L1819" s="1">
        <v>0.0</v>
      </c>
    </row>
    <row r="1820">
      <c r="A1820" s="1">
        <v>663.0</v>
      </c>
      <c r="B1820" s="1" t="s">
        <v>806</v>
      </c>
      <c r="C1820" s="1" t="s">
        <v>809</v>
      </c>
      <c r="D1820" s="1" t="s">
        <v>929</v>
      </c>
      <c r="E1820" s="1" t="s">
        <v>809</v>
      </c>
      <c r="F1820" s="1" t="s">
        <v>809</v>
      </c>
      <c r="G1820" s="1" t="s">
        <v>809</v>
      </c>
      <c r="H1820" s="1" t="s">
        <v>809</v>
      </c>
      <c r="I1820" s="1" t="s">
        <v>809</v>
      </c>
      <c r="J1820" s="1" t="s">
        <v>809</v>
      </c>
      <c r="K1820" s="1">
        <v>1.0</v>
      </c>
      <c r="L1820" s="1">
        <v>140000.0</v>
      </c>
    </row>
    <row r="1821">
      <c r="A1821" s="1">
        <v>664.0</v>
      </c>
      <c r="B1821" s="1" t="s">
        <v>809</v>
      </c>
      <c r="C1821" s="1">
        <v>2.0</v>
      </c>
      <c r="D1821" s="1" t="s">
        <v>1037</v>
      </c>
      <c r="E1821" s="1">
        <v>-1.25</v>
      </c>
      <c r="F1821" s="1">
        <v>-0.75</v>
      </c>
      <c r="G1821" s="1" t="s">
        <v>809</v>
      </c>
      <c r="H1821" s="1" t="s">
        <v>809</v>
      </c>
      <c r="I1821" s="1" t="s">
        <v>809</v>
      </c>
      <c r="J1821" s="1" t="s">
        <v>809</v>
      </c>
      <c r="K1821" s="1">
        <v>1.0</v>
      </c>
      <c r="L1821" s="1">
        <v>295800.0</v>
      </c>
    </row>
    <row r="1822">
      <c r="A1822" s="1">
        <v>665.0</v>
      </c>
      <c r="B1822" s="1" t="s">
        <v>806</v>
      </c>
      <c r="C1822" s="1" t="s">
        <v>807</v>
      </c>
      <c r="D1822" s="1" t="s">
        <v>1082</v>
      </c>
      <c r="E1822" s="1">
        <v>0.25</v>
      </c>
      <c r="F1822" s="1">
        <v>0.0</v>
      </c>
      <c r="G1822" s="1" t="s">
        <v>809</v>
      </c>
      <c r="H1822" s="1">
        <v>1.5</v>
      </c>
      <c r="I1822" s="1" t="s">
        <v>809</v>
      </c>
      <c r="J1822" s="1" t="s">
        <v>809</v>
      </c>
      <c r="K1822" s="1">
        <v>1.0</v>
      </c>
      <c r="L1822" s="1">
        <v>450000.0</v>
      </c>
    </row>
    <row r="1823">
      <c r="A1823" s="1">
        <v>665.0</v>
      </c>
      <c r="B1823" s="1" t="s">
        <v>806</v>
      </c>
      <c r="C1823" s="1" t="s">
        <v>810</v>
      </c>
      <c r="D1823" s="1" t="s">
        <v>1082</v>
      </c>
      <c r="E1823" s="1">
        <v>1.0</v>
      </c>
      <c r="F1823" s="1">
        <v>-0.5</v>
      </c>
      <c r="G1823" s="1">
        <v>135.0</v>
      </c>
      <c r="H1823" s="1">
        <v>1.5</v>
      </c>
      <c r="I1823" s="1" t="s">
        <v>809</v>
      </c>
      <c r="J1823" s="1" t="s">
        <v>809</v>
      </c>
      <c r="K1823" s="1">
        <v>1.0</v>
      </c>
      <c r="L1823" s="1">
        <v>450000.0</v>
      </c>
    </row>
    <row r="1824">
      <c r="A1824" s="1">
        <v>665.0</v>
      </c>
      <c r="B1824" s="1" t="s">
        <v>806</v>
      </c>
      <c r="C1824" s="1" t="s">
        <v>809</v>
      </c>
      <c r="D1824" s="1" t="s">
        <v>929</v>
      </c>
      <c r="E1824" s="1" t="s">
        <v>809</v>
      </c>
      <c r="F1824" s="1" t="s">
        <v>809</v>
      </c>
      <c r="G1824" s="1" t="s">
        <v>809</v>
      </c>
      <c r="H1824" s="1" t="s">
        <v>809</v>
      </c>
      <c r="I1824" s="1" t="s">
        <v>809</v>
      </c>
      <c r="J1824" s="1" t="s">
        <v>809</v>
      </c>
      <c r="K1824" s="1">
        <v>1.0</v>
      </c>
      <c r="L1824" s="1">
        <v>135000.0</v>
      </c>
    </row>
    <row r="1825">
      <c r="A1825" s="1">
        <v>666.0</v>
      </c>
      <c r="B1825" s="1" t="s">
        <v>806</v>
      </c>
      <c r="C1825" s="1" t="s">
        <v>807</v>
      </c>
      <c r="D1825" s="1" t="s">
        <v>1080</v>
      </c>
      <c r="E1825" s="1">
        <v>-5.0</v>
      </c>
      <c r="F1825" s="1">
        <v>-1.5</v>
      </c>
      <c r="G1825" s="1">
        <v>20.0</v>
      </c>
      <c r="H1825" s="1">
        <v>2.0</v>
      </c>
      <c r="I1825" s="1" t="s">
        <v>809</v>
      </c>
      <c r="J1825" s="1" t="s">
        <v>809</v>
      </c>
      <c r="K1825" s="1">
        <v>1.0</v>
      </c>
      <c r="L1825" s="1">
        <v>550000.0</v>
      </c>
    </row>
    <row r="1826">
      <c r="A1826" s="1">
        <v>666.0</v>
      </c>
      <c r="B1826" s="1" t="s">
        <v>806</v>
      </c>
      <c r="C1826" s="1" t="s">
        <v>810</v>
      </c>
      <c r="D1826" s="1" t="s">
        <v>1080</v>
      </c>
      <c r="E1826" s="1">
        <v>-4.5</v>
      </c>
      <c r="F1826" s="1">
        <v>-1.5</v>
      </c>
      <c r="G1826" s="1">
        <v>0.0</v>
      </c>
      <c r="H1826" s="1">
        <v>2.0</v>
      </c>
      <c r="I1826" s="1" t="s">
        <v>809</v>
      </c>
      <c r="J1826" s="1" t="s">
        <v>809</v>
      </c>
      <c r="K1826" s="1">
        <v>1.0</v>
      </c>
      <c r="L1826" s="1">
        <v>550000.0</v>
      </c>
    </row>
    <row r="1827">
      <c r="A1827" s="1">
        <v>666.0</v>
      </c>
      <c r="B1827" s="1" t="s">
        <v>806</v>
      </c>
      <c r="C1827" s="1" t="s">
        <v>809</v>
      </c>
      <c r="D1827" s="1" t="s">
        <v>929</v>
      </c>
      <c r="E1827" s="1" t="s">
        <v>809</v>
      </c>
      <c r="F1827" s="1" t="s">
        <v>809</v>
      </c>
      <c r="G1827" s="1" t="s">
        <v>809</v>
      </c>
      <c r="H1827" s="1" t="s">
        <v>809</v>
      </c>
      <c r="I1827" s="1" t="s">
        <v>809</v>
      </c>
      <c r="J1827" s="1" t="s">
        <v>809</v>
      </c>
      <c r="K1827" s="1">
        <v>1.0</v>
      </c>
      <c r="L1827" s="1">
        <v>135000.0</v>
      </c>
    </row>
    <row r="1828">
      <c r="A1828" s="1">
        <v>667.0</v>
      </c>
      <c r="B1828" s="1" t="s">
        <v>806</v>
      </c>
      <c r="C1828" s="1" t="s">
        <v>807</v>
      </c>
      <c r="D1828" s="1" t="s">
        <v>812</v>
      </c>
      <c r="E1828" s="1">
        <v>-1.25</v>
      </c>
      <c r="F1828" s="1">
        <v>-0.75</v>
      </c>
      <c r="G1828" s="1">
        <v>20.0</v>
      </c>
      <c r="H1828" s="1" t="s">
        <v>809</v>
      </c>
      <c r="I1828" s="1">
        <v>30.0</v>
      </c>
      <c r="J1828" s="1" t="s">
        <v>809</v>
      </c>
      <c r="K1828" s="1">
        <v>1.0</v>
      </c>
      <c r="L1828" s="1">
        <v>30000.0</v>
      </c>
    </row>
    <row r="1829">
      <c r="A1829" s="1">
        <v>667.0</v>
      </c>
      <c r="B1829" s="1" t="s">
        <v>806</v>
      </c>
      <c r="C1829" s="1" t="s">
        <v>810</v>
      </c>
      <c r="D1829" s="1" t="s">
        <v>812</v>
      </c>
      <c r="E1829" s="1">
        <v>-1.25</v>
      </c>
      <c r="F1829" s="1">
        <v>-0.75</v>
      </c>
      <c r="G1829" s="1">
        <v>5.0</v>
      </c>
      <c r="H1829" s="1" t="s">
        <v>809</v>
      </c>
      <c r="I1829" s="1">
        <v>30.0</v>
      </c>
      <c r="J1829" s="1" t="s">
        <v>809</v>
      </c>
      <c r="K1829" s="1">
        <v>1.0</v>
      </c>
      <c r="L1829" s="1">
        <v>30000.0</v>
      </c>
    </row>
    <row r="1830">
      <c r="A1830" s="1">
        <v>667.0</v>
      </c>
      <c r="B1830" s="1" t="s">
        <v>806</v>
      </c>
      <c r="C1830" s="1" t="s">
        <v>809</v>
      </c>
      <c r="D1830" s="1" t="s">
        <v>929</v>
      </c>
      <c r="E1830" s="1" t="s">
        <v>809</v>
      </c>
      <c r="F1830" s="1" t="s">
        <v>809</v>
      </c>
      <c r="G1830" s="1" t="s">
        <v>809</v>
      </c>
      <c r="H1830" s="1" t="s">
        <v>809</v>
      </c>
      <c r="I1830" s="1" t="s">
        <v>809</v>
      </c>
      <c r="J1830" s="1" t="s">
        <v>809</v>
      </c>
      <c r="K1830" s="1">
        <v>1.0</v>
      </c>
      <c r="L1830" s="1">
        <v>120000.0</v>
      </c>
    </row>
    <row r="1831">
      <c r="A1831" s="1">
        <v>668.0</v>
      </c>
      <c r="B1831" s="1" t="s">
        <v>806</v>
      </c>
      <c r="C1831" s="1" t="s">
        <v>807</v>
      </c>
      <c r="D1831" s="1" t="s">
        <v>812</v>
      </c>
      <c r="E1831" s="1">
        <v>-0.5</v>
      </c>
      <c r="F1831" s="1">
        <v>-0.5</v>
      </c>
      <c r="G1831" s="1">
        <v>10.0</v>
      </c>
      <c r="H1831" s="1" t="s">
        <v>809</v>
      </c>
      <c r="I1831" s="1" t="s">
        <v>809</v>
      </c>
      <c r="J1831" s="1" t="s">
        <v>809</v>
      </c>
      <c r="K1831" s="1">
        <v>1.0</v>
      </c>
      <c r="L1831" s="1">
        <v>30000.0</v>
      </c>
    </row>
    <row r="1832">
      <c r="A1832" s="1">
        <v>668.0</v>
      </c>
      <c r="B1832" s="1" t="s">
        <v>806</v>
      </c>
      <c r="C1832" s="1" t="s">
        <v>810</v>
      </c>
      <c r="D1832" s="1" t="s">
        <v>812</v>
      </c>
      <c r="E1832" s="1">
        <v>-0.75</v>
      </c>
      <c r="F1832" s="1">
        <v>-1.0</v>
      </c>
      <c r="G1832" s="1">
        <v>10.0</v>
      </c>
      <c r="H1832" s="1" t="s">
        <v>809</v>
      </c>
      <c r="I1832" s="1" t="s">
        <v>809</v>
      </c>
      <c r="J1832" s="1" t="s">
        <v>809</v>
      </c>
      <c r="K1832" s="1">
        <v>1.0</v>
      </c>
      <c r="L1832" s="1">
        <v>30000.0</v>
      </c>
    </row>
    <row r="1833">
      <c r="A1833" s="1">
        <v>668.0</v>
      </c>
      <c r="B1833" s="1" t="s">
        <v>806</v>
      </c>
      <c r="C1833" s="1" t="s">
        <v>809</v>
      </c>
      <c r="D1833" s="1" t="s">
        <v>910</v>
      </c>
      <c r="E1833" s="1" t="s">
        <v>809</v>
      </c>
      <c r="F1833" s="1" t="s">
        <v>809</v>
      </c>
      <c r="G1833" s="1" t="s">
        <v>809</v>
      </c>
      <c r="H1833" s="1" t="s">
        <v>809</v>
      </c>
      <c r="I1833" s="1" t="s">
        <v>809</v>
      </c>
      <c r="J1833" s="1" t="s">
        <v>809</v>
      </c>
      <c r="K1833" s="1">
        <v>1.0</v>
      </c>
      <c r="L1833" s="1">
        <v>100000.0</v>
      </c>
    </row>
    <row r="1834">
      <c r="A1834" s="1">
        <v>669.0</v>
      </c>
      <c r="B1834" s="1" t="s">
        <v>806</v>
      </c>
      <c r="C1834" s="1" t="s">
        <v>807</v>
      </c>
      <c r="D1834" s="1" t="s">
        <v>836</v>
      </c>
      <c r="E1834" s="1">
        <v>-1.0</v>
      </c>
      <c r="F1834" s="1">
        <v>0.0</v>
      </c>
      <c r="G1834" s="1" t="s">
        <v>809</v>
      </c>
      <c r="H1834" s="1" t="s">
        <v>809</v>
      </c>
      <c r="I1834" s="1" t="s">
        <v>809</v>
      </c>
      <c r="J1834" s="1" t="s">
        <v>809</v>
      </c>
      <c r="K1834" s="1">
        <v>1.0</v>
      </c>
      <c r="L1834" s="1">
        <v>70000.0</v>
      </c>
    </row>
    <row r="1835">
      <c r="A1835" s="1">
        <v>669.0</v>
      </c>
      <c r="B1835" s="1" t="s">
        <v>806</v>
      </c>
      <c r="C1835" s="1" t="s">
        <v>810</v>
      </c>
      <c r="D1835" s="1" t="s">
        <v>836</v>
      </c>
      <c r="E1835" s="1">
        <v>-0.75</v>
      </c>
      <c r="F1835" s="1">
        <v>0.0</v>
      </c>
      <c r="G1835" s="1" t="s">
        <v>809</v>
      </c>
      <c r="H1835" s="1" t="s">
        <v>809</v>
      </c>
      <c r="I1835" s="1" t="s">
        <v>809</v>
      </c>
      <c r="J1835" s="1" t="s">
        <v>809</v>
      </c>
      <c r="K1835" s="1">
        <v>1.0</v>
      </c>
      <c r="L1835" s="1">
        <v>70000.0</v>
      </c>
    </row>
    <row r="1836">
      <c r="A1836" s="1">
        <v>669.0</v>
      </c>
      <c r="B1836" s="1" t="s">
        <v>806</v>
      </c>
      <c r="C1836" s="1" t="s">
        <v>809</v>
      </c>
      <c r="D1836" s="1" t="s">
        <v>829</v>
      </c>
      <c r="E1836" s="1" t="s">
        <v>809</v>
      </c>
      <c r="F1836" s="1" t="s">
        <v>809</v>
      </c>
      <c r="G1836" s="1" t="s">
        <v>809</v>
      </c>
      <c r="H1836" s="1" t="s">
        <v>809</v>
      </c>
      <c r="I1836" s="1" t="s">
        <v>809</v>
      </c>
      <c r="J1836" s="1" t="s">
        <v>809</v>
      </c>
      <c r="K1836" s="1">
        <v>1.0</v>
      </c>
      <c r="L1836" s="1">
        <v>200000.0</v>
      </c>
    </row>
    <row r="1837">
      <c r="A1837" s="1">
        <v>670.0</v>
      </c>
      <c r="B1837" s="1" t="s">
        <v>809</v>
      </c>
      <c r="C1837" s="1" t="s">
        <v>809</v>
      </c>
      <c r="D1837" s="1" t="s">
        <v>1083</v>
      </c>
      <c r="E1837" s="1" t="s">
        <v>809</v>
      </c>
      <c r="F1837" s="1" t="s">
        <v>809</v>
      </c>
      <c r="G1837" s="1" t="s">
        <v>809</v>
      </c>
      <c r="H1837" s="1" t="s">
        <v>809</v>
      </c>
      <c r="I1837" s="1" t="s">
        <v>809</v>
      </c>
      <c r="J1837" s="1" t="s">
        <v>809</v>
      </c>
      <c r="K1837" s="1">
        <v>1.0</v>
      </c>
      <c r="L1837" s="1">
        <v>173000.0</v>
      </c>
    </row>
    <row r="1838">
      <c r="A1838" s="1">
        <v>671.0</v>
      </c>
      <c r="B1838" s="1" t="s">
        <v>806</v>
      </c>
      <c r="C1838" s="1" t="s">
        <v>807</v>
      </c>
      <c r="D1838" s="1" t="s">
        <v>836</v>
      </c>
      <c r="E1838" s="1">
        <v>-3.25</v>
      </c>
      <c r="F1838" s="1">
        <v>-1.25</v>
      </c>
      <c r="G1838" s="1">
        <v>50.0</v>
      </c>
      <c r="H1838" s="1" t="s">
        <v>809</v>
      </c>
      <c r="I1838" s="1">
        <v>28.0</v>
      </c>
      <c r="J1838" s="1">
        <v>26.0</v>
      </c>
      <c r="K1838" s="1">
        <v>1.0</v>
      </c>
      <c r="L1838" s="1">
        <v>55000.0</v>
      </c>
    </row>
    <row r="1839">
      <c r="A1839" s="1">
        <v>671.0</v>
      </c>
      <c r="B1839" s="1" t="s">
        <v>806</v>
      </c>
      <c r="C1839" s="1" t="s">
        <v>810</v>
      </c>
      <c r="D1839" s="1" t="s">
        <v>836</v>
      </c>
      <c r="E1839" s="1">
        <v>-3.25</v>
      </c>
      <c r="F1839" s="1">
        <v>-1.25</v>
      </c>
      <c r="G1839" s="1">
        <v>150.0</v>
      </c>
      <c r="H1839" s="1" t="s">
        <v>809</v>
      </c>
      <c r="I1839" s="1">
        <v>29.0</v>
      </c>
      <c r="J1839" s="1">
        <v>26.0</v>
      </c>
      <c r="K1839" s="1">
        <v>1.0</v>
      </c>
      <c r="L1839" s="1">
        <v>55000.0</v>
      </c>
    </row>
    <row r="1840">
      <c r="A1840" s="1">
        <v>671.0</v>
      </c>
      <c r="B1840" s="1" t="s">
        <v>806</v>
      </c>
      <c r="C1840" s="1" t="s">
        <v>809</v>
      </c>
      <c r="D1840" s="1" t="s">
        <v>929</v>
      </c>
      <c r="E1840" s="1" t="s">
        <v>809</v>
      </c>
      <c r="F1840" s="1" t="s">
        <v>809</v>
      </c>
      <c r="G1840" s="1" t="s">
        <v>809</v>
      </c>
      <c r="H1840" s="1" t="s">
        <v>809</v>
      </c>
      <c r="I1840" s="1" t="s">
        <v>809</v>
      </c>
      <c r="J1840" s="1" t="s">
        <v>809</v>
      </c>
      <c r="K1840" s="1">
        <v>1.0</v>
      </c>
      <c r="L1840" s="1">
        <v>130000.0</v>
      </c>
    </row>
    <row r="1841">
      <c r="A1841" s="1">
        <v>672.0</v>
      </c>
      <c r="B1841" s="1" t="s">
        <v>806</v>
      </c>
      <c r="C1841" s="1" t="s">
        <v>807</v>
      </c>
      <c r="D1841" s="1" t="s">
        <v>836</v>
      </c>
      <c r="E1841" s="1">
        <v>-2.75</v>
      </c>
      <c r="F1841" s="1">
        <v>-1.5</v>
      </c>
      <c r="G1841" s="1">
        <v>180.0</v>
      </c>
      <c r="H1841" s="1" t="s">
        <v>809</v>
      </c>
      <c r="I1841" s="1">
        <v>30.0</v>
      </c>
      <c r="J1841" s="1">
        <v>30.0</v>
      </c>
      <c r="K1841" s="1">
        <v>1.0</v>
      </c>
      <c r="L1841" s="1">
        <v>72500.0</v>
      </c>
    </row>
    <row r="1842">
      <c r="A1842" s="1">
        <v>672.0</v>
      </c>
      <c r="B1842" s="1" t="s">
        <v>806</v>
      </c>
      <c r="C1842" s="1" t="s">
        <v>810</v>
      </c>
      <c r="D1842" s="1" t="s">
        <v>836</v>
      </c>
      <c r="E1842" s="1">
        <v>-2.5</v>
      </c>
      <c r="F1842" s="1">
        <v>-2.0</v>
      </c>
      <c r="G1842" s="1">
        <v>160.0</v>
      </c>
      <c r="H1842" s="1" t="s">
        <v>809</v>
      </c>
      <c r="I1842" s="1">
        <v>32.0</v>
      </c>
      <c r="J1842" s="1">
        <v>29.0</v>
      </c>
      <c r="K1842" s="1">
        <v>1.0</v>
      </c>
      <c r="L1842" s="1">
        <v>72500.0</v>
      </c>
    </row>
    <row r="1843">
      <c r="A1843" s="1">
        <v>672.0</v>
      </c>
      <c r="B1843" s="1" t="s">
        <v>806</v>
      </c>
      <c r="C1843" s="1" t="s">
        <v>809</v>
      </c>
      <c r="D1843" s="1" t="s">
        <v>929</v>
      </c>
      <c r="E1843" s="1" t="s">
        <v>809</v>
      </c>
      <c r="F1843" s="1" t="s">
        <v>809</v>
      </c>
      <c r="G1843" s="1" t="s">
        <v>809</v>
      </c>
      <c r="H1843" s="1" t="s">
        <v>809</v>
      </c>
      <c r="I1843" s="1" t="s">
        <v>809</v>
      </c>
      <c r="J1843" s="1" t="s">
        <v>809</v>
      </c>
      <c r="K1843" s="1">
        <v>1.0</v>
      </c>
      <c r="L1843" s="1">
        <v>120000.0</v>
      </c>
    </row>
    <row r="1844">
      <c r="A1844" s="1">
        <v>673.0</v>
      </c>
      <c r="B1844" s="1" t="s">
        <v>806</v>
      </c>
      <c r="C1844" s="1" t="s">
        <v>807</v>
      </c>
      <c r="D1844" s="1" t="s">
        <v>836</v>
      </c>
      <c r="E1844" s="1">
        <v>0.0</v>
      </c>
      <c r="F1844" s="1">
        <v>-0.5</v>
      </c>
      <c r="G1844" s="1">
        <v>0.0</v>
      </c>
      <c r="H1844" s="1" t="s">
        <v>809</v>
      </c>
      <c r="I1844" s="1">
        <v>32.0</v>
      </c>
      <c r="J1844" s="1">
        <v>26.0</v>
      </c>
      <c r="K1844" s="1">
        <v>1.0</v>
      </c>
      <c r="L1844" s="1">
        <v>72500.0</v>
      </c>
    </row>
    <row r="1845">
      <c r="A1845" s="1">
        <v>673.0</v>
      </c>
      <c r="B1845" s="1" t="s">
        <v>806</v>
      </c>
      <c r="C1845" s="1" t="s">
        <v>810</v>
      </c>
      <c r="D1845" s="1" t="s">
        <v>836</v>
      </c>
      <c r="E1845" s="1">
        <v>0.0</v>
      </c>
      <c r="F1845" s="1">
        <v>-0.5</v>
      </c>
      <c r="G1845" s="1">
        <v>0.0</v>
      </c>
      <c r="H1845" s="1" t="s">
        <v>809</v>
      </c>
      <c r="I1845" s="1">
        <v>32.0</v>
      </c>
      <c r="J1845" s="1">
        <v>26.0</v>
      </c>
      <c r="K1845" s="1">
        <v>1.0</v>
      </c>
      <c r="L1845" s="1">
        <v>72500.0</v>
      </c>
    </row>
    <row r="1846">
      <c r="A1846" s="1">
        <v>673.0</v>
      </c>
      <c r="B1846" s="1" t="s">
        <v>806</v>
      </c>
      <c r="C1846" s="1" t="s">
        <v>809</v>
      </c>
      <c r="D1846" s="1" t="s">
        <v>929</v>
      </c>
      <c r="E1846" s="1" t="s">
        <v>809</v>
      </c>
      <c r="F1846" s="1" t="s">
        <v>809</v>
      </c>
      <c r="G1846" s="1" t="s">
        <v>809</v>
      </c>
      <c r="H1846" s="1" t="s">
        <v>809</v>
      </c>
      <c r="I1846" s="1" t="s">
        <v>809</v>
      </c>
      <c r="J1846" s="1" t="s">
        <v>809</v>
      </c>
      <c r="K1846" s="1">
        <v>1.0</v>
      </c>
      <c r="L1846" s="1">
        <v>175000.0</v>
      </c>
    </row>
    <row r="1847">
      <c r="A1847" s="1">
        <v>674.0</v>
      </c>
      <c r="B1847" s="1" t="s">
        <v>806</v>
      </c>
      <c r="C1847" s="1" t="s">
        <v>807</v>
      </c>
      <c r="D1847" s="1" t="s">
        <v>826</v>
      </c>
      <c r="E1847" s="1">
        <v>0.0</v>
      </c>
      <c r="F1847" s="1">
        <v>-0.25</v>
      </c>
      <c r="G1847" s="1">
        <v>140.0</v>
      </c>
      <c r="H1847" s="1" t="s">
        <v>809</v>
      </c>
      <c r="I1847" s="1">
        <v>27.0</v>
      </c>
      <c r="J1847" s="1">
        <v>22.0</v>
      </c>
      <c r="K1847" s="1">
        <v>1.0</v>
      </c>
      <c r="L1847" s="1">
        <v>15000.0</v>
      </c>
    </row>
    <row r="1848">
      <c r="A1848" s="1">
        <v>674.0</v>
      </c>
      <c r="B1848" s="1" t="s">
        <v>806</v>
      </c>
      <c r="C1848" s="1" t="s">
        <v>810</v>
      </c>
      <c r="D1848" s="1" t="s">
        <v>826</v>
      </c>
      <c r="E1848" s="1">
        <v>-1.0</v>
      </c>
      <c r="F1848" s="1">
        <v>0.0</v>
      </c>
      <c r="G1848" s="1" t="s">
        <v>809</v>
      </c>
      <c r="H1848" s="1" t="s">
        <v>809</v>
      </c>
      <c r="I1848" s="1">
        <v>28.0</v>
      </c>
      <c r="J1848" s="1">
        <v>22.0</v>
      </c>
      <c r="K1848" s="1">
        <v>1.0</v>
      </c>
      <c r="L1848" s="1">
        <v>15000.0</v>
      </c>
    </row>
    <row r="1849">
      <c r="A1849" s="1">
        <v>674.0</v>
      </c>
      <c r="B1849" s="1" t="s">
        <v>806</v>
      </c>
      <c r="C1849" s="1" t="s">
        <v>809</v>
      </c>
      <c r="D1849" s="1" t="s">
        <v>910</v>
      </c>
      <c r="E1849" s="1" t="s">
        <v>809</v>
      </c>
      <c r="F1849" s="1" t="s">
        <v>809</v>
      </c>
      <c r="G1849" s="1" t="s">
        <v>809</v>
      </c>
      <c r="H1849" s="1" t="s">
        <v>809</v>
      </c>
      <c r="I1849" s="1" t="s">
        <v>809</v>
      </c>
      <c r="J1849" s="1" t="s">
        <v>809</v>
      </c>
      <c r="K1849" s="1">
        <v>1.0</v>
      </c>
      <c r="L1849" s="1">
        <v>145000.0</v>
      </c>
    </row>
    <row r="1850">
      <c r="A1850" s="1">
        <v>675.0</v>
      </c>
      <c r="B1850" s="1" t="s">
        <v>806</v>
      </c>
      <c r="C1850" s="1" t="s">
        <v>807</v>
      </c>
      <c r="D1850" s="1" t="s">
        <v>812</v>
      </c>
      <c r="E1850" s="1">
        <v>0.0</v>
      </c>
      <c r="F1850" s="1">
        <v>-1.5</v>
      </c>
      <c r="G1850" s="1">
        <v>167.0</v>
      </c>
      <c r="H1850" s="1" t="s">
        <v>809</v>
      </c>
      <c r="I1850" s="1" t="s">
        <v>809</v>
      </c>
      <c r="J1850" s="1" t="s">
        <v>809</v>
      </c>
      <c r="K1850" s="1">
        <v>1.0</v>
      </c>
      <c r="L1850" s="1">
        <v>30000.0</v>
      </c>
    </row>
    <row r="1851">
      <c r="A1851" s="1">
        <v>675.0</v>
      </c>
      <c r="B1851" s="1" t="s">
        <v>806</v>
      </c>
      <c r="C1851" s="1" t="s">
        <v>810</v>
      </c>
      <c r="D1851" s="1" t="s">
        <v>812</v>
      </c>
      <c r="E1851" s="1">
        <v>0.0</v>
      </c>
      <c r="F1851" s="1">
        <v>0.0</v>
      </c>
      <c r="G1851" s="1" t="s">
        <v>809</v>
      </c>
      <c r="H1851" s="1" t="s">
        <v>809</v>
      </c>
      <c r="I1851" s="1" t="s">
        <v>809</v>
      </c>
      <c r="J1851" s="1" t="s">
        <v>809</v>
      </c>
      <c r="K1851" s="1">
        <v>1.0</v>
      </c>
      <c r="L1851" s="1">
        <v>30000.0</v>
      </c>
    </row>
    <row r="1852">
      <c r="A1852" s="1">
        <v>675.0</v>
      </c>
      <c r="B1852" s="1" t="s">
        <v>806</v>
      </c>
      <c r="C1852" s="1" t="s">
        <v>809</v>
      </c>
      <c r="D1852" s="1" t="s">
        <v>929</v>
      </c>
      <c r="E1852" s="1" t="s">
        <v>809</v>
      </c>
      <c r="F1852" s="1" t="s">
        <v>809</v>
      </c>
      <c r="G1852" s="1" t="s">
        <v>809</v>
      </c>
      <c r="H1852" s="1" t="s">
        <v>809</v>
      </c>
      <c r="I1852" s="1" t="s">
        <v>809</v>
      </c>
      <c r="J1852" s="1" t="s">
        <v>809</v>
      </c>
      <c r="K1852" s="1">
        <v>1.0</v>
      </c>
      <c r="L1852" s="1">
        <v>140000.0</v>
      </c>
    </row>
    <row r="1853">
      <c r="A1853" s="1">
        <v>675.0</v>
      </c>
      <c r="B1853" s="1" t="s">
        <v>825</v>
      </c>
      <c r="C1853" s="1" t="s">
        <v>807</v>
      </c>
      <c r="D1853" s="1" t="s">
        <v>812</v>
      </c>
      <c r="E1853" s="1">
        <v>0.0</v>
      </c>
      <c r="F1853" s="1">
        <v>0.0</v>
      </c>
      <c r="G1853" s="1" t="s">
        <v>809</v>
      </c>
      <c r="H1853" s="1" t="s">
        <v>809</v>
      </c>
      <c r="I1853" s="1" t="s">
        <v>809</v>
      </c>
      <c r="J1853" s="1" t="s">
        <v>809</v>
      </c>
      <c r="K1853" s="1">
        <v>1.0</v>
      </c>
      <c r="L1853" s="1">
        <v>30000.0</v>
      </c>
    </row>
    <row r="1854">
      <c r="A1854" s="1">
        <v>675.0</v>
      </c>
      <c r="B1854" s="1" t="s">
        <v>825</v>
      </c>
      <c r="C1854" s="1" t="s">
        <v>810</v>
      </c>
      <c r="D1854" s="1" t="s">
        <v>812</v>
      </c>
      <c r="E1854" s="1">
        <v>-0.75</v>
      </c>
      <c r="F1854" s="1">
        <v>0.0</v>
      </c>
      <c r="G1854" s="1" t="s">
        <v>809</v>
      </c>
      <c r="H1854" s="1" t="s">
        <v>809</v>
      </c>
      <c r="I1854" s="1" t="s">
        <v>809</v>
      </c>
      <c r="J1854" s="1" t="s">
        <v>809</v>
      </c>
      <c r="K1854" s="1">
        <v>1.0</v>
      </c>
      <c r="L1854" s="1">
        <v>30000.0</v>
      </c>
    </row>
    <row r="1855">
      <c r="A1855" s="1">
        <v>675.0</v>
      </c>
      <c r="B1855" s="1" t="s">
        <v>825</v>
      </c>
      <c r="C1855" s="1" t="s">
        <v>809</v>
      </c>
      <c r="D1855" s="1" t="s">
        <v>929</v>
      </c>
      <c r="E1855" s="1" t="s">
        <v>809</v>
      </c>
      <c r="F1855" s="1" t="s">
        <v>809</v>
      </c>
      <c r="G1855" s="1" t="s">
        <v>809</v>
      </c>
      <c r="H1855" s="1" t="s">
        <v>809</v>
      </c>
      <c r="I1855" s="1" t="s">
        <v>809</v>
      </c>
      <c r="J1855" s="1" t="s">
        <v>809</v>
      </c>
      <c r="K1855" s="1">
        <v>1.0</v>
      </c>
      <c r="L1855" s="1">
        <v>140000.0</v>
      </c>
    </row>
    <row r="1856">
      <c r="A1856" s="1">
        <v>676.0</v>
      </c>
      <c r="B1856" s="1" t="s">
        <v>806</v>
      </c>
      <c r="C1856" s="1" t="s">
        <v>807</v>
      </c>
      <c r="D1856" s="1" t="s">
        <v>865</v>
      </c>
      <c r="E1856" s="1">
        <v>-0.25</v>
      </c>
      <c r="F1856" s="1">
        <v>0.0</v>
      </c>
      <c r="G1856" s="1" t="s">
        <v>809</v>
      </c>
      <c r="H1856" s="1" t="s">
        <v>809</v>
      </c>
      <c r="I1856" s="1">
        <v>27.0</v>
      </c>
      <c r="J1856" s="1">
        <v>23.0</v>
      </c>
      <c r="K1856" s="1">
        <v>1.0</v>
      </c>
      <c r="L1856" s="1">
        <v>60000.0</v>
      </c>
    </row>
    <row r="1857">
      <c r="A1857" s="1">
        <v>676.0</v>
      </c>
      <c r="B1857" s="1" t="s">
        <v>806</v>
      </c>
      <c r="C1857" s="1" t="s">
        <v>810</v>
      </c>
      <c r="D1857" s="1" t="s">
        <v>865</v>
      </c>
      <c r="E1857" s="1">
        <v>-0.25</v>
      </c>
      <c r="F1857" s="1">
        <v>0.0</v>
      </c>
      <c r="G1857" s="1" t="s">
        <v>809</v>
      </c>
      <c r="H1857" s="1" t="s">
        <v>809</v>
      </c>
      <c r="I1857" s="1">
        <v>27.0</v>
      </c>
      <c r="J1857" s="1">
        <v>23.0</v>
      </c>
      <c r="K1857" s="1">
        <v>1.0</v>
      </c>
      <c r="L1857" s="1">
        <v>60000.0</v>
      </c>
    </row>
    <row r="1858">
      <c r="A1858" s="1">
        <v>676.0</v>
      </c>
      <c r="B1858" s="1" t="s">
        <v>806</v>
      </c>
      <c r="C1858" s="1" t="s">
        <v>809</v>
      </c>
      <c r="D1858" s="1" t="s">
        <v>957</v>
      </c>
      <c r="E1858" s="1" t="s">
        <v>809</v>
      </c>
      <c r="F1858" s="1" t="s">
        <v>809</v>
      </c>
      <c r="G1858" s="1" t="s">
        <v>809</v>
      </c>
      <c r="H1858" s="1" t="s">
        <v>809</v>
      </c>
      <c r="I1858" s="1" t="s">
        <v>809</v>
      </c>
      <c r="J1858" s="1" t="s">
        <v>809</v>
      </c>
      <c r="K1858" s="1">
        <v>1.0</v>
      </c>
      <c r="L1858" s="1">
        <v>130000.0</v>
      </c>
    </row>
    <row r="1859">
      <c r="A1859" s="1">
        <v>677.0</v>
      </c>
      <c r="B1859" s="1" t="s">
        <v>806</v>
      </c>
      <c r="C1859" s="1" t="s">
        <v>807</v>
      </c>
      <c r="D1859" s="1" t="s">
        <v>823</v>
      </c>
      <c r="E1859" s="1">
        <v>0.0</v>
      </c>
      <c r="F1859" s="1">
        <v>0.0</v>
      </c>
      <c r="G1859" s="1" t="s">
        <v>809</v>
      </c>
      <c r="H1859" s="1" t="s">
        <v>809</v>
      </c>
      <c r="I1859" s="1" t="s">
        <v>809</v>
      </c>
      <c r="J1859" s="1" t="s">
        <v>809</v>
      </c>
      <c r="K1859" s="1">
        <v>1.0</v>
      </c>
      <c r="L1859" s="1">
        <v>341000.0</v>
      </c>
    </row>
    <row r="1860">
      <c r="A1860" s="1">
        <v>677.0</v>
      </c>
      <c r="B1860" s="1" t="s">
        <v>806</v>
      </c>
      <c r="C1860" s="1" t="s">
        <v>810</v>
      </c>
      <c r="D1860" s="1" t="s">
        <v>823</v>
      </c>
      <c r="E1860" s="1">
        <v>0.0</v>
      </c>
      <c r="F1860" s="1">
        <v>0.0</v>
      </c>
      <c r="G1860" s="1" t="s">
        <v>809</v>
      </c>
      <c r="H1860" s="1" t="s">
        <v>809</v>
      </c>
      <c r="I1860" s="1" t="s">
        <v>809</v>
      </c>
      <c r="J1860" s="1" t="s">
        <v>809</v>
      </c>
      <c r="K1860" s="1">
        <v>1.0</v>
      </c>
      <c r="L1860" s="1">
        <v>341000.0</v>
      </c>
    </row>
    <row r="1861">
      <c r="A1861" s="1">
        <v>677.0</v>
      </c>
      <c r="B1861" s="1" t="s">
        <v>806</v>
      </c>
      <c r="C1861" s="1" t="s">
        <v>809</v>
      </c>
      <c r="D1861" s="1" t="s">
        <v>912</v>
      </c>
      <c r="E1861" s="1" t="s">
        <v>809</v>
      </c>
      <c r="F1861" s="1" t="s">
        <v>809</v>
      </c>
      <c r="G1861" s="1" t="s">
        <v>809</v>
      </c>
      <c r="H1861" s="1" t="s">
        <v>809</v>
      </c>
      <c r="I1861" s="1" t="s">
        <v>809</v>
      </c>
      <c r="J1861" s="1" t="s">
        <v>809</v>
      </c>
      <c r="K1861" s="1">
        <v>1.0</v>
      </c>
      <c r="L1861" s="1">
        <v>140000.0</v>
      </c>
    </row>
    <row r="1862">
      <c r="A1862" s="1">
        <v>678.0</v>
      </c>
      <c r="B1862" s="1" t="s">
        <v>806</v>
      </c>
      <c r="C1862" s="1" t="s">
        <v>807</v>
      </c>
      <c r="D1862" s="1" t="s">
        <v>823</v>
      </c>
      <c r="E1862" s="1">
        <v>0.5</v>
      </c>
      <c r="F1862" s="1">
        <v>-0.5</v>
      </c>
      <c r="G1862" s="1">
        <v>180.0</v>
      </c>
      <c r="H1862" s="1" t="s">
        <v>809</v>
      </c>
      <c r="I1862" s="1">
        <v>30.0</v>
      </c>
      <c r="J1862" s="1" t="s">
        <v>809</v>
      </c>
      <c r="K1862" s="1">
        <v>1.0</v>
      </c>
      <c r="L1862" s="1">
        <v>330000.0</v>
      </c>
    </row>
    <row r="1863">
      <c r="A1863" s="1">
        <v>678.0</v>
      </c>
      <c r="B1863" s="1" t="s">
        <v>806</v>
      </c>
      <c r="C1863" s="1" t="s">
        <v>810</v>
      </c>
      <c r="D1863" s="1" t="s">
        <v>823</v>
      </c>
      <c r="E1863" s="1">
        <v>0.5</v>
      </c>
      <c r="F1863" s="1">
        <v>-0.5</v>
      </c>
      <c r="G1863" s="1">
        <v>15.0</v>
      </c>
      <c r="H1863" s="1" t="s">
        <v>809</v>
      </c>
      <c r="I1863" s="1">
        <v>32.0</v>
      </c>
      <c r="J1863" s="1" t="s">
        <v>809</v>
      </c>
      <c r="K1863" s="1">
        <v>1.0</v>
      </c>
      <c r="L1863" s="1">
        <v>330000.0</v>
      </c>
    </row>
    <row r="1864">
      <c r="A1864" s="1">
        <v>679.0</v>
      </c>
      <c r="B1864" s="1" t="s">
        <v>806</v>
      </c>
      <c r="C1864" s="1" t="s">
        <v>807</v>
      </c>
      <c r="D1864" s="1" t="s">
        <v>812</v>
      </c>
      <c r="E1864" s="1">
        <v>0.0</v>
      </c>
      <c r="F1864" s="1">
        <v>-0.5</v>
      </c>
      <c r="G1864" s="1">
        <v>125.0</v>
      </c>
      <c r="H1864" s="1" t="s">
        <v>809</v>
      </c>
      <c r="I1864" s="1">
        <v>30.0</v>
      </c>
      <c r="J1864" s="1" t="s">
        <v>809</v>
      </c>
      <c r="K1864" s="1">
        <v>1.0</v>
      </c>
      <c r="L1864" s="1">
        <v>28000.0</v>
      </c>
    </row>
    <row r="1865">
      <c r="A1865" s="1">
        <v>679.0</v>
      </c>
      <c r="B1865" s="1" t="s">
        <v>806</v>
      </c>
      <c r="C1865" s="1" t="s">
        <v>810</v>
      </c>
      <c r="D1865" s="1" t="s">
        <v>812</v>
      </c>
      <c r="E1865" s="1">
        <v>0.25</v>
      </c>
      <c r="F1865" s="1">
        <v>-1.0</v>
      </c>
      <c r="G1865" s="1">
        <v>55.0</v>
      </c>
      <c r="H1865" s="1" t="s">
        <v>809</v>
      </c>
      <c r="I1865" s="1">
        <v>30.0</v>
      </c>
      <c r="J1865" s="1" t="s">
        <v>809</v>
      </c>
      <c r="K1865" s="1">
        <v>1.0</v>
      </c>
      <c r="L1865" s="1">
        <v>28000.0</v>
      </c>
    </row>
    <row r="1866">
      <c r="A1866" s="1">
        <v>679.0</v>
      </c>
      <c r="B1866" s="1" t="s">
        <v>806</v>
      </c>
      <c r="C1866" s="1" t="s">
        <v>809</v>
      </c>
      <c r="D1866" s="1" t="s">
        <v>1084</v>
      </c>
      <c r="E1866" s="1" t="s">
        <v>809</v>
      </c>
      <c r="F1866" s="1" t="s">
        <v>809</v>
      </c>
      <c r="G1866" s="1" t="s">
        <v>809</v>
      </c>
      <c r="H1866" s="1" t="s">
        <v>809</v>
      </c>
      <c r="I1866" s="1" t="s">
        <v>809</v>
      </c>
      <c r="J1866" s="1" t="s">
        <v>809</v>
      </c>
      <c r="K1866" s="1">
        <v>1.0</v>
      </c>
      <c r="L1866" s="1">
        <v>170000.0</v>
      </c>
    </row>
    <row r="1867">
      <c r="A1867" s="1">
        <v>680.0</v>
      </c>
      <c r="B1867" s="1" t="s">
        <v>806</v>
      </c>
      <c r="C1867" s="1" t="s">
        <v>807</v>
      </c>
      <c r="D1867" s="1" t="s">
        <v>812</v>
      </c>
      <c r="E1867" s="1">
        <v>5.75</v>
      </c>
      <c r="F1867" s="1">
        <v>-1.5</v>
      </c>
      <c r="G1867" s="1">
        <v>40.0</v>
      </c>
      <c r="H1867" s="1" t="s">
        <v>809</v>
      </c>
      <c r="I1867" s="1" t="s">
        <v>809</v>
      </c>
      <c r="J1867" s="1" t="s">
        <v>809</v>
      </c>
      <c r="K1867" s="1">
        <v>1.0</v>
      </c>
      <c r="L1867" s="1">
        <v>45000.0</v>
      </c>
    </row>
    <row r="1868">
      <c r="A1868" s="1">
        <v>680.0</v>
      </c>
      <c r="B1868" s="1" t="s">
        <v>806</v>
      </c>
      <c r="C1868" s="1" t="s">
        <v>810</v>
      </c>
      <c r="D1868" s="1" t="s">
        <v>812</v>
      </c>
      <c r="E1868" s="1">
        <v>4.25</v>
      </c>
      <c r="F1868" s="1">
        <v>0.0</v>
      </c>
      <c r="G1868" s="1" t="s">
        <v>809</v>
      </c>
      <c r="H1868" s="1" t="s">
        <v>809</v>
      </c>
      <c r="I1868" s="1" t="s">
        <v>809</v>
      </c>
      <c r="J1868" s="1" t="s">
        <v>809</v>
      </c>
      <c r="K1868" s="1">
        <v>1.0</v>
      </c>
      <c r="L1868" s="1">
        <v>45000.0</v>
      </c>
    </row>
    <row r="1869">
      <c r="A1869" s="1">
        <v>680.0</v>
      </c>
      <c r="B1869" s="1" t="s">
        <v>806</v>
      </c>
      <c r="C1869" s="1" t="s">
        <v>809</v>
      </c>
      <c r="D1869" s="1" t="s">
        <v>884</v>
      </c>
      <c r="E1869" s="1" t="s">
        <v>809</v>
      </c>
      <c r="F1869" s="1" t="s">
        <v>809</v>
      </c>
      <c r="G1869" s="1" t="s">
        <v>809</v>
      </c>
      <c r="H1869" s="1" t="s">
        <v>809</v>
      </c>
      <c r="I1869" s="1" t="s">
        <v>809</v>
      </c>
      <c r="J1869" s="1" t="s">
        <v>809</v>
      </c>
      <c r="K1869" s="1">
        <v>1.0</v>
      </c>
      <c r="L1869" s="1">
        <v>140000.0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2</v>
      </c>
      <c r="B1" s="1" t="s">
        <v>1085</v>
      </c>
      <c r="C1" s="1" t="s">
        <v>1086</v>
      </c>
      <c r="D1" s="1" t="s">
        <v>1087</v>
      </c>
      <c r="E1" s="1" t="s">
        <v>1088</v>
      </c>
      <c r="F1" s="1" t="s">
        <v>1089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9</v>
      </c>
      <c r="S1" s="1" t="s">
        <v>1101</v>
      </c>
      <c r="T1" s="1" t="s">
        <v>1102</v>
      </c>
    </row>
    <row r="2">
      <c r="A2" s="1" t="s">
        <v>1103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>
        <v>0.0</v>
      </c>
      <c r="L2" s="1">
        <v>0.0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2">
        <v>45736.837905092594</v>
      </c>
      <c r="T2" s="2">
        <v>45736.837905092594</v>
      </c>
    </row>
    <row r="3">
      <c r="A3" s="1" t="s">
        <v>1104</v>
      </c>
      <c r="B3" s="1" t="s">
        <v>25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>
        <v>0.0</v>
      </c>
      <c r="L3" s="1">
        <v>0.0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2">
        <v>45736.83799768519</v>
      </c>
      <c r="T3" s="2">
        <v>45736.83799768519</v>
      </c>
    </row>
    <row r="4">
      <c r="A4" s="1" t="s">
        <v>1105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>
        <v>0.0</v>
      </c>
      <c r="L4" s="1">
        <v>0.0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2">
        <v>45736.83813657407</v>
      </c>
      <c r="T4" s="2">
        <v>45736.83813657407</v>
      </c>
    </row>
    <row r="5">
      <c r="A5" s="1" t="s">
        <v>1106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>
        <v>0.0</v>
      </c>
      <c r="L5" s="1">
        <v>0.0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2">
        <v>45736.83825231482</v>
      </c>
      <c r="T5" s="2">
        <v>45736.83825231482</v>
      </c>
    </row>
    <row r="6">
      <c r="A6" s="1" t="s">
        <v>1107</v>
      </c>
      <c r="B6" s="1" t="s">
        <v>25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>
        <v>0.0</v>
      </c>
      <c r="L6" s="1">
        <v>0.0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2">
        <v>45736.83833333333</v>
      </c>
      <c r="T6" s="2">
        <v>45736.83833333333</v>
      </c>
    </row>
    <row r="7">
      <c r="A7" s="1" t="s">
        <v>1108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>
        <v>0.0</v>
      </c>
      <c r="L7" s="1">
        <v>0.0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2">
        <v>45736.83841435185</v>
      </c>
      <c r="T7" s="2">
        <v>45736.83841435185</v>
      </c>
    </row>
    <row r="8">
      <c r="A8" s="1" t="s">
        <v>1109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>
        <v>0.0</v>
      </c>
      <c r="L8" s="1">
        <v>0.0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2">
        <v>45736.838541666664</v>
      </c>
      <c r="T8" s="2">
        <v>45736.838541666664</v>
      </c>
    </row>
    <row r="9">
      <c r="A9" s="1" t="s">
        <v>1110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25</v>
      </c>
      <c r="H9" s="1" t="s">
        <v>25</v>
      </c>
      <c r="I9" s="1" t="s">
        <v>25</v>
      </c>
      <c r="J9" s="1" t="s">
        <v>25</v>
      </c>
      <c r="K9" s="1">
        <v>0.0</v>
      </c>
      <c r="L9" s="1">
        <v>0.0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2">
        <v>45736.838784722226</v>
      </c>
      <c r="T9" s="2">
        <v>45736.838784722226</v>
      </c>
    </row>
    <row r="10">
      <c r="A10" s="1" t="s">
        <v>1111</v>
      </c>
      <c r="B10" s="1">
        <v>2.0</v>
      </c>
      <c r="C10" s="1">
        <v>96.0</v>
      </c>
      <c r="D10" s="1">
        <v>4.0940664E7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>
        <v>3.516539858E9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  <c r="S10" s="2">
        <v>45737.80929398148</v>
      </c>
      <c r="T10" s="2">
        <v>45737.80929398148</v>
      </c>
    </row>
    <row r="11">
      <c r="A11" s="1" t="s">
        <v>1112</v>
      </c>
      <c r="B11" s="1" t="s">
        <v>25</v>
      </c>
      <c r="C11" s="1">
        <v>96.0</v>
      </c>
      <c r="D11" s="1">
        <v>3.8615231E7</v>
      </c>
      <c r="E11" s="1" t="s">
        <v>25</v>
      </c>
      <c r="F11" s="1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>
        <v>5333000.0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2">
        <v>45743.812523148146</v>
      </c>
      <c r="T11" s="2">
        <v>45743.812523148146</v>
      </c>
    </row>
    <row r="12">
      <c r="A12" s="1" t="s">
        <v>248</v>
      </c>
      <c r="B12" s="1" t="s">
        <v>25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>
        <v>3.541215971E9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25</v>
      </c>
      <c r="S12" s="2">
        <v>45744.79417824074</v>
      </c>
      <c r="T12" s="2">
        <v>45745.5880787037</v>
      </c>
    </row>
    <row r="13">
      <c r="A13" s="1" t="s">
        <v>1113</v>
      </c>
      <c r="B13" s="1">
        <v>1.0</v>
      </c>
      <c r="C13" s="1">
        <v>96.0</v>
      </c>
      <c r="D13" s="1">
        <v>3.53313555E8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>
        <v>3.512532603E9</v>
      </c>
      <c r="N13" s="1" t="s">
        <v>25</v>
      </c>
      <c r="O13" s="1" t="s">
        <v>25</v>
      </c>
      <c r="P13" s="1" t="s">
        <v>25</v>
      </c>
      <c r="Q13" s="1">
        <v>5.0</v>
      </c>
      <c r="R13" s="1" t="s">
        <v>25</v>
      </c>
      <c r="S13" s="2">
        <v>45745.53273148148</v>
      </c>
      <c r="T13" s="2">
        <v>45758.463275462964</v>
      </c>
    </row>
    <row r="14">
      <c r="A14" s="1" t="s">
        <v>1114</v>
      </c>
      <c r="B14" s="1">
        <v>1.0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>
        <v>3.512026664E9</v>
      </c>
      <c r="N14" s="1" t="s">
        <v>25</v>
      </c>
      <c r="O14" s="1" t="s">
        <v>25</v>
      </c>
      <c r="P14" s="1" t="s">
        <v>25</v>
      </c>
      <c r="Q14" s="1">
        <v>7.0</v>
      </c>
      <c r="R14" s="1" t="s">
        <v>25</v>
      </c>
      <c r="S14" s="2">
        <v>45745.55232638889</v>
      </c>
      <c r="T14" s="2">
        <v>45751.72759259259</v>
      </c>
    </row>
    <row r="15">
      <c r="A15" s="1" t="s">
        <v>1115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>
        <v>3.516539858E9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  <c r="S15" s="2">
        <v>45745.58025462963</v>
      </c>
      <c r="T15" s="2">
        <v>45751.72707175926</v>
      </c>
    </row>
    <row r="16">
      <c r="A16" s="1" t="s">
        <v>1116</v>
      </c>
      <c r="B16" s="1" t="s">
        <v>25</v>
      </c>
      <c r="C16" s="1" t="s">
        <v>25</v>
      </c>
      <c r="D16" s="1">
        <v>2.020202E7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>
        <v>2.0202020202E10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2">
        <v>45747.399872685186</v>
      </c>
      <c r="T16" s="2">
        <v>45747.399872685186</v>
      </c>
    </row>
    <row r="17">
      <c r="A17" s="1" t="s">
        <v>10</v>
      </c>
      <c r="B17" s="1" t="s">
        <v>25</v>
      </c>
      <c r="C17" s="1" t="s">
        <v>25</v>
      </c>
      <c r="D17" s="1">
        <v>3.1251929E7</v>
      </c>
      <c r="E17" s="1" t="s">
        <v>25</v>
      </c>
      <c r="F17" s="1" t="s">
        <v>25</v>
      </c>
      <c r="G17" s="1" t="s">
        <v>25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  <c r="Q17" s="1">
        <v>8.0</v>
      </c>
      <c r="R17" s="1" t="s">
        <v>25</v>
      </c>
      <c r="S17" s="2">
        <v>45748.712002314816</v>
      </c>
      <c r="T17" s="2">
        <v>45748.81658564815</v>
      </c>
    </row>
    <row r="18">
      <c r="A18" s="1" t="s">
        <v>17</v>
      </c>
      <c r="B18" s="1">
        <v>2.0</v>
      </c>
      <c r="C18" s="1">
        <v>96.0</v>
      </c>
      <c r="D18" s="4">
        <v>2.9207798E7</v>
      </c>
      <c r="E18" s="1" t="s">
        <v>25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1" t="s">
        <v>25</v>
      </c>
      <c r="P18" s="1" t="s">
        <v>25</v>
      </c>
      <c r="Q18" s="1">
        <v>7.0</v>
      </c>
      <c r="R18" s="1" t="s">
        <v>25</v>
      </c>
      <c r="S18" s="2">
        <v>45748.85545138889</v>
      </c>
      <c r="T18" s="2">
        <v>45751.72692129629</v>
      </c>
    </row>
    <row r="19">
      <c r="A19" s="1" t="s">
        <v>1117</v>
      </c>
      <c r="B19" s="1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25</v>
      </c>
      <c r="Q19" s="1">
        <v>8.0</v>
      </c>
      <c r="R19" s="1" t="s">
        <v>25</v>
      </c>
      <c r="S19" s="2">
        <v>45750.74130787037</v>
      </c>
      <c r="T19" s="2">
        <v>45751.72723379629</v>
      </c>
    </row>
    <row r="20">
      <c r="A20" s="1" t="s">
        <v>22</v>
      </c>
      <c r="B20" s="1" t="s">
        <v>25</v>
      </c>
      <c r="C20" s="1" t="s">
        <v>25</v>
      </c>
      <c r="D20" s="1">
        <v>1.674339E7</v>
      </c>
      <c r="E20" s="1" t="s">
        <v>25</v>
      </c>
      <c r="F20" s="1" t="s">
        <v>25</v>
      </c>
      <c r="G20" s="1" t="s">
        <v>25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25</v>
      </c>
      <c r="Q20" s="1">
        <v>2.0</v>
      </c>
      <c r="R20" s="1" t="s">
        <v>25</v>
      </c>
      <c r="S20" s="2">
        <v>45750.76733796296</v>
      </c>
      <c r="T20" s="2">
        <v>45751.72672453704</v>
      </c>
    </row>
    <row r="21">
      <c r="A21" s="1" t="s">
        <v>19</v>
      </c>
      <c r="B21" s="1">
        <v>2.0</v>
      </c>
      <c r="C21" s="1" t="s">
        <v>25</v>
      </c>
      <c r="D21" s="1">
        <v>3.8562554E7</v>
      </c>
      <c r="E21" s="1" t="s">
        <v>25</v>
      </c>
      <c r="F21" s="1" t="s">
        <v>25</v>
      </c>
      <c r="G21" s="1" t="s">
        <v>25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1118</v>
      </c>
      <c r="N21" s="1" t="s">
        <v>25</v>
      </c>
      <c r="O21" s="1" t="s">
        <v>25</v>
      </c>
      <c r="P21" s="1" t="s">
        <v>25</v>
      </c>
      <c r="Q21" s="1">
        <v>8.0</v>
      </c>
      <c r="R21" s="1" t="s">
        <v>25</v>
      </c>
      <c r="S21" s="2">
        <v>45751.41585648148</v>
      </c>
      <c r="T21" s="2">
        <v>45751.72498842593</v>
      </c>
    </row>
    <row r="22">
      <c r="A22" s="1" t="s">
        <v>35</v>
      </c>
      <c r="B22" s="1" t="s">
        <v>25</v>
      </c>
      <c r="C22" s="1" t="s">
        <v>25</v>
      </c>
      <c r="D22" s="1">
        <v>1.694741E7</v>
      </c>
      <c r="E22" s="1" t="s">
        <v>25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>
        <v>3.516860059E9</v>
      </c>
      <c r="N22" s="1" t="s">
        <v>25</v>
      </c>
      <c r="O22" s="1" t="s">
        <v>25</v>
      </c>
      <c r="P22" s="1" t="s">
        <v>25</v>
      </c>
      <c r="Q22" s="1">
        <v>8.0</v>
      </c>
      <c r="R22" s="1" t="s">
        <v>25</v>
      </c>
      <c r="S22" s="2">
        <v>45752.46671296296</v>
      </c>
      <c r="T22" s="2">
        <v>45752.46710648148</v>
      </c>
    </row>
    <row r="23">
      <c r="A23" s="1" t="s">
        <v>37</v>
      </c>
      <c r="B23" s="1" t="s">
        <v>25</v>
      </c>
      <c r="C23" s="1">
        <v>96.0</v>
      </c>
      <c r="D23" s="1">
        <v>1.7629173E7</v>
      </c>
      <c r="E23" s="1" t="s">
        <v>25</v>
      </c>
      <c r="F23" s="1" t="s">
        <v>25</v>
      </c>
      <c r="G23" s="1" t="s">
        <v>25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>
        <v>3.51383603E9</v>
      </c>
      <c r="N23" s="1" t="s">
        <v>25</v>
      </c>
      <c r="O23" s="1" t="s">
        <v>25</v>
      </c>
      <c r="P23" s="1" t="s">
        <v>25</v>
      </c>
      <c r="Q23" s="1">
        <v>2.0</v>
      </c>
      <c r="R23" s="1" t="s">
        <v>25</v>
      </c>
      <c r="S23" s="2">
        <v>45752.468043981484</v>
      </c>
      <c r="T23" s="2">
        <v>45752.468043981484</v>
      </c>
    </row>
    <row r="24">
      <c r="A24" s="1" t="s">
        <v>40</v>
      </c>
      <c r="B24" s="1">
        <v>2.0</v>
      </c>
      <c r="C24" s="1" t="s">
        <v>25</v>
      </c>
      <c r="D24" s="1">
        <v>2.2561322E7</v>
      </c>
      <c r="E24" s="1" t="s">
        <v>25</v>
      </c>
      <c r="F24" s="1" t="s">
        <v>25</v>
      </c>
      <c r="G24" s="1" t="s">
        <v>25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1119</v>
      </c>
      <c r="N24" s="1" t="s">
        <v>25</v>
      </c>
      <c r="O24" s="1" t="s">
        <v>25</v>
      </c>
      <c r="P24" s="1" t="s">
        <v>25</v>
      </c>
      <c r="Q24" s="1">
        <v>5.0</v>
      </c>
      <c r="R24" s="1" t="s">
        <v>25</v>
      </c>
      <c r="S24" s="2">
        <v>45754.47626157408</v>
      </c>
      <c r="T24" s="2">
        <v>45758.46425925926</v>
      </c>
    </row>
    <row r="25">
      <c r="A25" s="1" t="s">
        <v>42</v>
      </c>
      <c r="B25" s="1">
        <v>2.0</v>
      </c>
      <c r="C25" s="1">
        <v>96.0</v>
      </c>
      <c r="D25" s="1">
        <v>1.1663897E7</v>
      </c>
      <c r="E25" s="1" t="s">
        <v>25</v>
      </c>
      <c r="F25" s="1" t="s">
        <v>25</v>
      </c>
      <c r="G25" s="1" t="s">
        <v>25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>
        <v>3.516598431E9</v>
      </c>
      <c r="N25" s="1" t="s">
        <v>25</v>
      </c>
      <c r="O25" s="1" t="s">
        <v>25</v>
      </c>
      <c r="P25" s="1" t="s">
        <v>25</v>
      </c>
      <c r="Q25" s="1">
        <v>2.0</v>
      </c>
      <c r="R25" s="1" t="s">
        <v>1120</v>
      </c>
      <c r="S25" s="2">
        <v>45754.524143518516</v>
      </c>
      <c r="T25" s="2">
        <v>45754.55206018518</v>
      </c>
    </row>
    <row r="26">
      <c r="A26" s="1" t="s">
        <v>45</v>
      </c>
      <c r="B26" s="1">
        <v>2.0</v>
      </c>
      <c r="C26" s="1">
        <v>96.0</v>
      </c>
      <c r="D26" s="1">
        <v>2.0284954E7</v>
      </c>
      <c r="E26" s="1" t="s">
        <v>25</v>
      </c>
      <c r="F26" s="1" t="s">
        <v>25</v>
      </c>
      <c r="G26" s="1" t="s">
        <v>25</v>
      </c>
      <c r="H26" s="1" t="s">
        <v>25</v>
      </c>
      <c r="I26" s="1" t="s">
        <v>25</v>
      </c>
      <c r="J26" s="1" t="s">
        <v>25</v>
      </c>
      <c r="K26" s="1" t="s">
        <v>25</v>
      </c>
      <c r="L26" s="1" t="s">
        <v>25</v>
      </c>
      <c r="M26" s="1">
        <v>3.512343314E9</v>
      </c>
      <c r="N26" s="1" t="s">
        <v>25</v>
      </c>
      <c r="O26" s="1" t="s">
        <v>25</v>
      </c>
      <c r="P26" s="1" t="s">
        <v>25</v>
      </c>
      <c r="Q26" s="1">
        <v>2.0</v>
      </c>
      <c r="R26" s="1" t="s">
        <v>1121</v>
      </c>
      <c r="S26" s="2">
        <v>45754.55311342593</v>
      </c>
      <c r="T26" s="2">
        <v>45754.55311342593</v>
      </c>
    </row>
    <row r="27">
      <c r="A27" s="1" t="s">
        <v>65</v>
      </c>
      <c r="B27" s="1">
        <v>2.0</v>
      </c>
      <c r="C27" s="1">
        <v>96.0</v>
      </c>
      <c r="D27" s="1">
        <v>4.1409192E7</v>
      </c>
      <c r="E27" s="1" t="s">
        <v>25</v>
      </c>
      <c r="F27" s="1" t="s">
        <v>25</v>
      </c>
      <c r="G27" s="1" t="s">
        <v>25</v>
      </c>
      <c r="H27" s="5">
        <v>36088.0</v>
      </c>
      <c r="I27" s="1" t="s">
        <v>25</v>
      </c>
      <c r="J27" s="1" t="s">
        <v>25</v>
      </c>
      <c r="K27" s="1">
        <v>168.0</v>
      </c>
      <c r="L27" s="1">
        <v>4.0</v>
      </c>
      <c r="M27" s="1">
        <v>3.513139059E9</v>
      </c>
      <c r="N27" s="1" t="s">
        <v>1122</v>
      </c>
      <c r="O27" s="1" t="s">
        <v>25</v>
      </c>
      <c r="P27" s="1" t="s">
        <v>25</v>
      </c>
      <c r="Q27" s="1">
        <v>2.0</v>
      </c>
      <c r="R27" s="1" t="s">
        <v>25</v>
      </c>
      <c r="S27" s="2">
        <v>45757.76699074074</v>
      </c>
      <c r="T27" s="2">
        <v>45758.463483796295</v>
      </c>
    </row>
    <row r="28">
      <c r="A28" s="1" t="s">
        <v>47</v>
      </c>
      <c r="B28" s="1">
        <v>1.0</v>
      </c>
      <c r="C28" s="1">
        <v>96.0</v>
      </c>
      <c r="D28" s="1">
        <v>2.3198679E7</v>
      </c>
      <c r="E28" s="1" t="s">
        <v>25</v>
      </c>
      <c r="F28" s="1" t="s">
        <v>25</v>
      </c>
      <c r="G28" s="1" t="s">
        <v>25</v>
      </c>
      <c r="H28" s="1" t="s">
        <v>25</v>
      </c>
      <c r="I28" s="1" t="s">
        <v>25</v>
      </c>
      <c r="J28" s="1" t="s">
        <v>25</v>
      </c>
      <c r="K28" s="1" t="s">
        <v>25</v>
      </c>
      <c r="L28" s="1" t="s">
        <v>25</v>
      </c>
      <c r="M28" s="1" t="s">
        <v>1123</v>
      </c>
      <c r="N28" s="1" t="s">
        <v>25</v>
      </c>
      <c r="O28" s="1" t="s">
        <v>25</v>
      </c>
      <c r="P28" s="1" t="s">
        <v>25</v>
      </c>
      <c r="Q28" s="1">
        <v>4.0</v>
      </c>
      <c r="R28" s="1" t="s">
        <v>25</v>
      </c>
      <c r="S28" s="2">
        <v>45758.44768518519</v>
      </c>
      <c r="T28" s="2">
        <v>45758.46292824074</v>
      </c>
    </row>
    <row r="29">
      <c r="A29" s="1" t="s">
        <v>50</v>
      </c>
      <c r="B29" s="1">
        <v>2.0</v>
      </c>
      <c r="C29" s="1">
        <v>96.0</v>
      </c>
      <c r="D29" s="1">
        <v>4.5347277E7</v>
      </c>
      <c r="E29" s="1" t="s">
        <v>25</v>
      </c>
      <c r="F29" s="1" t="s">
        <v>25</v>
      </c>
      <c r="G29" s="1" t="s">
        <v>25</v>
      </c>
      <c r="H29" s="1" t="s">
        <v>25</v>
      </c>
      <c r="I29" s="1" t="s">
        <v>25</v>
      </c>
      <c r="J29" s="1" t="s">
        <v>25</v>
      </c>
      <c r="K29" s="1" t="s">
        <v>25</v>
      </c>
      <c r="L29" s="1" t="s">
        <v>25</v>
      </c>
      <c r="M29" s="1">
        <v>3.513906571E9</v>
      </c>
      <c r="N29" s="1" t="s">
        <v>25</v>
      </c>
      <c r="O29" s="1" t="s">
        <v>25</v>
      </c>
      <c r="P29" s="1" t="s">
        <v>25</v>
      </c>
      <c r="Q29" s="1">
        <v>6.0</v>
      </c>
      <c r="R29" s="1" t="s">
        <v>25</v>
      </c>
      <c r="S29" s="2">
        <v>45758.45756944444</v>
      </c>
      <c r="T29" s="2">
        <v>45930.78707175926</v>
      </c>
    </row>
    <row r="30">
      <c r="A30" s="1" t="s">
        <v>52</v>
      </c>
      <c r="B30" s="1">
        <v>2.0</v>
      </c>
      <c r="C30" s="1">
        <v>96.0</v>
      </c>
      <c r="D30" s="1" t="s">
        <v>25</v>
      </c>
      <c r="E30" s="1" t="s">
        <v>25</v>
      </c>
      <c r="F30" s="1" t="s">
        <v>25</v>
      </c>
      <c r="G30" s="1" t="s">
        <v>25</v>
      </c>
      <c r="H30" s="1" t="s">
        <v>25</v>
      </c>
      <c r="I30" s="1" t="s">
        <v>25</v>
      </c>
      <c r="J30" s="1" t="s">
        <v>25</v>
      </c>
      <c r="K30" s="1" t="s">
        <v>25</v>
      </c>
      <c r="L30" s="1" t="s">
        <v>25</v>
      </c>
      <c r="M30" s="1" t="s">
        <v>1124</v>
      </c>
      <c r="N30" s="1" t="s">
        <v>25</v>
      </c>
      <c r="O30" s="1" t="s">
        <v>25</v>
      </c>
      <c r="P30" s="1" t="s">
        <v>25</v>
      </c>
      <c r="Q30" s="1" t="s">
        <v>25</v>
      </c>
      <c r="R30" s="1" t="s">
        <v>25</v>
      </c>
      <c r="S30" s="2">
        <v>45758.46608796297</v>
      </c>
      <c r="T30" s="2">
        <v>45758.46608796297</v>
      </c>
    </row>
    <row r="31">
      <c r="A31" s="1" t="s">
        <v>59</v>
      </c>
      <c r="B31" s="1">
        <v>1.0</v>
      </c>
      <c r="C31" s="1">
        <v>96.0</v>
      </c>
      <c r="D31" s="1">
        <v>3.5958136E7</v>
      </c>
      <c r="E31" s="1" t="s">
        <v>25</v>
      </c>
      <c r="F31" s="1" t="s">
        <v>25</v>
      </c>
      <c r="G31" s="1" t="s">
        <v>25</v>
      </c>
      <c r="H31" s="5">
        <v>45761.0</v>
      </c>
      <c r="I31" s="1" t="s">
        <v>1125</v>
      </c>
      <c r="J31" s="1" t="s">
        <v>1126</v>
      </c>
      <c r="K31" s="1" t="s">
        <v>25</v>
      </c>
      <c r="L31" s="1" t="s">
        <v>25</v>
      </c>
      <c r="M31" s="1">
        <v>1.133326084E9</v>
      </c>
      <c r="N31" s="1" t="s">
        <v>1127</v>
      </c>
      <c r="O31" s="1" t="s">
        <v>25</v>
      </c>
      <c r="P31" s="1" t="s">
        <v>25</v>
      </c>
      <c r="Q31" s="1">
        <v>2.0</v>
      </c>
      <c r="R31" s="1" t="s">
        <v>1128</v>
      </c>
      <c r="S31" s="2">
        <v>45761.40519675926</v>
      </c>
      <c r="T31" s="2">
        <v>45761.40519675926</v>
      </c>
    </row>
    <row r="32">
      <c r="A32" s="1" t="s">
        <v>54</v>
      </c>
      <c r="B32" s="1">
        <v>2.0</v>
      </c>
      <c r="C32" s="1" t="s">
        <v>25</v>
      </c>
      <c r="D32" s="1">
        <v>5.60207901E8</v>
      </c>
      <c r="E32" s="1" t="s">
        <v>25</v>
      </c>
      <c r="F32" s="1" t="s">
        <v>25</v>
      </c>
      <c r="G32" s="1" t="s">
        <v>25</v>
      </c>
      <c r="H32" s="1" t="s">
        <v>25</v>
      </c>
      <c r="I32" s="1" t="s">
        <v>25</v>
      </c>
      <c r="J32" s="1" t="s">
        <v>25</v>
      </c>
      <c r="K32" s="1" t="s">
        <v>25</v>
      </c>
      <c r="L32" s="1" t="s">
        <v>25</v>
      </c>
      <c r="M32" s="1">
        <v>3.512314896E9</v>
      </c>
      <c r="N32" s="1" t="s">
        <v>25</v>
      </c>
      <c r="O32" s="1" t="s">
        <v>25</v>
      </c>
      <c r="P32" s="1" t="s">
        <v>25</v>
      </c>
      <c r="Q32" s="1">
        <v>8.0</v>
      </c>
      <c r="R32" s="1" t="s">
        <v>1129</v>
      </c>
      <c r="S32" s="2">
        <v>45761.471041666664</v>
      </c>
      <c r="T32" s="2">
        <v>45826.70265046296</v>
      </c>
    </row>
    <row r="33">
      <c r="A33" s="1" t="s">
        <v>62</v>
      </c>
      <c r="B33" s="1">
        <v>1.0</v>
      </c>
      <c r="C33" s="1">
        <v>96.0</v>
      </c>
      <c r="D33" s="1">
        <v>2.9029166E7</v>
      </c>
      <c r="E33" s="1" t="s">
        <v>25</v>
      </c>
      <c r="F33" s="1" t="s">
        <v>25</v>
      </c>
      <c r="G33" s="1" t="s">
        <v>25</v>
      </c>
      <c r="H33" s="1" t="s">
        <v>25</v>
      </c>
      <c r="I33" s="1" t="s">
        <v>25</v>
      </c>
      <c r="J33" s="1" t="s">
        <v>25</v>
      </c>
      <c r="K33" s="1" t="s">
        <v>25</v>
      </c>
      <c r="L33" s="1" t="s">
        <v>25</v>
      </c>
      <c r="M33" s="1">
        <v>3.516956936E9</v>
      </c>
      <c r="N33" s="1" t="s">
        <v>25</v>
      </c>
      <c r="O33" s="1" t="s">
        <v>25</v>
      </c>
      <c r="P33" s="1" t="s">
        <v>25</v>
      </c>
      <c r="Q33" s="1">
        <v>1.0</v>
      </c>
      <c r="R33" s="1" t="s">
        <v>25</v>
      </c>
      <c r="S33" s="2">
        <v>45761.72037037037</v>
      </c>
      <c r="T33" s="2">
        <v>45761.72037037037</v>
      </c>
    </row>
    <row r="34">
      <c r="A34" s="1" t="s">
        <v>1130</v>
      </c>
      <c r="B34" s="1" t="s">
        <v>25</v>
      </c>
      <c r="C34" s="1" t="s">
        <v>25</v>
      </c>
      <c r="D34" s="1" t="s">
        <v>25</v>
      </c>
      <c r="E34" s="1" t="s">
        <v>25</v>
      </c>
      <c r="F34" s="1" t="s">
        <v>25</v>
      </c>
      <c r="G34" s="1" t="s">
        <v>25</v>
      </c>
      <c r="H34" s="1" t="s">
        <v>25</v>
      </c>
      <c r="I34" s="1" t="s">
        <v>25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25</v>
      </c>
      <c r="O34" s="1" t="s">
        <v>25</v>
      </c>
      <c r="P34" s="1" t="s">
        <v>25</v>
      </c>
      <c r="Q34" s="1" t="s">
        <v>25</v>
      </c>
      <c r="R34" s="1" t="s">
        <v>25</v>
      </c>
      <c r="S34" s="2">
        <v>45762.498773148145</v>
      </c>
      <c r="T34" s="2">
        <v>45762.498773148145</v>
      </c>
    </row>
    <row r="35">
      <c r="A35" s="1" t="s">
        <v>68</v>
      </c>
      <c r="B35" s="1" t="s">
        <v>25</v>
      </c>
      <c r="C35" s="1">
        <v>96.0</v>
      </c>
      <c r="D35" s="1">
        <v>1.6261842E7</v>
      </c>
      <c r="E35" s="1" t="s">
        <v>25</v>
      </c>
      <c r="F35" s="1" t="s">
        <v>25</v>
      </c>
      <c r="G35" s="1" t="s">
        <v>25</v>
      </c>
      <c r="H35" s="1" t="s">
        <v>25</v>
      </c>
      <c r="I35" s="1" t="s">
        <v>25</v>
      </c>
      <c r="J35" s="1" t="s">
        <v>25</v>
      </c>
      <c r="K35" s="1" t="s">
        <v>25</v>
      </c>
      <c r="L35" s="1" t="s">
        <v>25</v>
      </c>
      <c r="M35" s="1">
        <v>2.215527009E9</v>
      </c>
      <c r="N35" s="1" t="s">
        <v>25</v>
      </c>
      <c r="O35" s="1" t="s">
        <v>25</v>
      </c>
      <c r="P35" s="1" t="s">
        <v>25</v>
      </c>
      <c r="Q35" s="1">
        <v>2.0</v>
      </c>
      <c r="R35" s="1" t="s">
        <v>25</v>
      </c>
      <c r="S35" s="2">
        <v>45762.56108796296</v>
      </c>
      <c r="T35" s="2">
        <v>45762.56108796296</v>
      </c>
    </row>
    <row r="36">
      <c r="A36" s="1" t="s">
        <v>66</v>
      </c>
      <c r="B36" s="1">
        <v>2.0</v>
      </c>
      <c r="C36" s="1">
        <v>96.0</v>
      </c>
      <c r="D36" s="1">
        <v>1.7271744E7</v>
      </c>
      <c r="E36" s="1" t="s">
        <v>25</v>
      </c>
      <c r="F36" s="1" t="s">
        <v>25</v>
      </c>
      <c r="G36" s="1" t="s">
        <v>25</v>
      </c>
      <c r="H36" s="1" t="s">
        <v>25</v>
      </c>
      <c r="I36" s="1" t="s">
        <v>25</v>
      </c>
      <c r="J36" s="1" t="s">
        <v>25</v>
      </c>
      <c r="K36" s="1" t="s">
        <v>25</v>
      </c>
      <c r="L36" s="1" t="s">
        <v>25</v>
      </c>
      <c r="M36" s="1">
        <v>2.235911254E9</v>
      </c>
      <c r="N36" s="1" t="s">
        <v>25</v>
      </c>
      <c r="O36" s="1" t="s">
        <v>25</v>
      </c>
      <c r="P36" s="1" t="s">
        <v>25</v>
      </c>
      <c r="Q36" s="1">
        <v>4.0</v>
      </c>
      <c r="R36" s="1" t="s">
        <v>25</v>
      </c>
      <c r="S36" s="2">
        <v>45762.73267361111</v>
      </c>
      <c r="T36" s="2">
        <v>45763.52921296296</v>
      </c>
    </row>
    <row r="37">
      <c r="A37" s="1" t="s">
        <v>72</v>
      </c>
      <c r="B37" s="1">
        <v>2.0</v>
      </c>
      <c r="C37" s="1">
        <v>96.0</v>
      </c>
      <c r="D37" s="1">
        <v>2.0591869E7</v>
      </c>
      <c r="E37" s="1" t="s">
        <v>25</v>
      </c>
      <c r="F37" s="1" t="s">
        <v>25</v>
      </c>
      <c r="G37" s="1" t="s">
        <v>25</v>
      </c>
      <c r="H37" s="1" t="s">
        <v>25</v>
      </c>
      <c r="I37" s="1" t="s">
        <v>25</v>
      </c>
      <c r="J37" s="1" t="s">
        <v>25</v>
      </c>
      <c r="K37" s="1" t="s">
        <v>25</v>
      </c>
      <c r="L37" s="1" t="s">
        <v>25</v>
      </c>
      <c r="M37" s="1">
        <v>3.512660673E9</v>
      </c>
      <c r="N37" s="1" t="s">
        <v>25</v>
      </c>
      <c r="O37" s="1" t="s">
        <v>25</v>
      </c>
      <c r="P37" s="1" t="s">
        <v>25</v>
      </c>
      <c r="Q37" s="1">
        <v>8.0</v>
      </c>
      <c r="R37" s="1" t="s">
        <v>25</v>
      </c>
      <c r="S37" s="2">
        <v>45762.788194444445</v>
      </c>
      <c r="T37" s="2">
        <v>45762.788194444445</v>
      </c>
    </row>
    <row r="38">
      <c r="A38" s="1" t="s">
        <v>74</v>
      </c>
      <c r="B38" s="1">
        <v>1.0</v>
      </c>
      <c r="C38" s="1">
        <v>96.0</v>
      </c>
      <c r="D38" s="1">
        <v>1.72717444E8</v>
      </c>
      <c r="E38" s="1" t="s">
        <v>25</v>
      </c>
      <c r="F38" s="1" t="s">
        <v>25</v>
      </c>
      <c r="G38" s="1" t="s">
        <v>25</v>
      </c>
      <c r="H38" s="1" t="s">
        <v>25</v>
      </c>
      <c r="I38" s="1" t="s">
        <v>25</v>
      </c>
      <c r="J38" s="1" t="s">
        <v>25</v>
      </c>
      <c r="K38" s="1" t="s">
        <v>25</v>
      </c>
      <c r="L38" s="1" t="s">
        <v>25</v>
      </c>
      <c r="M38" s="1" t="s">
        <v>1131</v>
      </c>
      <c r="N38" s="1" t="s">
        <v>25</v>
      </c>
      <c r="O38" s="1" t="s">
        <v>25</v>
      </c>
      <c r="P38" s="1" t="s">
        <v>1132</v>
      </c>
      <c r="Q38" s="1" t="s">
        <v>25</v>
      </c>
      <c r="R38" s="1" t="s">
        <v>25</v>
      </c>
      <c r="S38" s="2">
        <v>45763.52271990741</v>
      </c>
      <c r="T38" s="2">
        <v>45763.52271990741</v>
      </c>
    </row>
    <row r="39">
      <c r="A39" s="1" t="s">
        <v>81</v>
      </c>
      <c r="B39" s="1">
        <v>1.0</v>
      </c>
      <c r="C39" s="1">
        <v>96.0</v>
      </c>
      <c r="D39" s="1">
        <v>4.0815124E7</v>
      </c>
      <c r="E39" s="1" t="s">
        <v>25</v>
      </c>
      <c r="F39" s="1" t="s">
        <v>25</v>
      </c>
      <c r="G39" s="1" t="s">
        <v>25</v>
      </c>
      <c r="H39" s="1" t="s">
        <v>25</v>
      </c>
      <c r="I39" s="1" t="s">
        <v>25</v>
      </c>
      <c r="J39" s="1" t="s">
        <v>25</v>
      </c>
      <c r="K39" s="1" t="s">
        <v>25</v>
      </c>
      <c r="L39" s="1" t="s">
        <v>25</v>
      </c>
      <c r="M39" s="1">
        <v>3.516557106E9</v>
      </c>
      <c r="N39" s="1" t="s">
        <v>25</v>
      </c>
      <c r="O39" s="1" t="s">
        <v>25</v>
      </c>
      <c r="P39" s="1" t="s">
        <v>25</v>
      </c>
      <c r="Q39" s="1" t="s">
        <v>25</v>
      </c>
      <c r="R39" s="1" t="s">
        <v>25</v>
      </c>
      <c r="S39" s="2">
        <v>45763.78695601852</v>
      </c>
      <c r="T39" s="2">
        <v>45763.78695601852</v>
      </c>
    </row>
    <row r="40">
      <c r="A40" s="1" t="s">
        <v>1133</v>
      </c>
      <c r="B40" s="1">
        <v>1.0</v>
      </c>
      <c r="C40" s="1">
        <v>96.0</v>
      </c>
      <c r="D40" s="1">
        <v>5.2865274E7</v>
      </c>
      <c r="E40" s="1" t="s">
        <v>25</v>
      </c>
      <c r="F40" s="1" t="s">
        <v>25</v>
      </c>
      <c r="G40" s="1" t="s">
        <v>25</v>
      </c>
      <c r="H40" s="1" t="s">
        <v>25</v>
      </c>
      <c r="I40" s="1" t="s">
        <v>25</v>
      </c>
      <c r="J40" s="1" t="s">
        <v>25</v>
      </c>
      <c r="K40" s="1" t="s">
        <v>25</v>
      </c>
      <c r="L40" s="1" t="s">
        <v>25</v>
      </c>
      <c r="M40" s="1">
        <v>3.515166294E9</v>
      </c>
      <c r="N40" s="1" t="s">
        <v>25</v>
      </c>
      <c r="O40" s="1" t="s">
        <v>25</v>
      </c>
      <c r="P40" s="1" t="s">
        <v>25</v>
      </c>
      <c r="Q40" s="1">
        <v>7.0</v>
      </c>
      <c r="R40" s="1" t="s">
        <v>25</v>
      </c>
      <c r="S40" s="2">
        <v>45764.507731481484</v>
      </c>
      <c r="T40" s="2">
        <v>45764.507731481484</v>
      </c>
    </row>
    <row r="41">
      <c r="A41" s="1" t="s">
        <v>86</v>
      </c>
      <c r="B41" s="1">
        <v>1.0</v>
      </c>
      <c r="C41" s="1">
        <v>96.0</v>
      </c>
      <c r="D41" s="1">
        <v>4.955712E7</v>
      </c>
      <c r="E41" s="1" t="s">
        <v>25</v>
      </c>
      <c r="F41" s="1" t="s">
        <v>25</v>
      </c>
      <c r="G41" s="1" t="s">
        <v>25</v>
      </c>
      <c r="H41" s="1" t="s">
        <v>25</v>
      </c>
      <c r="I41" s="1" t="s">
        <v>25</v>
      </c>
      <c r="J41" s="1" t="s">
        <v>25</v>
      </c>
      <c r="K41" s="1" t="s">
        <v>25</v>
      </c>
      <c r="L41" s="1" t="s">
        <v>25</v>
      </c>
      <c r="M41" s="1">
        <v>3.513555199E9</v>
      </c>
      <c r="N41" s="1" t="s">
        <v>25</v>
      </c>
      <c r="O41" s="1" t="s">
        <v>25</v>
      </c>
      <c r="P41" s="1" t="s">
        <v>25</v>
      </c>
      <c r="Q41" s="1" t="s">
        <v>25</v>
      </c>
      <c r="R41" s="1" t="s">
        <v>25</v>
      </c>
      <c r="S41" s="2">
        <v>45766.45070601852</v>
      </c>
      <c r="T41" s="2">
        <v>45766.45070601852</v>
      </c>
    </row>
    <row r="42">
      <c r="A42" s="1" t="s">
        <v>85</v>
      </c>
      <c r="B42" s="1">
        <v>1.0</v>
      </c>
      <c r="C42" s="1">
        <v>96.0</v>
      </c>
      <c r="D42" s="1">
        <v>2.8850686E7</v>
      </c>
      <c r="E42" s="1" t="s">
        <v>25</v>
      </c>
      <c r="F42" s="1" t="s">
        <v>25</v>
      </c>
      <c r="G42" s="1" t="s">
        <v>25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25</v>
      </c>
      <c r="M42" s="1">
        <v>3.51231759E9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25</v>
      </c>
      <c r="S42" s="2">
        <v>45766.45751157407</v>
      </c>
      <c r="T42" s="2">
        <v>45766.45751157407</v>
      </c>
    </row>
    <row r="43">
      <c r="A43" s="1" t="s">
        <v>82</v>
      </c>
      <c r="B43" s="1">
        <v>2.0</v>
      </c>
      <c r="C43" s="1">
        <v>96.0</v>
      </c>
      <c r="D43" s="1">
        <v>2.2033532E7</v>
      </c>
      <c r="E43" s="1" t="s">
        <v>25</v>
      </c>
      <c r="F43" s="1" t="s">
        <v>25</v>
      </c>
      <c r="G43" s="1" t="s">
        <v>25</v>
      </c>
      <c r="H43" s="1" t="s">
        <v>25</v>
      </c>
      <c r="I43" s="1" t="s">
        <v>25</v>
      </c>
      <c r="J43" s="1" t="s">
        <v>25</v>
      </c>
      <c r="K43" s="1" t="s">
        <v>25</v>
      </c>
      <c r="L43" s="1" t="s">
        <v>25</v>
      </c>
      <c r="M43" s="1" t="s">
        <v>1134</v>
      </c>
      <c r="N43" s="1" t="s">
        <v>25</v>
      </c>
      <c r="O43" s="1" t="s">
        <v>25</v>
      </c>
      <c r="P43" s="1" t="s">
        <v>25</v>
      </c>
      <c r="Q43" s="1" t="s">
        <v>25</v>
      </c>
      <c r="R43" s="1" t="s">
        <v>25</v>
      </c>
      <c r="S43" s="2">
        <v>45766.46436342593</v>
      </c>
      <c r="T43" s="2">
        <v>45766.46436342593</v>
      </c>
    </row>
    <row r="44">
      <c r="A44" s="1" t="s">
        <v>79</v>
      </c>
      <c r="B44" s="1">
        <v>1.0</v>
      </c>
      <c r="C44" s="1">
        <v>96.0</v>
      </c>
      <c r="D44" s="1">
        <v>4.0732192E7</v>
      </c>
      <c r="E44" s="1" t="s">
        <v>25</v>
      </c>
      <c r="F44" s="1" t="s">
        <v>25</v>
      </c>
      <c r="G44" s="1" t="s">
        <v>25</v>
      </c>
      <c r="H44" s="1" t="s">
        <v>25</v>
      </c>
      <c r="I44" s="1" t="s">
        <v>25</v>
      </c>
      <c r="J44" s="1" t="s">
        <v>25</v>
      </c>
      <c r="K44" s="1" t="s">
        <v>25</v>
      </c>
      <c r="L44" s="1" t="s">
        <v>25</v>
      </c>
      <c r="M44" s="1" t="s">
        <v>1135</v>
      </c>
      <c r="N44" s="1" t="s">
        <v>25</v>
      </c>
      <c r="O44" s="1" t="s">
        <v>25</v>
      </c>
      <c r="P44" s="1" t="s">
        <v>25</v>
      </c>
      <c r="Q44" s="1" t="s">
        <v>25</v>
      </c>
      <c r="R44" s="1" t="s">
        <v>25</v>
      </c>
      <c r="S44" s="2">
        <v>45766.55540509259</v>
      </c>
      <c r="T44" s="2">
        <v>45766.55540509259</v>
      </c>
    </row>
    <row r="45">
      <c r="A45" s="1" t="s">
        <v>87</v>
      </c>
      <c r="B45" s="1">
        <v>2.0</v>
      </c>
      <c r="C45" s="1">
        <v>96.0</v>
      </c>
      <c r="D45" s="1">
        <v>5.4475375E7</v>
      </c>
      <c r="E45" s="1" t="s">
        <v>25</v>
      </c>
      <c r="F45" s="1" t="s">
        <v>25</v>
      </c>
      <c r="G45" s="1" t="s">
        <v>25</v>
      </c>
      <c r="H45" s="1" t="s">
        <v>25</v>
      </c>
      <c r="I45" s="1" t="s">
        <v>25</v>
      </c>
      <c r="J45" s="1" t="s">
        <v>25</v>
      </c>
      <c r="K45" s="1" t="s">
        <v>25</v>
      </c>
      <c r="L45" s="1" t="s">
        <v>25</v>
      </c>
      <c r="M45" s="1">
        <v>3.513995158E9</v>
      </c>
      <c r="N45" s="1" t="s">
        <v>25</v>
      </c>
      <c r="O45" s="1" t="s">
        <v>25</v>
      </c>
      <c r="P45" s="1" t="s">
        <v>25</v>
      </c>
      <c r="Q45" s="1">
        <v>2.0</v>
      </c>
      <c r="R45" s="1" t="s">
        <v>25</v>
      </c>
      <c r="S45" s="2">
        <v>45768.50402777778</v>
      </c>
      <c r="T45" s="2">
        <v>45768.50402777778</v>
      </c>
    </row>
    <row r="46">
      <c r="A46" s="1" t="s">
        <v>77</v>
      </c>
      <c r="B46" s="1">
        <v>1.0</v>
      </c>
      <c r="C46" s="1">
        <v>96.0</v>
      </c>
      <c r="D46" s="1">
        <v>2.2776718E7</v>
      </c>
      <c r="E46" s="1" t="s">
        <v>25</v>
      </c>
      <c r="F46" s="1" t="s">
        <v>25</v>
      </c>
      <c r="G46" s="1" t="s">
        <v>25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>
        <v>3.515147148E9</v>
      </c>
      <c r="N46" s="1" t="s">
        <v>25</v>
      </c>
      <c r="O46" s="1" t="s">
        <v>25</v>
      </c>
      <c r="P46" s="1" t="s">
        <v>25</v>
      </c>
      <c r="Q46" s="1">
        <v>7.0</v>
      </c>
      <c r="R46" s="1" t="s">
        <v>25</v>
      </c>
      <c r="S46" s="2">
        <v>45769.48039351852</v>
      </c>
      <c r="T46" s="2">
        <v>45769.48039351852</v>
      </c>
    </row>
    <row r="47">
      <c r="A47" s="1" t="s">
        <v>1136</v>
      </c>
      <c r="B47" s="1">
        <v>2.0</v>
      </c>
      <c r="C47" s="1">
        <v>96.0</v>
      </c>
      <c r="D47" s="1">
        <v>2.8854338E7</v>
      </c>
      <c r="E47" s="1" t="s">
        <v>25</v>
      </c>
      <c r="F47" s="1" t="s">
        <v>25</v>
      </c>
      <c r="G47" s="1" t="s">
        <v>25</v>
      </c>
      <c r="H47" s="1" t="s">
        <v>25</v>
      </c>
      <c r="I47" s="1" t="s">
        <v>25</v>
      </c>
      <c r="J47" s="1" t="s">
        <v>25</v>
      </c>
      <c r="K47" s="1" t="s">
        <v>25</v>
      </c>
      <c r="L47" s="1" t="s">
        <v>25</v>
      </c>
      <c r="M47" s="1">
        <v>3.513600568E9</v>
      </c>
      <c r="N47" s="1" t="s">
        <v>25</v>
      </c>
      <c r="O47" s="1" t="s">
        <v>25</v>
      </c>
      <c r="P47" s="1" t="s">
        <v>25</v>
      </c>
      <c r="Q47" s="1" t="s">
        <v>25</v>
      </c>
      <c r="R47" s="1" t="s">
        <v>25</v>
      </c>
      <c r="S47" s="2">
        <v>45770.79153935185</v>
      </c>
      <c r="T47" s="2">
        <v>45770.79153935185</v>
      </c>
    </row>
    <row r="48">
      <c r="A48" s="1" t="s">
        <v>95</v>
      </c>
      <c r="B48" s="1">
        <v>2.0</v>
      </c>
      <c r="C48" s="1">
        <v>96.0</v>
      </c>
      <c r="D48" s="1">
        <v>2.6481275E7</v>
      </c>
      <c r="E48" s="1" t="s">
        <v>25</v>
      </c>
      <c r="F48" s="1" t="s">
        <v>25</v>
      </c>
      <c r="G48" s="1" t="s">
        <v>25</v>
      </c>
      <c r="H48" s="1" t="s">
        <v>25</v>
      </c>
      <c r="I48" s="1" t="s">
        <v>25</v>
      </c>
      <c r="J48" s="1" t="s">
        <v>25</v>
      </c>
      <c r="K48" s="1" t="s">
        <v>25</v>
      </c>
      <c r="L48" s="1" t="s">
        <v>25</v>
      </c>
      <c r="M48" s="1">
        <v>3.513458989E9</v>
      </c>
      <c r="N48" s="1" t="s">
        <v>25</v>
      </c>
      <c r="O48" s="1" t="s">
        <v>25</v>
      </c>
      <c r="P48" s="1" t="s">
        <v>25</v>
      </c>
      <c r="Q48" s="1" t="s">
        <v>25</v>
      </c>
      <c r="R48" s="1" t="s">
        <v>25</v>
      </c>
      <c r="S48" s="2">
        <v>45771.4715162037</v>
      </c>
      <c r="T48" s="2">
        <v>45771.4715162037</v>
      </c>
    </row>
    <row r="49">
      <c r="A49" s="1" t="s">
        <v>93</v>
      </c>
      <c r="B49" s="1">
        <v>2.0</v>
      </c>
      <c r="C49" s="1">
        <v>96.0</v>
      </c>
      <c r="D49" s="1">
        <v>2.6480343E7</v>
      </c>
      <c r="E49" s="1" t="s">
        <v>25</v>
      </c>
      <c r="F49" s="1" t="s">
        <v>25</v>
      </c>
      <c r="G49" s="1" t="s">
        <v>25</v>
      </c>
      <c r="H49" s="1" t="s">
        <v>25</v>
      </c>
      <c r="I49" s="1" t="s">
        <v>25</v>
      </c>
      <c r="J49" s="1" t="s">
        <v>25</v>
      </c>
      <c r="K49" s="1" t="s">
        <v>25</v>
      </c>
      <c r="L49" s="1" t="s">
        <v>25</v>
      </c>
      <c r="M49" s="1">
        <v>3.515742689E9</v>
      </c>
      <c r="N49" s="1" t="s">
        <v>25</v>
      </c>
      <c r="O49" s="1" t="s">
        <v>25</v>
      </c>
      <c r="P49" s="1" t="s">
        <v>25</v>
      </c>
      <c r="Q49" s="1" t="s">
        <v>25</v>
      </c>
      <c r="R49" s="1" t="s">
        <v>25</v>
      </c>
      <c r="S49" s="2">
        <v>45771.49037037037</v>
      </c>
      <c r="T49" s="2">
        <v>45771.49037037037</v>
      </c>
    </row>
    <row r="50">
      <c r="A50" s="1" t="s">
        <v>96</v>
      </c>
      <c r="B50" s="1">
        <v>2.0</v>
      </c>
      <c r="C50" s="1">
        <v>96.0</v>
      </c>
      <c r="D50" s="1">
        <v>5.2962783E7</v>
      </c>
      <c r="E50" s="1" t="s">
        <v>25</v>
      </c>
      <c r="F50" s="1" t="s">
        <v>25</v>
      </c>
      <c r="G50" s="1" t="s">
        <v>25</v>
      </c>
      <c r="H50" s="5">
        <v>41284.0</v>
      </c>
      <c r="I50" s="1" t="s">
        <v>25</v>
      </c>
      <c r="J50" s="1" t="s">
        <v>25</v>
      </c>
      <c r="K50" s="1" t="s">
        <v>25</v>
      </c>
      <c r="L50" s="1" t="s">
        <v>25</v>
      </c>
      <c r="M50" s="1" t="s">
        <v>1137</v>
      </c>
      <c r="N50" s="1" t="s">
        <v>1138</v>
      </c>
      <c r="O50" s="1" t="s">
        <v>25</v>
      </c>
      <c r="P50" s="1" t="s">
        <v>25</v>
      </c>
      <c r="Q50" s="1" t="s">
        <v>25</v>
      </c>
      <c r="R50" s="1" t="s">
        <v>25</v>
      </c>
      <c r="S50" s="2">
        <v>45771.55252314815</v>
      </c>
      <c r="T50" s="2">
        <v>45771.55252314815</v>
      </c>
    </row>
    <row r="51">
      <c r="A51" s="1" t="s">
        <v>98</v>
      </c>
      <c r="B51" s="1" t="s">
        <v>25</v>
      </c>
      <c r="C51" s="1">
        <v>96.0</v>
      </c>
      <c r="D51" s="1">
        <v>4.0906385E7</v>
      </c>
      <c r="E51" s="1" t="s">
        <v>25</v>
      </c>
      <c r="F51" s="1" t="s">
        <v>25</v>
      </c>
      <c r="G51" s="1" t="s">
        <v>25</v>
      </c>
      <c r="H51" s="1" t="s">
        <v>25</v>
      </c>
      <c r="I51" s="1" t="s">
        <v>25</v>
      </c>
      <c r="J51" s="1" t="s">
        <v>25</v>
      </c>
      <c r="K51" s="1" t="s">
        <v>25</v>
      </c>
      <c r="L51" s="1" t="s">
        <v>25</v>
      </c>
      <c r="M51" s="1">
        <v>3.571329881E9</v>
      </c>
      <c r="N51" s="1" t="s">
        <v>25</v>
      </c>
      <c r="O51" s="1" t="s">
        <v>25</v>
      </c>
      <c r="P51" s="1" t="s">
        <v>25</v>
      </c>
      <c r="Q51" s="1">
        <v>2.0</v>
      </c>
      <c r="R51" s="1" t="s">
        <v>25</v>
      </c>
      <c r="S51" s="2">
        <v>45771.76729166666</v>
      </c>
      <c r="T51" s="2">
        <v>45771.76729166666</v>
      </c>
    </row>
    <row r="52">
      <c r="A52" s="1" t="s">
        <v>99</v>
      </c>
      <c r="B52" s="1" t="s">
        <v>25</v>
      </c>
      <c r="C52" s="1">
        <v>96.0</v>
      </c>
      <c r="D52" s="1">
        <v>2.7655292E7</v>
      </c>
      <c r="E52" s="1" t="s">
        <v>25</v>
      </c>
      <c r="F52" s="1" t="s">
        <v>25</v>
      </c>
      <c r="G52" s="1" t="s">
        <v>25</v>
      </c>
      <c r="H52" s="1" t="s">
        <v>25</v>
      </c>
      <c r="I52" s="1" t="s">
        <v>25</v>
      </c>
      <c r="J52" s="1" t="s">
        <v>25</v>
      </c>
      <c r="K52" s="1" t="s">
        <v>25</v>
      </c>
      <c r="L52" s="1" t="s">
        <v>25</v>
      </c>
      <c r="M52" s="1" t="s">
        <v>1139</v>
      </c>
      <c r="N52" s="1" t="s">
        <v>25</v>
      </c>
      <c r="O52" s="1" t="s">
        <v>25</v>
      </c>
      <c r="P52" s="1" t="s">
        <v>25</v>
      </c>
      <c r="Q52" s="1" t="s">
        <v>25</v>
      </c>
      <c r="R52" s="1" t="s">
        <v>25</v>
      </c>
      <c r="S52" s="2">
        <v>45771.79803240741</v>
      </c>
      <c r="T52" s="2">
        <v>45771.79803240741</v>
      </c>
    </row>
    <row r="53">
      <c r="A53" s="1" t="s">
        <v>102</v>
      </c>
      <c r="B53" s="1">
        <v>1.0</v>
      </c>
      <c r="C53" s="1">
        <v>96.0</v>
      </c>
      <c r="D53" s="1">
        <v>3.4879709E7</v>
      </c>
      <c r="E53" s="1" t="s">
        <v>25</v>
      </c>
      <c r="F53" s="1" t="s">
        <v>25</v>
      </c>
      <c r="G53" s="1" t="s">
        <v>25</v>
      </c>
      <c r="H53" s="5">
        <v>45772.0</v>
      </c>
      <c r="I53" s="1" t="s">
        <v>1140</v>
      </c>
      <c r="J53" s="1" t="s">
        <v>25</v>
      </c>
      <c r="K53" s="1">
        <v>168.0</v>
      </c>
      <c r="L53" s="1">
        <v>4.0</v>
      </c>
      <c r="M53" s="1">
        <v>3.513447219E9</v>
      </c>
      <c r="N53" s="1" t="s">
        <v>1141</v>
      </c>
      <c r="O53" s="1" t="s">
        <v>25</v>
      </c>
      <c r="P53" s="1" t="s">
        <v>25</v>
      </c>
      <c r="Q53" s="1" t="s">
        <v>25</v>
      </c>
      <c r="R53" s="1" t="s">
        <v>25</v>
      </c>
      <c r="S53" s="2">
        <v>45772.70759259259</v>
      </c>
      <c r="T53" s="2">
        <v>45772.70759259259</v>
      </c>
    </row>
    <row r="54">
      <c r="A54" s="1" t="s">
        <v>104</v>
      </c>
      <c r="B54" s="1" t="s">
        <v>25</v>
      </c>
      <c r="C54" s="1">
        <v>96.0</v>
      </c>
      <c r="D54" s="1">
        <v>2.4847415E7</v>
      </c>
      <c r="E54" s="1" t="s">
        <v>25</v>
      </c>
      <c r="F54" s="1" t="s">
        <v>25</v>
      </c>
      <c r="G54" s="1" t="s">
        <v>25</v>
      </c>
      <c r="H54" s="1" t="s">
        <v>25</v>
      </c>
      <c r="I54" s="1" t="s">
        <v>25</v>
      </c>
      <c r="J54" s="1" t="s">
        <v>25</v>
      </c>
      <c r="K54" s="1" t="s">
        <v>25</v>
      </c>
      <c r="L54" s="1" t="s">
        <v>25</v>
      </c>
      <c r="M54" s="1">
        <v>3.51636378E9</v>
      </c>
      <c r="N54" s="1" t="s">
        <v>25</v>
      </c>
      <c r="O54" s="1" t="s">
        <v>25</v>
      </c>
      <c r="P54" s="1" t="s">
        <v>25</v>
      </c>
      <c r="Q54" s="1">
        <v>4.0</v>
      </c>
      <c r="R54" s="1" t="s">
        <v>25</v>
      </c>
      <c r="S54" s="2">
        <v>45776.71776620371</v>
      </c>
      <c r="T54" s="2">
        <v>45776.71776620371</v>
      </c>
    </row>
    <row r="55">
      <c r="A55" s="1" t="s">
        <v>105</v>
      </c>
      <c r="B55" s="1">
        <v>1.0</v>
      </c>
      <c r="C55" s="1">
        <v>96.0</v>
      </c>
      <c r="D55" s="1">
        <v>5.12061041E8</v>
      </c>
      <c r="E55" s="1" t="s">
        <v>25</v>
      </c>
      <c r="F55" s="1" t="s">
        <v>25</v>
      </c>
      <c r="G55" s="1" t="s">
        <v>25</v>
      </c>
      <c r="H55" s="1" t="s">
        <v>25</v>
      </c>
      <c r="I55" s="1" t="s">
        <v>25</v>
      </c>
      <c r="J55" s="1" t="s">
        <v>25</v>
      </c>
      <c r="K55" s="1" t="s">
        <v>25</v>
      </c>
      <c r="L55" s="1" t="s">
        <v>25</v>
      </c>
      <c r="M55" s="3" t="str">
        <f>+54 9 3512 06-1041</f>
        <v>#ERROR!</v>
      </c>
      <c r="N55" s="1" t="s">
        <v>25</v>
      </c>
      <c r="O55" s="1" t="s">
        <v>25</v>
      </c>
      <c r="P55" s="1" t="s">
        <v>25</v>
      </c>
      <c r="Q55" s="1" t="s">
        <v>25</v>
      </c>
      <c r="R55" s="1" t="s">
        <v>25</v>
      </c>
      <c r="S55" s="2">
        <v>45777.682662037034</v>
      </c>
      <c r="T55" s="2">
        <v>45777.682662037034</v>
      </c>
    </row>
    <row r="56">
      <c r="A56" s="1" t="s">
        <v>109</v>
      </c>
      <c r="B56" s="1">
        <v>1.0</v>
      </c>
      <c r="C56" s="1">
        <v>96.0</v>
      </c>
      <c r="D56" s="1">
        <v>2.4173567E7</v>
      </c>
      <c r="E56" s="1" t="s">
        <v>25</v>
      </c>
      <c r="F56" s="1" t="s">
        <v>25</v>
      </c>
      <c r="G56" s="1" t="s">
        <v>25</v>
      </c>
      <c r="H56" s="1" t="s">
        <v>25</v>
      </c>
      <c r="I56" s="1" t="s">
        <v>25</v>
      </c>
      <c r="J56" s="1" t="s">
        <v>25</v>
      </c>
      <c r="K56" s="1" t="s">
        <v>25</v>
      </c>
      <c r="L56" s="1" t="s">
        <v>25</v>
      </c>
      <c r="M56" s="1">
        <v>3.516629442E9</v>
      </c>
      <c r="N56" s="1" t="s">
        <v>25</v>
      </c>
      <c r="O56" s="1" t="s">
        <v>25</v>
      </c>
      <c r="P56" s="1" t="s">
        <v>25</v>
      </c>
      <c r="Q56" s="1">
        <v>2.0</v>
      </c>
      <c r="R56" s="1" t="s">
        <v>25</v>
      </c>
      <c r="S56" s="2">
        <v>45777.80982638889</v>
      </c>
      <c r="T56" s="2">
        <v>45777.80982638889</v>
      </c>
    </row>
    <row r="57">
      <c r="A57" s="1" t="s">
        <v>107</v>
      </c>
      <c r="B57" s="1">
        <v>2.0</v>
      </c>
      <c r="C57" s="1">
        <v>96.0</v>
      </c>
      <c r="D57" s="1">
        <v>4.0481937E7</v>
      </c>
      <c r="E57" s="1" t="s">
        <v>25</v>
      </c>
      <c r="F57" s="1" t="s">
        <v>25</v>
      </c>
      <c r="G57" s="1" t="s">
        <v>25</v>
      </c>
      <c r="H57" s="1" t="s">
        <v>25</v>
      </c>
      <c r="I57" s="1" t="s">
        <v>25</v>
      </c>
      <c r="J57" s="1" t="s">
        <v>25</v>
      </c>
      <c r="K57" s="1" t="s">
        <v>25</v>
      </c>
      <c r="L57" s="1" t="s">
        <v>25</v>
      </c>
      <c r="M57" s="1">
        <v>3.804616209E9</v>
      </c>
      <c r="N57" s="1" t="s">
        <v>25</v>
      </c>
      <c r="O57" s="1" t="s">
        <v>25</v>
      </c>
      <c r="P57" s="1" t="s">
        <v>25</v>
      </c>
      <c r="Q57" s="1">
        <v>4.0</v>
      </c>
      <c r="R57" s="1" t="s">
        <v>25</v>
      </c>
      <c r="S57" s="2">
        <v>45779.462013888886</v>
      </c>
      <c r="T57" s="2">
        <v>45783.451631944445</v>
      </c>
    </row>
    <row r="58">
      <c r="A58" s="1" t="s">
        <v>112</v>
      </c>
      <c r="B58" s="1">
        <v>1.0</v>
      </c>
      <c r="C58" s="1">
        <v>96.0</v>
      </c>
      <c r="D58" s="1">
        <v>2.7672881E7</v>
      </c>
      <c r="E58" s="1" t="s">
        <v>25</v>
      </c>
      <c r="F58" s="1" t="s">
        <v>25</v>
      </c>
      <c r="G58" s="1" t="s">
        <v>25</v>
      </c>
      <c r="H58" s="1" t="s">
        <v>25</v>
      </c>
      <c r="I58" s="1" t="s">
        <v>25</v>
      </c>
      <c r="J58" s="1" t="s">
        <v>25</v>
      </c>
      <c r="K58" s="1" t="s">
        <v>25</v>
      </c>
      <c r="L58" s="1" t="s">
        <v>25</v>
      </c>
      <c r="M58" s="1">
        <v>3.513677877E9</v>
      </c>
      <c r="N58" s="1" t="s">
        <v>25</v>
      </c>
      <c r="O58" s="1" t="s">
        <v>25</v>
      </c>
      <c r="P58" s="1" t="s">
        <v>25</v>
      </c>
      <c r="Q58" s="1">
        <v>7.0</v>
      </c>
      <c r="R58" s="1" t="s">
        <v>25</v>
      </c>
      <c r="S58" s="2">
        <v>45782.790601851855</v>
      </c>
      <c r="T58" s="2">
        <v>45783.45134259259</v>
      </c>
    </row>
    <row r="59">
      <c r="A59" s="1" t="s">
        <v>113</v>
      </c>
      <c r="B59" s="1">
        <v>1.0</v>
      </c>
      <c r="C59" s="1">
        <v>96.0</v>
      </c>
      <c r="D59" s="1">
        <v>3.7908848E7</v>
      </c>
      <c r="E59" s="1" t="s">
        <v>25</v>
      </c>
      <c r="F59" s="1" t="s">
        <v>25</v>
      </c>
      <c r="G59" s="1" t="s">
        <v>25</v>
      </c>
      <c r="H59" s="1" t="s">
        <v>25</v>
      </c>
      <c r="I59" s="1" t="s">
        <v>25</v>
      </c>
      <c r="J59" s="1" t="s">
        <v>25</v>
      </c>
      <c r="K59" s="1" t="s">
        <v>25</v>
      </c>
      <c r="L59" s="1" t="s">
        <v>25</v>
      </c>
      <c r="M59" s="3" t="str">
        <f>+54 9 3512 88-3368</f>
        <v>#ERROR!</v>
      </c>
      <c r="N59" s="1" t="s">
        <v>25</v>
      </c>
      <c r="O59" s="1" t="s">
        <v>25</v>
      </c>
      <c r="P59" s="1" t="s">
        <v>25</v>
      </c>
      <c r="Q59" s="1">
        <v>2.0</v>
      </c>
      <c r="R59" s="1" t="s">
        <v>25</v>
      </c>
      <c r="S59" s="2">
        <v>45783.61383101852</v>
      </c>
      <c r="T59" s="2">
        <v>45783.6919212963</v>
      </c>
    </row>
    <row r="60">
      <c r="A60" s="1" t="s">
        <v>116</v>
      </c>
      <c r="B60" s="1" t="s">
        <v>25</v>
      </c>
      <c r="C60" s="1">
        <v>96.0</v>
      </c>
      <c r="D60" s="1">
        <v>4.9952885E7</v>
      </c>
      <c r="E60" s="1" t="s">
        <v>25</v>
      </c>
      <c r="F60" s="1" t="s">
        <v>25</v>
      </c>
      <c r="G60" s="1" t="s">
        <v>25</v>
      </c>
      <c r="H60" s="1" t="s">
        <v>25</v>
      </c>
      <c r="I60" s="1" t="s">
        <v>25</v>
      </c>
      <c r="J60" s="1" t="s">
        <v>25</v>
      </c>
      <c r="K60" s="1" t="s">
        <v>25</v>
      </c>
      <c r="L60" s="1" t="s">
        <v>25</v>
      </c>
      <c r="M60" s="1">
        <v>3.512911277E9</v>
      </c>
      <c r="N60" s="1" t="s">
        <v>25</v>
      </c>
      <c r="O60" s="1" t="s">
        <v>25</v>
      </c>
      <c r="P60" s="1" t="s">
        <v>25</v>
      </c>
      <c r="Q60" s="1">
        <v>7.0</v>
      </c>
      <c r="R60" s="1" t="s">
        <v>25</v>
      </c>
      <c r="S60" s="2">
        <v>45783.744837962964</v>
      </c>
      <c r="T60" s="2">
        <v>45783.744837962964</v>
      </c>
    </row>
    <row r="61">
      <c r="A61" s="1" t="s">
        <v>118</v>
      </c>
      <c r="B61" s="1">
        <v>2.0</v>
      </c>
      <c r="C61" s="1">
        <v>96.0</v>
      </c>
      <c r="D61" s="1">
        <v>3.993815E7</v>
      </c>
      <c r="E61" s="1" t="s">
        <v>25</v>
      </c>
      <c r="F61" s="1" t="s">
        <v>25</v>
      </c>
      <c r="G61" s="1" t="s">
        <v>25</v>
      </c>
      <c r="H61" s="5">
        <v>45783.0</v>
      </c>
      <c r="I61" s="1" t="s">
        <v>25</v>
      </c>
      <c r="J61" s="1" t="s">
        <v>1142</v>
      </c>
      <c r="K61" s="1" t="s">
        <v>25</v>
      </c>
      <c r="L61" s="1">
        <v>4.0</v>
      </c>
      <c r="M61" s="1" t="s">
        <v>1143</v>
      </c>
      <c r="N61" s="1" t="s">
        <v>25</v>
      </c>
      <c r="O61" s="1" t="s">
        <v>25</v>
      </c>
      <c r="P61" s="1" t="s">
        <v>25</v>
      </c>
      <c r="Q61" s="1">
        <v>8.0</v>
      </c>
      <c r="R61" s="1" t="s">
        <v>25</v>
      </c>
      <c r="S61" s="2">
        <v>45783.7553587963</v>
      </c>
      <c r="T61" s="2">
        <v>45783.7553587963</v>
      </c>
    </row>
    <row r="62">
      <c r="A62" s="1" t="s">
        <v>114</v>
      </c>
      <c r="B62" s="1" t="s">
        <v>25</v>
      </c>
      <c r="C62" s="1">
        <v>96.0</v>
      </c>
      <c r="D62" s="1">
        <v>2.2566198E7</v>
      </c>
      <c r="E62" s="1" t="s">
        <v>25</v>
      </c>
      <c r="F62" s="1" t="s">
        <v>25</v>
      </c>
      <c r="G62" s="1" t="s">
        <v>25</v>
      </c>
      <c r="H62" s="1" t="s">
        <v>25</v>
      </c>
      <c r="I62" s="1" t="s">
        <v>25</v>
      </c>
      <c r="J62" s="1" t="s">
        <v>25</v>
      </c>
      <c r="K62" s="1" t="s">
        <v>25</v>
      </c>
      <c r="L62" s="1" t="s">
        <v>25</v>
      </c>
      <c r="M62" s="1">
        <v>3.516437736E9</v>
      </c>
      <c r="N62" s="1" t="s">
        <v>25</v>
      </c>
      <c r="O62" s="1" t="s">
        <v>25</v>
      </c>
      <c r="P62" s="1" t="s">
        <v>25</v>
      </c>
      <c r="Q62" s="1">
        <v>5.0</v>
      </c>
      <c r="R62" s="1" t="s">
        <v>25</v>
      </c>
      <c r="S62" s="2">
        <v>45784.71907407408</v>
      </c>
      <c r="T62" s="2">
        <v>45784.71907407408</v>
      </c>
    </row>
    <row r="63">
      <c r="A63" s="1" t="s">
        <v>120</v>
      </c>
      <c r="B63" s="1">
        <v>1.0</v>
      </c>
      <c r="C63" s="1">
        <v>96.0</v>
      </c>
      <c r="D63" s="1">
        <v>2.393234E7</v>
      </c>
      <c r="E63" s="1" t="s">
        <v>25</v>
      </c>
      <c r="F63" s="1" t="s">
        <v>25</v>
      </c>
      <c r="G63" s="1" t="s">
        <v>25</v>
      </c>
      <c r="H63" s="5">
        <v>45789.0</v>
      </c>
      <c r="I63" s="1" t="s">
        <v>1140</v>
      </c>
      <c r="J63" s="1" t="s">
        <v>25</v>
      </c>
      <c r="K63" s="1">
        <v>168.0</v>
      </c>
      <c r="L63" s="1">
        <v>4.0</v>
      </c>
      <c r="M63" s="1">
        <v>3.513447219E9</v>
      </c>
      <c r="N63" s="1" t="s">
        <v>1141</v>
      </c>
      <c r="O63" s="1" t="s">
        <v>25</v>
      </c>
      <c r="P63" s="1" t="s">
        <v>25</v>
      </c>
      <c r="Q63" s="1">
        <v>7.0</v>
      </c>
      <c r="R63" s="1" t="s">
        <v>25</v>
      </c>
      <c r="S63" s="2">
        <v>45789.435590277775</v>
      </c>
      <c r="T63" s="2">
        <v>45826.705972222226</v>
      </c>
    </row>
    <row r="64">
      <c r="A64" s="1" t="s">
        <v>123</v>
      </c>
      <c r="B64" s="1">
        <v>1.0</v>
      </c>
      <c r="C64" s="1">
        <v>96.0</v>
      </c>
      <c r="D64" s="1">
        <v>1.8174013E7</v>
      </c>
      <c r="E64" s="1" t="s">
        <v>25</v>
      </c>
      <c r="F64" s="1" t="s">
        <v>25</v>
      </c>
      <c r="G64" s="1" t="s">
        <v>25</v>
      </c>
      <c r="H64" s="1" t="s">
        <v>25</v>
      </c>
      <c r="I64" s="1" t="s">
        <v>25</v>
      </c>
      <c r="J64" s="1" t="s">
        <v>25</v>
      </c>
      <c r="K64" s="1" t="s">
        <v>25</v>
      </c>
      <c r="L64" s="1" t="s">
        <v>25</v>
      </c>
      <c r="M64" s="1">
        <v>3.516169511E9</v>
      </c>
      <c r="N64" s="1" t="s">
        <v>25</v>
      </c>
      <c r="O64" s="1" t="s">
        <v>25</v>
      </c>
      <c r="P64" s="1" t="s">
        <v>25</v>
      </c>
      <c r="Q64" s="1">
        <v>4.0</v>
      </c>
      <c r="R64" s="1" t="s">
        <v>25</v>
      </c>
      <c r="S64" s="2">
        <v>45789.535532407404</v>
      </c>
      <c r="T64" s="2">
        <v>45789.535532407404</v>
      </c>
    </row>
    <row r="65">
      <c r="A65" s="1" t="s">
        <v>125</v>
      </c>
      <c r="B65" s="1" t="s">
        <v>25</v>
      </c>
      <c r="C65" s="1">
        <v>96.0</v>
      </c>
      <c r="D65" s="1">
        <v>4.28156141E8</v>
      </c>
      <c r="E65" s="1" t="s">
        <v>25</v>
      </c>
      <c r="F65" s="1" t="s">
        <v>25</v>
      </c>
      <c r="G65" s="1" t="s">
        <v>25</v>
      </c>
      <c r="H65" s="1" t="s">
        <v>25</v>
      </c>
      <c r="I65" s="1" t="s">
        <v>25</v>
      </c>
      <c r="J65" s="1" t="s">
        <v>25</v>
      </c>
      <c r="K65" s="1" t="s">
        <v>25</v>
      </c>
      <c r="L65" s="1" t="s">
        <v>25</v>
      </c>
      <c r="M65" s="1">
        <v>3.516364783E9</v>
      </c>
      <c r="N65" s="1" t="s">
        <v>25</v>
      </c>
      <c r="O65" s="1" t="s">
        <v>25</v>
      </c>
      <c r="P65" s="1" t="s">
        <v>25</v>
      </c>
      <c r="Q65" s="1">
        <v>2.0</v>
      </c>
      <c r="R65" s="1" t="s">
        <v>25</v>
      </c>
      <c r="S65" s="2">
        <v>45789.79608796296</v>
      </c>
      <c r="T65" s="2">
        <v>45789.79608796296</v>
      </c>
    </row>
    <row r="66">
      <c r="A66" s="1" t="s">
        <v>126</v>
      </c>
      <c r="B66" s="1">
        <v>2.0</v>
      </c>
      <c r="C66" s="1" t="s">
        <v>25</v>
      </c>
      <c r="D66" s="1">
        <v>1856995.0</v>
      </c>
      <c r="E66" s="1" t="s">
        <v>25</v>
      </c>
      <c r="F66" s="1" t="s">
        <v>25</v>
      </c>
      <c r="G66" s="1" t="s">
        <v>25</v>
      </c>
      <c r="H66" s="1" t="s">
        <v>25</v>
      </c>
      <c r="I66" s="1" t="s">
        <v>25</v>
      </c>
      <c r="J66" s="1" t="s">
        <v>25</v>
      </c>
      <c r="K66" s="1" t="s">
        <v>25</v>
      </c>
      <c r="L66" s="1" t="s">
        <v>25</v>
      </c>
      <c r="M66" s="1" t="s">
        <v>1144</v>
      </c>
      <c r="N66" s="1" t="s">
        <v>25</v>
      </c>
      <c r="O66" s="1" t="s">
        <v>25</v>
      </c>
      <c r="P66" s="1" t="s">
        <v>25</v>
      </c>
      <c r="Q66" s="1">
        <v>7.0</v>
      </c>
      <c r="R66" s="1" t="s">
        <v>25</v>
      </c>
      <c r="S66" s="2">
        <v>45790.54773148148</v>
      </c>
      <c r="T66" s="2">
        <v>45826.70821759259</v>
      </c>
    </row>
    <row r="67">
      <c r="A67" s="1" t="s">
        <v>127</v>
      </c>
      <c r="B67" s="1">
        <v>2.0</v>
      </c>
      <c r="C67" s="1">
        <v>96.0</v>
      </c>
      <c r="D67" s="1">
        <v>5.676289E7</v>
      </c>
      <c r="E67" s="1" t="s">
        <v>25</v>
      </c>
      <c r="F67" s="1" t="s">
        <v>25</v>
      </c>
      <c r="G67" s="1" t="s">
        <v>25</v>
      </c>
      <c r="H67" s="1" t="s">
        <v>25</v>
      </c>
      <c r="I67" s="1" t="s">
        <v>25</v>
      </c>
      <c r="J67" s="1" t="s">
        <v>25</v>
      </c>
      <c r="K67" s="1" t="s">
        <v>25</v>
      </c>
      <c r="L67" s="1" t="s">
        <v>25</v>
      </c>
      <c r="M67" s="1" t="s">
        <v>1145</v>
      </c>
      <c r="N67" s="1" t="s">
        <v>25</v>
      </c>
      <c r="O67" s="1" t="s">
        <v>25</v>
      </c>
      <c r="P67" s="1" t="s">
        <v>25</v>
      </c>
      <c r="Q67" s="1">
        <v>2.0</v>
      </c>
      <c r="R67" s="1" t="s">
        <v>25</v>
      </c>
      <c r="S67" s="2">
        <v>45790.745034722226</v>
      </c>
      <c r="T67" s="2">
        <v>45826.70664351852</v>
      </c>
    </row>
    <row r="68">
      <c r="A68" s="1" t="s">
        <v>128</v>
      </c>
      <c r="B68" s="1">
        <v>1.0</v>
      </c>
      <c r="C68" s="1">
        <v>96.0</v>
      </c>
      <c r="D68" s="1">
        <v>4.2642243E7</v>
      </c>
      <c r="E68" s="1" t="s">
        <v>25</v>
      </c>
      <c r="F68" s="1" t="s">
        <v>25</v>
      </c>
      <c r="G68" s="1" t="s">
        <v>25</v>
      </c>
      <c r="H68" s="1" t="s">
        <v>25</v>
      </c>
      <c r="I68" s="1" t="s">
        <v>25</v>
      </c>
      <c r="J68" s="1" t="s">
        <v>25</v>
      </c>
      <c r="K68" s="1" t="s">
        <v>25</v>
      </c>
      <c r="L68" s="1" t="s">
        <v>25</v>
      </c>
      <c r="M68" s="1" t="s">
        <v>1146</v>
      </c>
      <c r="N68" s="1" t="s">
        <v>25</v>
      </c>
      <c r="O68" s="1" t="s">
        <v>25</v>
      </c>
      <c r="P68" s="1" t="s">
        <v>25</v>
      </c>
      <c r="Q68" s="1" t="s">
        <v>25</v>
      </c>
      <c r="R68" s="1" t="s">
        <v>25</v>
      </c>
      <c r="S68" s="2">
        <v>45790.74932870371</v>
      </c>
      <c r="T68" s="2">
        <v>45790.74932870371</v>
      </c>
    </row>
    <row r="69">
      <c r="A69" s="1" t="s">
        <v>133</v>
      </c>
      <c r="B69" s="1">
        <v>1.0</v>
      </c>
      <c r="C69" s="1">
        <v>96.0</v>
      </c>
      <c r="D69" s="1">
        <v>2.6128808E7</v>
      </c>
      <c r="E69" s="1" t="s">
        <v>25</v>
      </c>
      <c r="F69" s="1" t="s">
        <v>25</v>
      </c>
      <c r="G69" s="1" t="s">
        <v>25</v>
      </c>
      <c r="H69" s="1" t="s">
        <v>25</v>
      </c>
      <c r="I69" s="1" t="s">
        <v>25</v>
      </c>
      <c r="J69" s="1" t="s">
        <v>25</v>
      </c>
      <c r="K69" s="1" t="s">
        <v>25</v>
      </c>
      <c r="L69" s="1" t="s">
        <v>25</v>
      </c>
      <c r="M69" s="1" t="s">
        <v>1147</v>
      </c>
      <c r="N69" s="1" t="s">
        <v>25</v>
      </c>
      <c r="O69" s="1" t="s">
        <v>25</v>
      </c>
      <c r="P69" s="1" t="s">
        <v>25</v>
      </c>
      <c r="Q69" s="1">
        <v>5.0</v>
      </c>
      <c r="R69" s="1" t="s">
        <v>25</v>
      </c>
      <c r="S69" s="2">
        <v>45790.75591435185</v>
      </c>
      <c r="T69" s="2">
        <v>45826.706967592596</v>
      </c>
    </row>
    <row r="70">
      <c r="A70" s="1" t="s">
        <v>1148</v>
      </c>
      <c r="B70" s="1" t="s">
        <v>25</v>
      </c>
      <c r="C70" s="1">
        <v>96.0</v>
      </c>
      <c r="D70" s="4">
        <v>4.9360736E7</v>
      </c>
      <c r="E70" s="1" t="s">
        <v>25</v>
      </c>
      <c r="F70" s="1" t="s">
        <v>25</v>
      </c>
      <c r="G70" s="1" t="s">
        <v>25</v>
      </c>
      <c r="H70" s="1" t="s">
        <v>25</v>
      </c>
      <c r="I70" s="1" t="s">
        <v>25</v>
      </c>
      <c r="J70" s="1" t="s">
        <v>25</v>
      </c>
      <c r="K70" s="1" t="s">
        <v>25</v>
      </c>
      <c r="L70" s="1" t="s">
        <v>25</v>
      </c>
      <c r="M70" s="1" t="s">
        <v>1149</v>
      </c>
      <c r="N70" s="1" t="s">
        <v>25</v>
      </c>
      <c r="O70" s="1" t="s">
        <v>25</v>
      </c>
      <c r="P70" s="1" t="s">
        <v>25</v>
      </c>
      <c r="Q70" s="1" t="s">
        <v>25</v>
      </c>
      <c r="R70" s="1" t="s">
        <v>1150</v>
      </c>
      <c r="S70" s="2">
        <v>45791.51105324074</v>
      </c>
      <c r="T70" s="2">
        <v>45791.51105324074</v>
      </c>
    </row>
    <row r="71">
      <c r="A71" s="1" t="s">
        <v>134</v>
      </c>
      <c r="B71" s="1" t="s">
        <v>25</v>
      </c>
      <c r="C71" s="1">
        <v>96.0</v>
      </c>
      <c r="D71" s="1">
        <v>2.5858997E7</v>
      </c>
      <c r="E71" s="1" t="s">
        <v>25</v>
      </c>
      <c r="F71" s="1" t="s">
        <v>25</v>
      </c>
      <c r="G71" s="1" t="s">
        <v>25</v>
      </c>
      <c r="H71" s="1" t="s">
        <v>25</v>
      </c>
      <c r="I71" s="1" t="s">
        <v>25</v>
      </c>
      <c r="J71" s="1" t="s">
        <v>25</v>
      </c>
      <c r="K71" s="1" t="s">
        <v>25</v>
      </c>
      <c r="L71" s="1" t="s">
        <v>25</v>
      </c>
      <c r="M71" s="1" t="s">
        <v>1151</v>
      </c>
      <c r="N71" s="1" t="s">
        <v>1152</v>
      </c>
      <c r="O71" s="1" t="s">
        <v>25</v>
      </c>
      <c r="P71" s="1" t="s">
        <v>25</v>
      </c>
      <c r="Q71" s="1" t="s">
        <v>25</v>
      </c>
      <c r="R71" s="1" t="s">
        <v>25</v>
      </c>
      <c r="S71" s="2">
        <v>45792.42203703704</v>
      </c>
      <c r="T71" s="2">
        <v>45792.42920138889</v>
      </c>
    </row>
    <row r="72">
      <c r="A72" s="1" t="s">
        <v>136</v>
      </c>
      <c r="B72" s="1">
        <v>1.0</v>
      </c>
      <c r="C72" s="1">
        <v>96.0</v>
      </c>
      <c r="D72" s="1">
        <v>3.228114E7</v>
      </c>
      <c r="E72" s="1" t="s">
        <v>25</v>
      </c>
      <c r="F72" s="1" t="s">
        <v>25</v>
      </c>
      <c r="G72" s="1" t="s">
        <v>25</v>
      </c>
      <c r="H72" s="5">
        <v>45792.0</v>
      </c>
      <c r="I72" s="1" t="s">
        <v>25</v>
      </c>
      <c r="J72" s="1" t="s">
        <v>1142</v>
      </c>
      <c r="K72" s="1">
        <v>168.0</v>
      </c>
      <c r="L72" s="1">
        <v>4.0</v>
      </c>
      <c r="M72" s="1">
        <v>3.515604908E9</v>
      </c>
      <c r="N72" s="1" t="s">
        <v>25</v>
      </c>
      <c r="O72" s="1" t="s">
        <v>25</v>
      </c>
      <c r="P72" s="1" t="s">
        <v>25</v>
      </c>
      <c r="Q72" s="1">
        <v>5.0</v>
      </c>
      <c r="R72" s="1" t="s">
        <v>25</v>
      </c>
      <c r="S72" s="2">
        <v>45792.82119212963</v>
      </c>
      <c r="T72" s="2">
        <v>45792.82699074074</v>
      </c>
    </row>
    <row r="73">
      <c r="A73" s="1" t="s">
        <v>1153</v>
      </c>
      <c r="B73" s="1">
        <v>1.0</v>
      </c>
      <c r="C73" s="1">
        <v>96.0</v>
      </c>
      <c r="D73" s="1">
        <v>4.7264886E7</v>
      </c>
      <c r="E73" s="1" t="s">
        <v>25</v>
      </c>
      <c r="F73" s="1" t="s">
        <v>25</v>
      </c>
      <c r="G73" s="1" t="s">
        <v>25</v>
      </c>
      <c r="H73" s="5">
        <v>38794.0</v>
      </c>
      <c r="I73" s="1" t="s">
        <v>25</v>
      </c>
      <c r="J73" s="1" t="s">
        <v>25</v>
      </c>
      <c r="K73" s="1" t="s">
        <v>25</v>
      </c>
      <c r="L73" s="1" t="s">
        <v>25</v>
      </c>
      <c r="M73" s="1" t="s">
        <v>1154</v>
      </c>
      <c r="N73" s="1" t="s">
        <v>25</v>
      </c>
      <c r="O73" s="1" t="s">
        <v>25</v>
      </c>
      <c r="P73" s="1" t="s">
        <v>25</v>
      </c>
      <c r="Q73" s="1">
        <v>1.0</v>
      </c>
      <c r="R73" s="1" t="s">
        <v>25</v>
      </c>
      <c r="S73" s="2">
        <v>45793.73893518518</v>
      </c>
      <c r="T73" s="2">
        <v>45793.74056712963</v>
      </c>
    </row>
    <row r="74">
      <c r="A74" s="1" t="s">
        <v>137</v>
      </c>
      <c r="B74" s="1">
        <v>1.0</v>
      </c>
      <c r="C74" s="1">
        <v>96.0</v>
      </c>
      <c r="D74" s="1">
        <v>1.3984782E7</v>
      </c>
      <c r="E74" s="1" t="s">
        <v>25</v>
      </c>
      <c r="F74" s="1" t="s">
        <v>25</v>
      </c>
      <c r="G74" s="1" t="s">
        <v>25</v>
      </c>
      <c r="H74" s="1" t="s">
        <v>25</v>
      </c>
      <c r="I74" s="1" t="s">
        <v>25</v>
      </c>
      <c r="J74" s="1" t="s">
        <v>25</v>
      </c>
      <c r="K74" s="1" t="s">
        <v>25</v>
      </c>
      <c r="L74" s="1" t="s">
        <v>25</v>
      </c>
      <c r="M74" s="1">
        <v>3.512282014E9</v>
      </c>
      <c r="N74" s="1" t="s">
        <v>25</v>
      </c>
      <c r="O74" s="1" t="s">
        <v>25</v>
      </c>
      <c r="P74" s="1" t="s">
        <v>25</v>
      </c>
      <c r="Q74" s="1">
        <v>7.0</v>
      </c>
      <c r="R74" s="1" t="s">
        <v>25</v>
      </c>
      <c r="S74" s="2">
        <v>45793.799259259256</v>
      </c>
      <c r="T74" s="2">
        <v>45826.7075</v>
      </c>
    </row>
    <row r="75">
      <c r="A75" s="1" t="s">
        <v>139</v>
      </c>
      <c r="B75" s="1">
        <v>1.0</v>
      </c>
      <c r="C75" s="1">
        <v>96.0</v>
      </c>
      <c r="D75" s="1">
        <v>4.3230649E7</v>
      </c>
      <c r="E75" s="1" t="s">
        <v>25</v>
      </c>
      <c r="F75" s="1" t="s">
        <v>25</v>
      </c>
      <c r="G75" s="1" t="s">
        <v>25</v>
      </c>
      <c r="H75" s="1" t="s">
        <v>25</v>
      </c>
      <c r="I75" s="1" t="s">
        <v>25</v>
      </c>
      <c r="J75" s="1" t="s">
        <v>25</v>
      </c>
      <c r="K75" s="1" t="s">
        <v>25</v>
      </c>
      <c r="L75" s="1" t="s">
        <v>25</v>
      </c>
      <c r="M75" s="1">
        <v>3.51316038E9</v>
      </c>
      <c r="N75" s="1" t="s">
        <v>25</v>
      </c>
      <c r="O75" s="1" t="s">
        <v>25</v>
      </c>
      <c r="P75" s="1" t="s">
        <v>25</v>
      </c>
      <c r="Q75" s="1">
        <v>6.0</v>
      </c>
      <c r="R75" s="1" t="s">
        <v>25</v>
      </c>
      <c r="S75" s="2">
        <v>45794.505208333336</v>
      </c>
      <c r="T75" s="2">
        <v>45794.505208333336</v>
      </c>
    </row>
    <row r="76">
      <c r="A76" s="1" t="s">
        <v>142</v>
      </c>
      <c r="B76" s="1" t="s">
        <v>25</v>
      </c>
      <c r="C76" s="1">
        <v>96.0</v>
      </c>
      <c r="D76" s="1">
        <v>3.0332338E7</v>
      </c>
      <c r="E76" s="1" t="s">
        <v>25</v>
      </c>
      <c r="F76" s="1" t="s">
        <v>25</v>
      </c>
      <c r="G76" s="1" t="s">
        <v>25</v>
      </c>
      <c r="H76" s="1" t="s">
        <v>25</v>
      </c>
      <c r="I76" s="1" t="s">
        <v>25</v>
      </c>
      <c r="J76" s="1" t="s">
        <v>25</v>
      </c>
      <c r="K76" s="1" t="s">
        <v>25</v>
      </c>
      <c r="L76" s="1" t="s">
        <v>25</v>
      </c>
      <c r="M76" s="1">
        <v>3.51744734E9</v>
      </c>
      <c r="N76" s="1" t="s">
        <v>25</v>
      </c>
      <c r="O76" s="1" t="s">
        <v>25</v>
      </c>
      <c r="P76" s="1" t="s">
        <v>25</v>
      </c>
      <c r="Q76" s="1" t="s">
        <v>25</v>
      </c>
      <c r="R76" s="1" t="s">
        <v>25</v>
      </c>
      <c r="S76" s="2">
        <v>45796.70243055555</v>
      </c>
      <c r="T76" s="2">
        <v>45796.70243055555</v>
      </c>
    </row>
    <row r="77">
      <c r="A77" s="1" t="s">
        <v>141</v>
      </c>
      <c r="B77" s="1">
        <v>1.0</v>
      </c>
      <c r="C77" s="1">
        <v>96.0</v>
      </c>
      <c r="D77" s="1">
        <v>4.1711517E7</v>
      </c>
      <c r="E77" s="1" t="s">
        <v>25</v>
      </c>
      <c r="F77" s="1" t="s">
        <v>25</v>
      </c>
      <c r="G77" s="1" t="s">
        <v>25</v>
      </c>
      <c r="H77" s="5">
        <v>45796.0</v>
      </c>
      <c r="I77" s="1" t="s">
        <v>1140</v>
      </c>
      <c r="J77" s="1" t="s">
        <v>25</v>
      </c>
      <c r="K77" s="1">
        <v>168.0</v>
      </c>
      <c r="L77" s="1">
        <v>4.0</v>
      </c>
      <c r="M77" s="1">
        <v>3.513447219E9</v>
      </c>
      <c r="N77" s="1" t="s">
        <v>1141</v>
      </c>
      <c r="O77" s="1" t="s">
        <v>25</v>
      </c>
      <c r="P77" s="1" t="s">
        <v>25</v>
      </c>
      <c r="Q77" s="1" t="s">
        <v>25</v>
      </c>
      <c r="R77" s="1" t="s">
        <v>25</v>
      </c>
      <c r="S77" s="2">
        <v>45796.82258101852</v>
      </c>
      <c r="T77" s="2">
        <v>45796.82258101852</v>
      </c>
    </row>
    <row r="78">
      <c r="A78" s="1" t="s">
        <v>143</v>
      </c>
      <c r="B78" s="1">
        <v>2.0</v>
      </c>
      <c r="C78" s="1">
        <v>96.0</v>
      </c>
      <c r="D78" s="1">
        <v>1.022053218401E12</v>
      </c>
      <c r="E78" s="1" t="s">
        <v>25</v>
      </c>
      <c r="F78" s="1" t="s">
        <v>25</v>
      </c>
      <c r="G78" s="1" t="s">
        <v>25</v>
      </c>
      <c r="H78" s="1" t="s">
        <v>25</v>
      </c>
      <c r="I78" s="1" t="s">
        <v>25</v>
      </c>
      <c r="J78" s="1" t="s">
        <v>25</v>
      </c>
      <c r="K78" s="1" t="s">
        <v>25</v>
      </c>
      <c r="L78" s="1" t="s">
        <v>25</v>
      </c>
      <c r="M78" s="1" t="s">
        <v>1155</v>
      </c>
      <c r="N78" s="1" t="s">
        <v>25</v>
      </c>
      <c r="O78" s="1" t="s">
        <v>25</v>
      </c>
      <c r="P78" s="1" t="s">
        <v>25</v>
      </c>
      <c r="Q78" s="1" t="s">
        <v>25</v>
      </c>
      <c r="R78" s="1" t="s">
        <v>25</v>
      </c>
      <c r="S78" s="2">
        <v>45798.39633101852</v>
      </c>
      <c r="T78" s="2">
        <v>45798.39633101852</v>
      </c>
    </row>
    <row r="79">
      <c r="A79" s="1" t="s">
        <v>146</v>
      </c>
      <c r="B79" s="1">
        <v>2.0</v>
      </c>
      <c r="C79" s="1" t="s">
        <v>25</v>
      </c>
      <c r="D79" s="1">
        <v>4.1886825E7</v>
      </c>
      <c r="E79" s="1" t="s">
        <v>25</v>
      </c>
      <c r="F79" s="1" t="s">
        <v>25</v>
      </c>
      <c r="G79" s="1" t="s">
        <v>25</v>
      </c>
      <c r="H79" s="1" t="s">
        <v>25</v>
      </c>
      <c r="I79" s="1" t="s">
        <v>25</v>
      </c>
      <c r="J79" s="1" t="s">
        <v>25</v>
      </c>
      <c r="K79" s="1" t="s">
        <v>25</v>
      </c>
      <c r="L79" s="1" t="s">
        <v>25</v>
      </c>
      <c r="M79" s="1">
        <v>3.515604491E9</v>
      </c>
      <c r="N79" s="1" t="s">
        <v>25</v>
      </c>
      <c r="O79" s="1" t="s">
        <v>25</v>
      </c>
      <c r="P79" s="1" t="s">
        <v>25</v>
      </c>
      <c r="Q79" s="1" t="s">
        <v>25</v>
      </c>
      <c r="R79" s="1" t="s">
        <v>25</v>
      </c>
      <c r="S79" s="2">
        <v>45798.43418981481</v>
      </c>
      <c r="T79" s="2">
        <v>45798.43418981481</v>
      </c>
    </row>
    <row r="80">
      <c r="A80" s="1" t="s">
        <v>147</v>
      </c>
      <c r="B80" s="1">
        <v>2.0</v>
      </c>
      <c r="C80" s="1">
        <v>96.0</v>
      </c>
      <c r="D80" s="1">
        <v>5.816005E7</v>
      </c>
      <c r="E80" s="1" t="s">
        <v>25</v>
      </c>
      <c r="F80" s="1" t="s">
        <v>25</v>
      </c>
      <c r="G80" s="1" t="s">
        <v>25</v>
      </c>
      <c r="H80" s="1" t="s">
        <v>25</v>
      </c>
      <c r="I80" s="1" t="s">
        <v>25</v>
      </c>
      <c r="J80" s="1" t="s">
        <v>25</v>
      </c>
      <c r="K80" s="1" t="s">
        <v>25</v>
      </c>
      <c r="L80" s="1" t="s">
        <v>25</v>
      </c>
      <c r="M80" s="1">
        <v>3.518666216E9</v>
      </c>
      <c r="N80" s="1" t="s">
        <v>25</v>
      </c>
      <c r="O80" s="1" t="s">
        <v>25</v>
      </c>
      <c r="P80" s="1" t="s">
        <v>25</v>
      </c>
      <c r="Q80" s="1">
        <v>2.0</v>
      </c>
      <c r="R80" s="1" t="s">
        <v>25</v>
      </c>
      <c r="S80" s="2">
        <v>45798.77086805556</v>
      </c>
      <c r="T80" s="2">
        <v>45826.70930555555</v>
      </c>
    </row>
    <row r="81">
      <c r="A81" s="1" t="s">
        <v>1156</v>
      </c>
      <c r="B81" s="1">
        <v>2.0</v>
      </c>
      <c r="C81" s="1">
        <v>96.0</v>
      </c>
      <c r="D81" s="1">
        <v>3.7999707E7</v>
      </c>
      <c r="E81" s="1" t="s">
        <v>25</v>
      </c>
      <c r="F81" s="1" t="s">
        <v>25</v>
      </c>
      <c r="G81" s="1" t="s">
        <v>25</v>
      </c>
      <c r="H81" s="1" t="s">
        <v>25</v>
      </c>
      <c r="I81" s="1" t="s">
        <v>25</v>
      </c>
      <c r="J81" s="1" t="s">
        <v>25</v>
      </c>
      <c r="K81" s="1" t="s">
        <v>25</v>
      </c>
      <c r="L81" s="1" t="s">
        <v>25</v>
      </c>
      <c r="M81" s="1">
        <v>3.54315642437E11</v>
      </c>
      <c r="N81" s="1" t="s">
        <v>25</v>
      </c>
      <c r="O81" s="1" t="s">
        <v>25</v>
      </c>
      <c r="P81" s="1" t="s">
        <v>25</v>
      </c>
      <c r="Q81" s="1" t="s">
        <v>25</v>
      </c>
      <c r="R81" s="1" t="s">
        <v>25</v>
      </c>
      <c r="S81" s="2">
        <v>45798.78502314815</v>
      </c>
      <c r="T81" s="2">
        <v>45798.78502314815</v>
      </c>
    </row>
    <row r="82">
      <c r="A82" s="1" t="s">
        <v>151</v>
      </c>
      <c r="B82" s="1">
        <v>1.0</v>
      </c>
      <c r="C82" s="1">
        <v>96.0</v>
      </c>
      <c r="D82" s="1">
        <v>1.7836081E7</v>
      </c>
      <c r="E82" s="1" t="s">
        <v>25</v>
      </c>
      <c r="F82" s="1" t="s">
        <v>25</v>
      </c>
      <c r="G82" s="1" t="s">
        <v>25</v>
      </c>
      <c r="H82" s="1" t="s">
        <v>25</v>
      </c>
      <c r="I82" s="1" t="s">
        <v>25</v>
      </c>
      <c r="J82" s="1" t="s">
        <v>25</v>
      </c>
      <c r="K82" s="1" t="s">
        <v>25</v>
      </c>
      <c r="L82" s="1" t="s">
        <v>25</v>
      </c>
      <c r="M82" s="1">
        <v>3.5143693635E10</v>
      </c>
      <c r="N82" s="1" t="s">
        <v>25</v>
      </c>
      <c r="O82" s="1" t="s">
        <v>25</v>
      </c>
      <c r="P82" s="1" t="s">
        <v>25</v>
      </c>
      <c r="Q82" s="1">
        <v>7.0</v>
      </c>
      <c r="R82" s="1" t="s">
        <v>25</v>
      </c>
      <c r="S82" s="2">
        <v>45799.42857638889</v>
      </c>
      <c r="T82" s="2">
        <v>45826.709502314814</v>
      </c>
    </row>
    <row r="83">
      <c r="A83" s="1" t="s">
        <v>148</v>
      </c>
      <c r="B83" s="1" t="s">
        <v>25</v>
      </c>
      <c r="C83" s="1">
        <v>96.0</v>
      </c>
      <c r="D83" s="1">
        <v>1.6500403E7</v>
      </c>
      <c r="E83" s="1" t="s">
        <v>25</v>
      </c>
      <c r="F83" s="1" t="s">
        <v>25</v>
      </c>
      <c r="G83" s="1" t="s">
        <v>25</v>
      </c>
      <c r="H83" s="1" t="s">
        <v>25</v>
      </c>
      <c r="I83" s="1" t="s">
        <v>25</v>
      </c>
      <c r="J83" s="1" t="s">
        <v>25</v>
      </c>
      <c r="K83" s="1" t="s">
        <v>25</v>
      </c>
      <c r="L83" s="1" t="s">
        <v>25</v>
      </c>
      <c r="M83" s="1" t="s">
        <v>1157</v>
      </c>
      <c r="N83" s="1" t="s">
        <v>25</v>
      </c>
      <c r="O83" s="1" t="s">
        <v>25</v>
      </c>
      <c r="P83" s="1" t="s">
        <v>25</v>
      </c>
      <c r="Q83" s="1">
        <v>7.0</v>
      </c>
      <c r="R83" s="1" t="s">
        <v>25</v>
      </c>
      <c r="S83" s="2">
        <v>45799.7634375</v>
      </c>
      <c r="T83" s="2">
        <v>45799.7634375</v>
      </c>
    </row>
    <row r="84">
      <c r="A84" s="1" t="s">
        <v>153</v>
      </c>
      <c r="B84" s="1">
        <v>1.0</v>
      </c>
      <c r="C84" s="1">
        <v>96.0</v>
      </c>
      <c r="D84" s="1">
        <v>2.2373886E7</v>
      </c>
      <c r="E84" s="1" t="s">
        <v>25</v>
      </c>
      <c r="F84" s="1" t="s">
        <v>25</v>
      </c>
      <c r="G84" s="1" t="s">
        <v>25</v>
      </c>
      <c r="H84" s="1" t="s">
        <v>25</v>
      </c>
      <c r="I84" s="1" t="s">
        <v>25</v>
      </c>
      <c r="J84" s="1" t="s">
        <v>25</v>
      </c>
      <c r="K84" s="1" t="s">
        <v>25</v>
      </c>
      <c r="L84" s="1" t="s">
        <v>25</v>
      </c>
      <c r="M84" s="1">
        <v>3.512520666E9</v>
      </c>
      <c r="N84" s="1" t="s">
        <v>25</v>
      </c>
      <c r="O84" s="1" t="s">
        <v>25</v>
      </c>
      <c r="P84" s="1" t="s">
        <v>25</v>
      </c>
      <c r="Q84" s="1">
        <v>1.0</v>
      </c>
      <c r="R84" s="1" t="s">
        <v>25</v>
      </c>
      <c r="S84" s="2">
        <v>45799.8041087963</v>
      </c>
      <c r="T84" s="2">
        <v>45826.709699074076</v>
      </c>
    </row>
    <row r="85">
      <c r="A85" s="1" t="s">
        <v>156</v>
      </c>
      <c r="B85" s="1">
        <v>2.0</v>
      </c>
      <c r="C85" s="1">
        <v>96.0</v>
      </c>
      <c r="D85" s="1">
        <v>5.447771E7</v>
      </c>
      <c r="E85" s="1" t="s">
        <v>25</v>
      </c>
      <c r="F85" s="1" t="s">
        <v>25</v>
      </c>
      <c r="G85" s="1" t="s">
        <v>25</v>
      </c>
      <c r="H85" s="1" t="s">
        <v>25</v>
      </c>
      <c r="I85" s="1" t="s">
        <v>25</v>
      </c>
      <c r="J85" s="1" t="s">
        <v>25</v>
      </c>
      <c r="K85" s="1" t="s">
        <v>25</v>
      </c>
      <c r="L85" s="1" t="s">
        <v>25</v>
      </c>
      <c r="M85" s="1" t="s">
        <v>1158</v>
      </c>
      <c r="N85" s="1" t="s">
        <v>25</v>
      </c>
      <c r="O85" s="1" t="s">
        <v>25</v>
      </c>
      <c r="P85" s="1" t="s">
        <v>25</v>
      </c>
      <c r="Q85" s="1">
        <v>1.0</v>
      </c>
      <c r="R85" s="1" t="s">
        <v>25</v>
      </c>
      <c r="S85" s="2">
        <v>45800.69152777778</v>
      </c>
      <c r="T85" s="2">
        <v>45826.70991898148</v>
      </c>
    </row>
    <row r="86">
      <c r="A86" s="1" t="s">
        <v>157</v>
      </c>
      <c r="B86" s="1">
        <v>2.0</v>
      </c>
      <c r="C86" s="1">
        <v>96.0</v>
      </c>
      <c r="D86" s="1">
        <v>3.5583083E7</v>
      </c>
      <c r="E86" s="1" t="s">
        <v>25</v>
      </c>
      <c r="F86" s="1" t="s">
        <v>25</v>
      </c>
      <c r="G86" s="1" t="s">
        <v>25</v>
      </c>
      <c r="H86" s="1" t="s">
        <v>25</v>
      </c>
      <c r="I86" s="1" t="s">
        <v>25</v>
      </c>
      <c r="J86" s="1" t="s">
        <v>25</v>
      </c>
      <c r="K86" s="1" t="s">
        <v>25</v>
      </c>
      <c r="L86" s="1" t="s">
        <v>25</v>
      </c>
      <c r="M86" s="1">
        <v>3.583433681E9</v>
      </c>
      <c r="N86" s="1" t="s">
        <v>25</v>
      </c>
      <c r="O86" s="1" t="s">
        <v>25</v>
      </c>
      <c r="P86" s="1" t="s">
        <v>25</v>
      </c>
      <c r="Q86" s="1">
        <v>2.0</v>
      </c>
      <c r="R86" s="1" t="s">
        <v>25</v>
      </c>
      <c r="S86" s="2">
        <v>45800.79809027778</v>
      </c>
      <c r="T86" s="2">
        <v>45826.710231481484</v>
      </c>
    </row>
    <row r="87">
      <c r="A87" s="1" t="s">
        <v>166</v>
      </c>
      <c r="B87" s="1">
        <v>2.0</v>
      </c>
      <c r="C87" s="1">
        <v>96.0</v>
      </c>
      <c r="D87" s="1">
        <v>3.3975398E7</v>
      </c>
      <c r="E87" s="1" t="s">
        <v>25</v>
      </c>
      <c r="F87" s="1" t="s">
        <v>25</v>
      </c>
      <c r="G87" s="1" t="s">
        <v>25</v>
      </c>
      <c r="H87" s="1" t="s">
        <v>25</v>
      </c>
      <c r="I87" s="1" t="s">
        <v>25</v>
      </c>
      <c r="J87" s="1" t="s">
        <v>25</v>
      </c>
      <c r="K87" s="1" t="s">
        <v>25</v>
      </c>
      <c r="L87" s="1" t="s">
        <v>25</v>
      </c>
      <c r="M87" s="1" t="s">
        <v>1159</v>
      </c>
      <c r="N87" s="1" t="s">
        <v>25</v>
      </c>
      <c r="O87" s="1" t="s">
        <v>25</v>
      </c>
      <c r="P87" s="1" t="s">
        <v>25</v>
      </c>
      <c r="Q87" s="1" t="s">
        <v>25</v>
      </c>
      <c r="R87" s="1" t="s">
        <v>25</v>
      </c>
      <c r="S87" s="2">
        <v>45801.550520833334</v>
      </c>
      <c r="T87" s="2">
        <v>45805.470821759256</v>
      </c>
    </row>
    <row r="88">
      <c r="A88" s="1" t="s">
        <v>160</v>
      </c>
      <c r="B88" s="1">
        <v>1.0</v>
      </c>
      <c r="C88" s="1">
        <v>96.0</v>
      </c>
      <c r="D88" s="1">
        <v>3.9421672E7</v>
      </c>
      <c r="E88" s="1" t="s">
        <v>25</v>
      </c>
      <c r="F88" s="1" t="s">
        <v>25</v>
      </c>
      <c r="G88" s="1" t="s">
        <v>25</v>
      </c>
      <c r="H88" s="5">
        <v>45803.0</v>
      </c>
      <c r="I88" s="1" t="s">
        <v>25</v>
      </c>
      <c r="J88" s="1" t="s">
        <v>25</v>
      </c>
      <c r="K88" s="1">
        <v>168.0</v>
      </c>
      <c r="L88" s="1">
        <v>4.0</v>
      </c>
      <c r="M88" s="1" t="s">
        <v>1160</v>
      </c>
      <c r="N88" s="1" t="s">
        <v>25</v>
      </c>
      <c r="O88" s="1" t="s">
        <v>25</v>
      </c>
      <c r="P88" s="1" t="s">
        <v>25</v>
      </c>
      <c r="Q88" s="1">
        <v>2.0</v>
      </c>
      <c r="R88" s="1" t="s">
        <v>25</v>
      </c>
      <c r="S88" s="2">
        <v>45803.704201388886</v>
      </c>
      <c r="T88" s="2">
        <v>45826.710752314815</v>
      </c>
    </row>
    <row r="89">
      <c r="A89" s="1" t="s">
        <v>162</v>
      </c>
      <c r="B89" s="1">
        <v>1.0</v>
      </c>
      <c r="C89" s="1">
        <v>96.0</v>
      </c>
      <c r="D89" s="1">
        <v>1.093735702023E12</v>
      </c>
      <c r="E89" s="1" t="s">
        <v>25</v>
      </c>
      <c r="F89" s="1" t="s">
        <v>25</v>
      </c>
      <c r="G89" s="1" t="s">
        <v>25</v>
      </c>
      <c r="H89" s="1" t="s">
        <v>25</v>
      </c>
      <c r="I89" s="1" t="s">
        <v>25</v>
      </c>
      <c r="J89" s="1" t="s">
        <v>25</v>
      </c>
      <c r="K89" s="1" t="s">
        <v>25</v>
      </c>
      <c r="L89" s="1" t="s">
        <v>25</v>
      </c>
      <c r="M89" s="1" t="s">
        <v>25</v>
      </c>
      <c r="N89" s="1" t="s">
        <v>25</v>
      </c>
      <c r="O89" s="1" t="s">
        <v>25</v>
      </c>
      <c r="P89" s="1" t="s">
        <v>25</v>
      </c>
      <c r="Q89" s="1" t="s">
        <v>25</v>
      </c>
      <c r="R89" s="1" t="s">
        <v>1161</v>
      </c>
      <c r="S89" s="2">
        <v>45803.78271990741</v>
      </c>
      <c r="T89" s="2">
        <v>45812.53034722222</v>
      </c>
    </row>
    <row r="90">
      <c r="A90" s="1" t="s">
        <v>164</v>
      </c>
      <c r="B90" s="1">
        <v>2.0</v>
      </c>
      <c r="C90" s="1">
        <v>5.0</v>
      </c>
      <c r="D90" s="1">
        <v>1.093735703021E12</v>
      </c>
      <c r="E90" s="1" t="s">
        <v>25</v>
      </c>
      <c r="F90" s="1" t="s">
        <v>25</v>
      </c>
      <c r="G90" s="1" t="s">
        <v>25</v>
      </c>
      <c r="H90" s="1" t="s">
        <v>25</v>
      </c>
      <c r="I90" s="1" t="s">
        <v>25</v>
      </c>
      <c r="J90" s="1" t="s">
        <v>25</v>
      </c>
      <c r="K90" s="1" t="s">
        <v>25</v>
      </c>
      <c r="L90" s="1" t="s">
        <v>25</v>
      </c>
      <c r="M90" s="1" t="s">
        <v>25</v>
      </c>
      <c r="N90" s="1" t="s">
        <v>25</v>
      </c>
      <c r="O90" s="1" t="s">
        <v>25</v>
      </c>
      <c r="P90" s="1">
        <v>1.093735703021E12</v>
      </c>
      <c r="Q90" s="1">
        <v>4.0</v>
      </c>
      <c r="R90" s="1" t="s">
        <v>1161</v>
      </c>
      <c r="S90" s="2">
        <v>45803.8134375</v>
      </c>
      <c r="T90" s="2">
        <v>45826.7112037037</v>
      </c>
    </row>
    <row r="91">
      <c r="A91" s="1" t="s">
        <v>177</v>
      </c>
      <c r="B91" s="1">
        <v>1.0</v>
      </c>
      <c r="C91" s="1">
        <v>96.0</v>
      </c>
      <c r="D91" s="1">
        <v>4.4972034E7</v>
      </c>
      <c r="E91" s="1" t="s">
        <v>25</v>
      </c>
      <c r="F91" s="1" t="s">
        <v>25</v>
      </c>
      <c r="G91" s="1" t="s">
        <v>25</v>
      </c>
      <c r="H91" s="1" t="s">
        <v>25</v>
      </c>
      <c r="I91" s="1" t="s">
        <v>25</v>
      </c>
      <c r="J91" s="1" t="s">
        <v>25</v>
      </c>
      <c r="K91" s="1" t="s">
        <v>25</v>
      </c>
      <c r="L91" s="1" t="s">
        <v>25</v>
      </c>
      <c r="M91" s="1">
        <v>3.513447219E9</v>
      </c>
      <c r="N91" s="1" t="s">
        <v>25</v>
      </c>
      <c r="O91" s="1" t="s">
        <v>25</v>
      </c>
      <c r="P91" s="1" t="s">
        <v>25</v>
      </c>
      <c r="Q91" s="1" t="s">
        <v>25</v>
      </c>
      <c r="R91" s="1" t="s">
        <v>25</v>
      </c>
      <c r="S91" s="2">
        <v>45803.8202662037</v>
      </c>
      <c r="T91" s="2">
        <v>45803.8202662037</v>
      </c>
    </row>
    <row r="92">
      <c r="A92" s="1" t="s">
        <v>168</v>
      </c>
      <c r="B92" s="1">
        <v>2.0</v>
      </c>
      <c r="C92" s="1">
        <v>96.0</v>
      </c>
      <c r="D92" s="1">
        <v>2.3660376E7</v>
      </c>
      <c r="E92" s="1" t="s">
        <v>25</v>
      </c>
      <c r="F92" s="1" t="s">
        <v>25</v>
      </c>
      <c r="G92" s="1" t="s">
        <v>25</v>
      </c>
      <c r="H92" s="1" t="s">
        <v>25</v>
      </c>
      <c r="I92" s="1" t="s">
        <v>25</v>
      </c>
      <c r="J92" s="1" t="s">
        <v>25</v>
      </c>
      <c r="K92" s="1" t="s">
        <v>25</v>
      </c>
      <c r="L92" s="1" t="s">
        <v>25</v>
      </c>
      <c r="M92" s="3" t="str">
        <f>+54 9 3513 43-4007</f>
        <v>#ERROR!</v>
      </c>
      <c r="N92" s="1" t="s">
        <v>25</v>
      </c>
      <c r="O92" s="1" t="s">
        <v>25</v>
      </c>
      <c r="P92" s="1" t="s">
        <v>25</v>
      </c>
      <c r="Q92" s="1" t="s">
        <v>25</v>
      </c>
      <c r="R92" s="1" t="s">
        <v>25</v>
      </c>
      <c r="S92" s="2">
        <v>45806.77762731481</v>
      </c>
      <c r="T92" s="2">
        <v>45812.53090277778</v>
      </c>
    </row>
    <row r="93">
      <c r="A93" s="1" t="s">
        <v>170</v>
      </c>
      <c r="B93" s="1">
        <v>1.0</v>
      </c>
      <c r="C93" s="1">
        <v>96.0</v>
      </c>
      <c r="D93" s="1">
        <v>3.9497297E7</v>
      </c>
      <c r="E93" s="1" t="s">
        <v>25</v>
      </c>
      <c r="F93" s="1" t="s">
        <v>25</v>
      </c>
      <c r="G93" s="1" t="s">
        <v>25</v>
      </c>
      <c r="H93" s="5">
        <v>45806.0</v>
      </c>
      <c r="I93" s="1" t="s">
        <v>25</v>
      </c>
      <c r="J93" s="1" t="s">
        <v>25</v>
      </c>
      <c r="K93" s="1" t="s">
        <v>25</v>
      </c>
      <c r="L93" s="1" t="s">
        <v>25</v>
      </c>
      <c r="M93" s="3" t="str">
        <f>+54 9 3515 15-9821</f>
        <v>#ERROR!</v>
      </c>
      <c r="N93" s="1" t="s">
        <v>25</v>
      </c>
      <c r="O93" s="1" t="s">
        <v>25</v>
      </c>
      <c r="P93" s="1" t="s">
        <v>25</v>
      </c>
      <c r="Q93" s="1">
        <v>7.0</v>
      </c>
      <c r="R93" s="1" t="s">
        <v>25</v>
      </c>
      <c r="S93" s="2">
        <v>45806.79607638889</v>
      </c>
      <c r="T93" s="2">
        <v>45826.71146990741</v>
      </c>
    </row>
    <row r="94">
      <c r="A94" s="1" t="s">
        <v>171</v>
      </c>
      <c r="B94" s="1">
        <v>1.0</v>
      </c>
      <c r="C94" s="1">
        <v>96.0</v>
      </c>
      <c r="D94" s="1">
        <v>3.0833351E7</v>
      </c>
      <c r="E94" s="1" t="s">
        <v>25</v>
      </c>
      <c r="F94" s="1" t="s">
        <v>25</v>
      </c>
      <c r="G94" s="1" t="s">
        <v>25</v>
      </c>
      <c r="H94" s="5">
        <v>45806.0</v>
      </c>
      <c r="I94" s="1" t="s">
        <v>25</v>
      </c>
      <c r="J94" s="1" t="s">
        <v>25</v>
      </c>
      <c r="K94" s="1" t="s">
        <v>25</v>
      </c>
      <c r="L94" s="1">
        <v>1.0</v>
      </c>
      <c r="M94" s="3">
        <f>+541135182061</f>
        <v>541135182061</v>
      </c>
      <c r="N94" s="1" t="s">
        <v>25</v>
      </c>
      <c r="O94" s="1" t="s">
        <v>25</v>
      </c>
      <c r="P94" s="1" t="s">
        <v>25</v>
      </c>
      <c r="Q94" s="1">
        <v>2.0</v>
      </c>
      <c r="R94" s="1" t="s">
        <v>25</v>
      </c>
      <c r="S94" s="2">
        <v>45806.80721064815</v>
      </c>
      <c r="T94" s="2">
        <v>45826.71052083333</v>
      </c>
    </row>
    <row r="95">
      <c r="A95" s="1" t="s">
        <v>175</v>
      </c>
      <c r="B95" s="1">
        <v>2.0</v>
      </c>
      <c r="C95" s="1">
        <v>96.0</v>
      </c>
      <c r="D95" s="1">
        <v>3.3101244E7</v>
      </c>
      <c r="E95" s="1" t="s">
        <v>25</v>
      </c>
      <c r="F95" s="1" t="s">
        <v>25</v>
      </c>
      <c r="G95" s="1" t="s">
        <v>25</v>
      </c>
      <c r="H95" s="5">
        <v>45808.0</v>
      </c>
      <c r="I95" s="1" t="s">
        <v>25</v>
      </c>
      <c r="J95" s="1" t="s">
        <v>25</v>
      </c>
      <c r="K95" s="1" t="s">
        <v>25</v>
      </c>
      <c r="L95" s="1" t="s">
        <v>25</v>
      </c>
      <c r="M95" s="1">
        <v>3.513194044E9</v>
      </c>
      <c r="N95" s="1" t="s">
        <v>25</v>
      </c>
      <c r="O95" s="1" t="s">
        <v>25</v>
      </c>
      <c r="P95" s="1" t="s">
        <v>25</v>
      </c>
      <c r="Q95" s="1">
        <v>4.0</v>
      </c>
      <c r="R95" s="1" t="s">
        <v>25</v>
      </c>
      <c r="S95" s="2">
        <v>45808.474583333336</v>
      </c>
      <c r="T95" s="2">
        <v>45826.71166666667</v>
      </c>
    </row>
    <row r="96">
      <c r="A96" s="1" t="s">
        <v>173</v>
      </c>
      <c r="B96" s="1">
        <v>2.0</v>
      </c>
      <c r="C96" s="1">
        <v>96.0</v>
      </c>
      <c r="D96" s="1">
        <v>2.7401824E7</v>
      </c>
      <c r="E96" s="1" t="s">
        <v>25</v>
      </c>
      <c r="F96" s="1" t="s">
        <v>25</v>
      </c>
      <c r="G96" s="1" t="s">
        <v>25</v>
      </c>
      <c r="H96" s="1" t="s">
        <v>25</v>
      </c>
      <c r="I96" s="1" t="s">
        <v>25</v>
      </c>
      <c r="J96" s="1" t="s">
        <v>25</v>
      </c>
      <c r="K96" s="1" t="s">
        <v>25</v>
      </c>
      <c r="L96" s="1" t="s">
        <v>25</v>
      </c>
      <c r="M96" s="1" t="s">
        <v>1162</v>
      </c>
      <c r="N96" s="1" t="s">
        <v>25</v>
      </c>
      <c r="O96" s="1" t="s">
        <v>25</v>
      </c>
      <c r="P96" s="1" t="s">
        <v>1163</v>
      </c>
      <c r="Q96" s="1" t="s">
        <v>25</v>
      </c>
      <c r="R96" s="1" t="s">
        <v>25</v>
      </c>
      <c r="S96" s="2">
        <v>45808.51746527778</v>
      </c>
      <c r="T96" s="2">
        <v>45808.51746527778</v>
      </c>
    </row>
    <row r="97">
      <c r="A97" s="1" t="s">
        <v>1164</v>
      </c>
      <c r="B97" s="1">
        <v>2.0</v>
      </c>
      <c r="C97" s="1" t="s">
        <v>25</v>
      </c>
      <c r="D97" s="1">
        <v>0.0</v>
      </c>
      <c r="E97" s="1" t="s">
        <v>25</v>
      </c>
      <c r="F97" s="1" t="s">
        <v>25</v>
      </c>
      <c r="G97" s="1" t="s">
        <v>25</v>
      </c>
      <c r="H97" s="1" t="s">
        <v>25</v>
      </c>
      <c r="I97" s="1" t="s">
        <v>25</v>
      </c>
      <c r="J97" s="1" t="s">
        <v>25</v>
      </c>
      <c r="K97" s="1" t="s">
        <v>25</v>
      </c>
      <c r="L97" s="1" t="s">
        <v>25</v>
      </c>
      <c r="M97" s="1">
        <v>3.517712475E9</v>
      </c>
      <c r="N97" s="1" t="s">
        <v>25</v>
      </c>
      <c r="O97" s="1" t="s">
        <v>25</v>
      </c>
      <c r="P97" s="1" t="s">
        <v>25</v>
      </c>
      <c r="Q97" s="1" t="s">
        <v>25</v>
      </c>
      <c r="R97" s="1" t="s">
        <v>25</v>
      </c>
      <c r="S97" s="2">
        <v>45808.64098379629</v>
      </c>
      <c r="T97" s="2">
        <v>45808.64098379629</v>
      </c>
    </row>
    <row r="98">
      <c r="A98" s="1" t="s">
        <v>189</v>
      </c>
      <c r="B98" s="1">
        <v>1.0</v>
      </c>
      <c r="C98" s="1">
        <v>96.0</v>
      </c>
      <c r="D98" s="1">
        <v>2.5717289E7</v>
      </c>
      <c r="E98" s="1" t="s">
        <v>25</v>
      </c>
      <c r="F98" s="1" t="s">
        <v>25</v>
      </c>
      <c r="G98" s="1" t="s">
        <v>25</v>
      </c>
      <c r="H98" s="1" t="s">
        <v>25</v>
      </c>
      <c r="I98" s="1" t="s">
        <v>25</v>
      </c>
      <c r="J98" s="1" t="s">
        <v>25</v>
      </c>
      <c r="K98" s="1" t="s">
        <v>25</v>
      </c>
      <c r="L98" s="1" t="s">
        <v>25</v>
      </c>
      <c r="M98" s="1">
        <v>3.516067757E9</v>
      </c>
      <c r="N98" s="1" t="s">
        <v>25</v>
      </c>
      <c r="O98" s="1" t="s">
        <v>25</v>
      </c>
      <c r="P98" s="1" t="s">
        <v>25</v>
      </c>
      <c r="Q98" s="1" t="s">
        <v>25</v>
      </c>
      <c r="R98" s="1" t="s">
        <v>25</v>
      </c>
      <c r="S98" s="2">
        <v>45811.74521990741</v>
      </c>
      <c r="T98" s="2">
        <v>45811.74521990741</v>
      </c>
    </row>
    <row r="99">
      <c r="A99" s="1" t="s">
        <v>179</v>
      </c>
      <c r="B99" s="1">
        <v>2.0</v>
      </c>
      <c r="C99" s="1">
        <v>96.0</v>
      </c>
      <c r="D99" s="1">
        <v>5.6061797E7</v>
      </c>
      <c r="E99" s="1" t="s">
        <v>25</v>
      </c>
      <c r="F99" s="1" t="s">
        <v>25</v>
      </c>
      <c r="G99" s="1" t="s">
        <v>25</v>
      </c>
      <c r="H99" s="1" t="s">
        <v>25</v>
      </c>
      <c r="I99" s="1" t="s">
        <v>25</v>
      </c>
      <c r="J99" s="1" t="s">
        <v>25</v>
      </c>
      <c r="K99" s="1" t="s">
        <v>25</v>
      </c>
      <c r="L99" s="1" t="s">
        <v>25</v>
      </c>
      <c r="M99" s="1" t="s">
        <v>1165</v>
      </c>
      <c r="N99" s="1" t="s">
        <v>25</v>
      </c>
      <c r="O99" s="1" t="s">
        <v>25</v>
      </c>
      <c r="P99" s="1" t="s">
        <v>25</v>
      </c>
      <c r="Q99" s="1" t="s">
        <v>25</v>
      </c>
      <c r="R99" s="1" t="s">
        <v>25</v>
      </c>
      <c r="S99" s="2">
        <v>45812.492118055554</v>
      </c>
      <c r="T99" s="2">
        <v>45812.492118055554</v>
      </c>
    </row>
    <row r="100">
      <c r="A100" s="1" t="s">
        <v>181</v>
      </c>
      <c r="B100" s="1">
        <v>1.0</v>
      </c>
      <c r="C100" s="1">
        <v>96.0</v>
      </c>
      <c r="D100" s="1">
        <v>3.1901421E7</v>
      </c>
      <c r="E100" s="1" t="s">
        <v>25</v>
      </c>
      <c r="F100" s="1" t="s">
        <v>25</v>
      </c>
      <c r="G100" s="1" t="s">
        <v>25</v>
      </c>
      <c r="H100" s="1" t="s">
        <v>25</v>
      </c>
      <c r="I100" s="1" t="s">
        <v>25</v>
      </c>
      <c r="J100" s="1" t="s">
        <v>25</v>
      </c>
      <c r="K100" s="1" t="s">
        <v>25</v>
      </c>
      <c r="L100" s="1" t="s">
        <v>25</v>
      </c>
      <c r="M100" s="1" t="s">
        <v>1166</v>
      </c>
      <c r="N100" s="1" t="s">
        <v>25</v>
      </c>
      <c r="O100" s="1" t="s">
        <v>25</v>
      </c>
      <c r="P100" s="1" t="s">
        <v>25</v>
      </c>
      <c r="Q100" s="1" t="s">
        <v>25</v>
      </c>
      <c r="R100" s="1" t="s">
        <v>25</v>
      </c>
      <c r="S100" s="2">
        <v>45813.48578703704</v>
      </c>
      <c r="T100" s="2">
        <v>45813.48578703704</v>
      </c>
    </row>
    <row r="101">
      <c r="A101" s="1" t="s">
        <v>184</v>
      </c>
      <c r="B101" s="1">
        <v>2.0</v>
      </c>
      <c r="C101" s="1">
        <v>96.0</v>
      </c>
      <c r="D101" s="1">
        <v>2.0743149E7</v>
      </c>
      <c r="E101" s="1" t="s">
        <v>25</v>
      </c>
      <c r="F101" s="1" t="s">
        <v>25</v>
      </c>
      <c r="G101" s="1" t="s">
        <v>25</v>
      </c>
      <c r="H101" s="1" t="s">
        <v>25</v>
      </c>
      <c r="I101" s="1" t="s">
        <v>25</v>
      </c>
      <c r="J101" s="1" t="s">
        <v>25</v>
      </c>
      <c r="K101" s="1" t="s">
        <v>25</v>
      </c>
      <c r="L101" s="1" t="s">
        <v>25</v>
      </c>
      <c r="M101" s="1" t="s">
        <v>1167</v>
      </c>
      <c r="N101" s="1" t="s">
        <v>25</v>
      </c>
      <c r="O101" s="1" t="s">
        <v>25</v>
      </c>
      <c r="P101" s="1" t="s">
        <v>25</v>
      </c>
      <c r="Q101" s="1" t="s">
        <v>25</v>
      </c>
      <c r="R101" s="1" t="s">
        <v>1168</v>
      </c>
      <c r="S101" s="2">
        <v>45813.79392361111</v>
      </c>
      <c r="T101" s="2">
        <v>45813.79392361111</v>
      </c>
    </row>
    <row r="102">
      <c r="A102" s="1" t="s">
        <v>185</v>
      </c>
      <c r="B102" s="1">
        <v>1.0</v>
      </c>
      <c r="C102" s="1">
        <v>96.0</v>
      </c>
      <c r="D102" s="1">
        <v>2.5959943E7</v>
      </c>
      <c r="E102" s="1" t="s">
        <v>25</v>
      </c>
      <c r="F102" s="1" t="s">
        <v>25</v>
      </c>
      <c r="G102" s="1" t="s">
        <v>25</v>
      </c>
      <c r="H102" s="1" t="s">
        <v>25</v>
      </c>
      <c r="I102" s="1" t="s">
        <v>25</v>
      </c>
      <c r="J102" s="1" t="s">
        <v>25</v>
      </c>
      <c r="K102" s="1" t="s">
        <v>25</v>
      </c>
      <c r="L102" s="1" t="s">
        <v>25</v>
      </c>
      <c r="M102" s="1" t="s">
        <v>1169</v>
      </c>
      <c r="N102" s="1" t="s">
        <v>25</v>
      </c>
      <c r="O102" s="1" t="s">
        <v>25</v>
      </c>
      <c r="P102" s="1" t="s">
        <v>25</v>
      </c>
      <c r="Q102" s="1" t="s">
        <v>25</v>
      </c>
      <c r="R102" s="1" t="s">
        <v>25</v>
      </c>
      <c r="S102" s="2">
        <v>45813.82724537037</v>
      </c>
      <c r="T102" s="2">
        <v>45813.82724537037</v>
      </c>
    </row>
    <row r="103">
      <c r="A103" s="1" t="s">
        <v>182</v>
      </c>
      <c r="B103" s="1">
        <v>1.0</v>
      </c>
      <c r="C103" s="1">
        <v>96.0</v>
      </c>
      <c r="D103" s="1">
        <v>2.3865983E7</v>
      </c>
      <c r="E103" s="1" t="s">
        <v>25</v>
      </c>
      <c r="F103" s="1" t="s">
        <v>25</v>
      </c>
      <c r="G103" s="1" t="s">
        <v>25</v>
      </c>
      <c r="H103" s="1" t="s">
        <v>25</v>
      </c>
      <c r="I103" s="1" t="s">
        <v>25</v>
      </c>
      <c r="J103" s="1" t="s">
        <v>25</v>
      </c>
      <c r="K103" s="1" t="s">
        <v>25</v>
      </c>
      <c r="L103" s="1" t="s">
        <v>25</v>
      </c>
      <c r="M103" s="1" t="s">
        <v>1170</v>
      </c>
      <c r="N103" s="1" t="s">
        <v>25</v>
      </c>
      <c r="O103" s="1" t="s">
        <v>25</v>
      </c>
      <c r="P103" s="1" t="s">
        <v>25</v>
      </c>
      <c r="Q103" s="1" t="s">
        <v>25</v>
      </c>
      <c r="R103" s="1" t="s">
        <v>25</v>
      </c>
      <c r="S103" s="2">
        <v>45814.49302083333</v>
      </c>
      <c r="T103" s="2">
        <v>45814.49302083333</v>
      </c>
    </row>
    <row r="104">
      <c r="A104" s="1" t="s">
        <v>187</v>
      </c>
      <c r="B104" s="1">
        <v>1.0</v>
      </c>
      <c r="C104" s="1">
        <v>80.0</v>
      </c>
      <c r="D104" s="1">
        <v>2.7278734582E10</v>
      </c>
      <c r="E104" s="1" t="s">
        <v>25</v>
      </c>
      <c r="F104" s="1" t="s">
        <v>25</v>
      </c>
      <c r="G104" s="1" t="s">
        <v>25</v>
      </c>
      <c r="H104" s="1" t="s">
        <v>25</v>
      </c>
      <c r="I104" s="1" t="s">
        <v>1171</v>
      </c>
      <c r="J104" s="1" t="s">
        <v>25</v>
      </c>
      <c r="K104" s="1">
        <v>68.0</v>
      </c>
      <c r="L104" s="1">
        <v>2.0</v>
      </c>
      <c r="M104" s="1">
        <v>5.4223581524E11</v>
      </c>
      <c r="N104" s="1" t="s">
        <v>1172</v>
      </c>
      <c r="O104" s="1" t="s">
        <v>25</v>
      </c>
      <c r="P104" s="1" t="s">
        <v>25</v>
      </c>
      <c r="Q104" s="1" t="s">
        <v>25</v>
      </c>
      <c r="R104" s="1" t="s">
        <v>25</v>
      </c>
      <c r="S104" s="2">
        <v>45817.52180555555</v>
      </c>
      <c r="T104" s="2">
        <v>45817.52180555555</v>
      </c>
    </row>
    <row r="105">
      <c r="A105" s="1" t="s">
        <v>188</v>
      </c>
      <c r="B105" s="1">
        <v>2.0</v>
      </c>
      <c r="C105" s="1">
        <v>96.0</v>
      </c>
      <c r="D105" s="1">
        <v>2.3483715E7</v>
      </c>
      <c r="E105" s="1" t="s">
        <v>25</v>
      </c>
      <c r="F105" s="1" t="s">
        <v>25</v>
      </c>
      <c r="G105" s="1" t="s">
        <v>25</v>
      </c>
      <c r="H105" s="1" t="s">
        <v>25</v>
      </c>
      <c r="I105" s="1" t="s">
        <v>25</v>
      </c>
      <c r="J105" s="1" t="s">
        <v>25</v>
      </c>
      <c r="K105" s="1" t="s">
        <v>25</v>
      </c>
      <c r="L105" s="1" t="s">
        <v>25</v>
      </c>
      <c r="M105" s="1" t="s">
        <v>1173</v>
      </c>
      <c r="N105" s="1" t="s">
        <v>25</v>
      </c>
      <c r="O105" s="1" t="s">
        <v>25</v>
      </c>
      <c r="P105" s="1" t="s">
        <v>25</v>
      </c>
      <c r="Q105" s="1" t="s">
        <v>25</v>
      </c>
      <c r="R105" s="1" t="s">
        <v>25</v>
      </c>
      <c r="S105" s="2">
        <v>45817.5366087963</v>
      </c>
      <c r="T105" s="2">
        <v>45817.5366087963</v>
      </c>
    </row>
    <row r="106">
      <c r="A106" s="1" t="s">
        <v>1174</v>
      </c>
      <c r="B106" s="1">
        <v>1.0</v>
      </c>
      <c r="C106" s="1">
        <v>96.0</v>
      </c>
      <c r="D106" s="1">
        <v>2.3979848E7</v>
      </c>
      <c r="E106" s="1" t="s">
        <v>25</v>
      </c>
      <c r="F106" s="1" t="s">
        <v>25</v>
      </c>
      <c r="G106" s="1" t="s">
        <v>25</v>
      </c>
      <c r="H106" s="1" t="s">
        <v>25</v>
      </c>
      <c r="I106" s="1" t="s">
        <v>25</v>
      </c>
      <c r="J106" s="1" t="s">
        <v>25</v>
      </c>
      <c r="K106" s="1" t="s">
        <v>25</v>
      </c>
      <c r="L106" s="1" t="s">
        <v>25</v>
      </c>
      <c r="M106" s="1" t="s">
        <v>1175</v>
      </c>
      <c r="N106" s="1" t="s">
        <v>25</v>
      </c>
      <c r="O106" s="1" t="s">
        <v>25</v>
      </c>
      <c r="P106" s="1" t="s">
        <v>25</v>
      </c>
      <c r="Q106" s="1" t="s">
        <v>25</v>
      </c>
      <c r="R106" s="1" t="s">
        <v>1176</v>
      </c>
      <c r="S106" s="2">
        <v>45817.78902777778</v>
      </c>
      <c r="T106" s="2">
        <v>45817.78902777778</v>
      </c>
    </row>
    <row r="107">
      <c r="A107" s="1" t="s">
        <v>191</v>
      </c>
      <c r="B107" s="1">
        <v>2.0</v>
      </c>
      <c r="C107" s="1">
        <v>96.0</v>
      </c>
      <c r="D107" s="1">
        <v>4.3561134E7</v>
      </c>
      <c r="E107" s="1" t="s">
        <v>25</v>
      </c>
      <c r="F107" s="1" t="s">
        <v>25</v>
      </c>
      <c r="G107" s="1" t="s">
        <v>25</v>
      </c>
      <c r="H107" s="1" t="s">
        <v>25</v>
      </c>
      <c r="I107" s="1" t="s">
        <v>25</v>
      </c>
      <c r="J107" s="1" t="s">
        <v>25</v>
      </c>
      <c r="K107" s="1" t="s">
        <v>25</v>
      </c>
      <c r="L107" s="1" t="s">
        <v>25</v>
      </c>
      <c r="M107" s="1">
        <v>3.512294253E9</v>
      </c>
      <c r="N107" s="1" t="s">
        <v>25</v>
      </c>
      <c r="O107" s="1" t="s">
        <v>25</v>
      </c>
      <c r="P107" s="1" t="s">
        <v>25</v>
      </c>
      <c r="Q107" s="1" t="s">
        <v>25</v>
      </c>
      <c r="R107" s="1" t="s">
        <v>1177</v>
      </c>
      <c r="S107" s="2">
        <v>45817.808958333335</v>
      </c>
      <c r="T107" s="2">
        <v>45817.808958333335</v>
      </c>
    </row>
    <row r="108">
      <c r="A108" s="1" t="s">
        <v>193</v>
      </c>
      <c r="B108" s="1">
        <v>2.0</v>
      </c>
      <c r="C108" s="1">
        <v>96.0</v>
      </c>
      <c r="D108" s="1">
        <v>2.4173697E7</v>
      </c>
      <c r="E108" s="1" t="s">
        <v>25</v>
      </c>
      <c r="F108" s="1" t="s">
        <v>25</v>
      </c>
      <c r="G108" s="1" t="s">
        <v>25</v>
      </c>
      <c r="H108" s="1" t="s">
        <v>25</v>
      </c>
      <c r="I108" s="1" t="s">
        <v>25</v>
      </c>
      <c r="J108" s="1" t="s">
        <v>25</v>
      </c>
      <c r="K108" s="1" t="s">
        <v>25</v>
      </c>
      <c r="L108" s="1" t="s">
        <v>25</v>
      </c>
      <c r="M108" s="1">
        <v>3.513571183E9</v>
      </c>
      <c r="N108" s="1" t="s">
        <v>25</v>
      </c>
      <c r="O108" s="1" t="s">
        <v>25</v>
      </c>
      <c r="P108" s="1" t="s">
        <v>25</v>
      </c>
      <c r="Q108" s="1">
        <v>1.0</v>
      </c>
      <c r="R108" s="1" t="s">
        <v>25</v>
      </c>
      <c r="S108" s="2">
        <v>45818.45142361111</v>
      </c>
      <c r="T108" s="2">
        <v>45818.45142361111</v>
      </c>
    </row>
    <row r="109">
      <c r="A109" s="1" t="s">
        <v>192</v>
      </c>
      <c r="B109" s="1">
        <v>1.0</v>
      </c>
      <c r="C109" s="1">
        <v>96.0</v>
      </c>
      <c r="D109" s="1">
        <v>4.1599149E7</v>
      </c>
      <c r="E109" s="1" t="s">
        <v>25</v>
      </c>
      <c r="F109" s="1" t="s">
        <v>25</v>
      </c>
      <c r="G109" s="1" t="s">
        <v>25</v>
      </c>
      <c r="H109" s="1" t="s">
        <v>25</v>
      </c>
      <c r="I109" s="1" t="s">
        <v>25</v>
      </c>
      <c r="J109" s="1" t="s">
        <v>25</v>
      </c>
      <c r="K109" s="1" t="s">
        <v>25</v>
      </c>
      <c r="L109" s="1" t="s">
        <v>25</v>
      </c>
      <c r="M109" s="1">
        <v>3.518072281E9</v>
      </c>
      <c r="N109" s="1" t="s">
        <v>25</v>
      </c>
      <c r="O109" s="1" t="s">
        <v>25</v>
      </c>
      <c r="P109" s="1" t="s">
        <v>25</v>
      </c>
      <c r="Q109" s="1" t="s">
        <v>25</v>
      </c>
      <c r="R109" s="1" t="s">
        <v>25</v>
      </c>
      <c r="S109" s="2">
        <v>45818.524976851855</v>
      </c>
      <c r="T109" s="2">
        <v>45818.524976851855</v>
      </c>
    </row>
    <row r="110">
      <c r="A110" s="1" t="s">
        <v>1178</v>
      </c>
      <c r="B110" s="1" t="s">
        <v>25</v>
      </c>
      <c r="C110" s="1">
        <v>96.0</v>
      </c>
      <c r="D110" s="1">
        <v>0.0</v>
      </c>
      <c r="E110" s="1" t="s">
        <v>25</v>
      </c>
      <c r="F110" s="1" t="s">
        <v>25</v>
      </c>
      <c r="G110" s="1" t="s">
        <v>25</v>
      </c>
      <c r="H110" s="1" t="s">
        <v>25</v>
      </c>
      <c r="I110" s="1" t="s">
        <v>25</v>
      </c>
      <c r="J110" s="1" t="s">
        <v>25</v>
      </c>
      <c r="K110" s="1" t="s">
        <v>25</v>
      </c>
      <c r="L110" s="1" t="s">
        <v>25</v>
      </c>
      <c r="M110" s="1">
        <v>0.0</v>
      </c>
      <c r="N110" s="1" t="s">
        <v>25</v>
      </c>
      <c r="O110" s="1" t="s">
        <v>25</v>
      </c>
      <c r="P110" s="1" t="s">
        <v>25</v>
      </c>
      <c r="Q110" s="1" t="s">
        <v>25</v>
      </c>
      <c r="R110" s="1" t="s">
        <v>25</v>
      </c>
      <c r="S110" s="2">
        <v>45819.552835648145</v>
      </c>
      <c r="T110" s="2">
        <v>45819.552835648145</v>
      </c>
    </row>
    <row r="111">
      <c r="A111" s="1" t="s">
        <v>245</v>
      </c>
      <c r="B111" s="1">
        <v>1.0</v>
      </c>
      <c r="C111" s="1">
        <v>96.0</v>
      </c>
      <c r="D111" s="1">
        <v>3.5577764E7</v>
      </c>
      <c r="E111" s="1" t="s">
        <v>25</v>
      </c>
      <c r="F111" s="1" t="s">
        <v>25</v>
      </c>
      <c r="G111" s="1" t="s">
        <v>25</v>
      </c>
      <c r="H111" s="1" t="s">
        <v>25</v>
      </c>
      <c r="I111" s="1" t="s">
        <v>25</v>
      </c>
      <c r="J111" s="1" t="s">
        <v>25</v>
      </c>
      <c r="K111" s="1" t="s">
        <v>25</v>
      </c>
      <c r="L111" s="1" t="s">
        <v>25</v>
      </c>
      <c r="M111" s="1">
        <v>3.543537525E9</v>
      </c>
      <c r="N111" s="1" t="s">
        <v>25</v>
      </c>
      <c r="O111" s="1" t="s">
        <v>25</v>
      </c>
      <c r="P111" s="1" t="s">
        <v>25</v>
      </c>
      <c r="Q111" s="1" t="s">
        <v>25</v>
      </c>
      <c r="R111" s="1" t="s">
        <v>25</v>
      </c>
      <c r="S111" s="2">
        <v>45820.79083333333</v>
      </c>
      <c r="T111" s="2">
        <v>45820.79083333333</v>
      </c>
    </row>
    <row r="112">
      <c r="A112" s="1" t="s">
        <v>195</v>
      </c>
      <c r="B112" s="1">
        <v>2.0</v>
      </c>
      <c r="C112" s="1">
        <v>96.0</v>
      </c>
      <c r="D112" s="1">
        <v>2.4173415E7</v>
      </c>
      <c r="E112" s="1" t="s">
        <v>25</v>
      </c>
      <c r="F112" s="1" t="s">
        <v>25</v>
      </c>
      <c r="G112" s="1" t="s">
        <v>25</v>
      </c>
      <c r="H112" s="1" t="s">
        <v>25</v>
      </c>
      <c r="I112" s="1" t="s">
        <v>25</v>
      </c>
      <c r="J112" s="1" t="s">
        <v>25</v>
      </c>
      <c r="K112" s="1" t="s">
        <v>25</v>
      </c>
      <c r="L112" s="1" t="s">
        <v>25</v>
      </c>
      <c r="M112" s="1">
        <v>3.51234872E9</v>
      </c>
      <c r="N112" s="1" t="s">
        <v>25</v>
      </c>
      <c r="O112" s="1" t="s">
        <v>25</v>
      </c>
      <c r="P112" s="1" t="s">
        <v>25</v>
      </c>
      <c r="Q112" s="1" t="s">
        <v>25</v>
      </c>
      <c r="R112" s="1" t="s">
        <v>25</v>
      </c>
      <c r="S112" s="2">
        <v>45821.725277777776</v>
      </c>
      <c r="T112" s="2">
        <v>45821.725277777776</v>
      </c>
    </row>
    <row r="113">
      <c r="A113" s="1" t="s">
        <v>197</v>
      </c>
      <c r="B113" s="1">
        <v>1.0</v>
      </c>
      <c r="C113" s="1">
        <v>96.0</v>
      </c>
      <c r="D113" s="1">
        <v>2.8428872E7</v>
      </c>
      <c r="E113" s="1" t="s">
        <v>25</v>
      </c>
      <c r="F113" s="1" t="s">
        <v>25</v>
      </c>
      <c r="G113" s="1" t="s">
        <v>25</v>
      </c>
      <c r="H113" s="1" t="s">
        <v>25</v>
      </c>
      <c r="I113" s="1" t="s">
        <v>25</v>
      </c>
      <c r="J113" s="1" t="s">
        <v>25</v>
      </c>
      <c r="K113" s="1" t="s">
        <v>25</v>
      </c>
      <c r="L113" s="1" t="s">
        <v>25</v>
      </c>
      <c r="M113" s="1" t="s">
        <v>1179</v>
      </c>
      <c r="N113" s="1" t="s">
        <v>25</v>
      </c>
      <c r="O113" s="1" t="s">
        <v>25</v>
      </c>
      <c r="P113" s="1" t="s">
        <v>25</v>
      </c>
      <c r="Q113" s="1" t="s">
        <v>25</v>
      </c>
      <c r="R113" s="1" t="s">
        <v>25</v>
      </c>
      <c r="S113" s="2">
        <v>45821.75194444445</v>
      </c>
      <c r="T113" s="2">
        <v>45821.75194444445</v>
      </c>
    </row>
    <row r="114">
      <c r="A114" s="1" t="s">
        <v>199</v>
      </c>
      <c r="B114" s="1">
        <v>1.0</v>
      </c>
      <c r="C114" s="1" t="s">
        <v>25</v>
      </c>
      <c r="D114" s="1">
        <v>3.0882162E7</v>
      </c>
      <c r="E114" s="1" t="s">
        <v>25</v>
      </c>
      <c r="F114" s="1" t="s">
        <v>25</v>
      </c>
      <c r="G114" s="1" t="s">
        <v>25</v>
      </c>
      <c r="H114" s="1" t="s">
        <v>25</v>
      </c>
      <c r="I114" s="1" t="s">
        <v>25</v>
      </c>
      <c r="J114" s="1" t="s">
        <v>25</v>
      </c>
      <c r="K114" s="1" t="s">
        <v>25</v>
      </c>
      <c r="L114" s="1" t="s">
        <v>25</v>
      </c>
      <c r="M114" s="1">
        <v>3.516792452E9</v>
      </c>
      <c r="N114" s="1" t="s">
        <v>25</v>
      </c>
      <c r="O114" s="1" t="s">
        <v>25</v>
      </c>
      <c r="P114" s="1" t="s">
        <v>25</v>
      </c>
      <c r="Q114" s="1" t="s">
        <v>25</v>
      </c>
      <c r="R114" s="1" t="s">
        <v>25</v>
      </c>
      <c r="S114" s="2">
        <v>45821.788310185184</v>
      </c>
      <c r="T114" s="2">
        <v>45821.788310185184</v>
      </c>
    </row>
    <row r="115">
      <c r="A115" s="1" t="s">
        <v>200</v>
      </c>
      <c r="B115" s="1">
        <v>1.0</v>
      </c>
      <c r="C115" s="1">
        <v>96.0</v>
      </c>
      <c r="D115" s="1">
        <v>1.7532612E7</v>
      </c>
      <c r="E115" s="1" t="s">
        <v>25</v>
      </c>
      <c r="F115" s="1" t="s">
        <v>25</v>
      </c>
      <c r="G115" s="1" t="s">
        <v>25</v>
      </c>
      <c r="H115" s="1" t="s">
        <v>25</v>
      </c>
      <c r="I115" s="1" t="s">
        <v>25</v>
      </c>
      <c r="J115" s="1" t="s">
        <v>25</v>
      </c>
      <c r="K115" s="1" t="s">
        <v>25</v>
      </c>
      <c r="L115" s="1" t="s">
        <v>25</v>
      </c>
      <c r="M115" s="1">
        <v>3.512348688E9</v>
      </c>
      <c r="N115" s="1" t="s">
        <v>25</v>
      </c>
      <c r="O115" s="1" t="s">
        <v>25</v>
      </c>
      <c r="P115" s="1" t="s">
        <v>25</v>
      </c>
      <c r="Q115" s="1" t="s">
        <v>25</v>
      </c>
      <c r="R115" s="1" t="s">
        <v>25</v>
      </c>
      <c r="S115" s="2">
        <v>45824.48935185185</v>
      </c>
      <c r="T115" s="2">
        <v>45824.48935185185</v>
      </c>
    </row>
    <row r="116">
      <c r="A116" s="1" t="s">
        <v>202</v>
      </c>
      <c r="B116" s="1">
        <v>2.0</v>
      </c>
      <c r="C116" s="1" t="s">
        <v>25</v>
      </c>
      <c r="D116" s="1">
        <v>3.6428728E7</v>
      </c>
      <c r="E116" s="1" t="s">
        <v>25</v>
      </c>
      <c r="F116" s="1" t="s">
        <v>25</v>
      </c>
      <c r="G116" s="1" t="s">
        <v>25</v>
      </c>
      <c r="H116" s="1" t="s">
        <v>25</v>
      </c>
      <c r="I116" s="1" t="s">
        <v>25</v>
      </c>
      <c r="J116" s="1" t="s">
        <v>25</v>
      </c>
      <c r="K116" s="1" t="s">
        <v>25</v>
      </c>
      <c r="L116" s="1" t="s">
        <v>25</v>
      </c>
      <c r="M116" s="1">
        <v>3.513895989E9</v>
      </c>
      <c r="N116" s="1" t="s">
        <v>25</v>
      </c>
      <c r="O116" s="1" t="s">
        <v>25</v>
      </c>
      <c r="P116" s="1" t="s">
        <v>25</v>
      </c>
      <c r="Q116" s="1" t="s">
        <v>25</v>
      </c>
      <c r="R116" s="1" t="s">
        <v>25</v>
      </c>
      <c r="S116" s="2">
        <v>45827.39555555556</v>
      </c>
      <c r="T116" s="2">
        <v>45827.39555555556</v>
      </c>
    </row>
    <row r="117">
      <c r="A117" s="1" t="s">
        <v>203</v>
      </c>
      <c r="B117" s="1">
        <v>1.0</v>
      </c>
      <c r="C117" s="1">
        <v>96.0</v>
      </c>
      <c r="D117" s="1">
        <v>4.8669438E7</v>
      </c>
      <c r="E117" s="1" t="s">
        <v>25</v>
      </c>
      <c r="F117" s="1" t="s">
        <v>25</v>
      </c>
      <c r="G117" s="1" t="s">
        <v>25</v>
      </c>
      <c r="H117" s="1" t="s">
        <v>25</v>
      </c>
      <c r="I117" s="1" t="s">
        <v>25</v>
      </c>
      <c r="J117" s="1" t="s">
        <v>25</v>
      </c>
      <c r="K117" s="1" t="s">
        <v>25</v>
      </c>
      <c r="L117" s="1" t="s">
        <v>25</v>
      </c>
      <c r="M117" s="1">
        <v>3.517063838E9</v>
      </c>
      <c r="N117" s="1" t="s">
        <v>25</v>
      </c>
      <c r="O117" s="1" t="s">
        <v>25</v>
      </c>
      <c r="P117" s="1" t="s">
        <v>25</v>
      </c>
      <c r="Q117" s="1" t="s">
        <v>25</v>
      </c>
      <c r="R117" s="1" t="s">
        <v>25</v>
      </c>
      <c r="S117" s="2">
        <v>45829.53503472222</v>
      </c>
      <c r="T117" s="2">
        <v>45829.53503472222</v>
      </c>
    </row>
    <row r="118">
      <c r="A118" s="1" t="s">
        <v>205</v>
      </c>
      <c r="B118" s="1">
        <v>2.0</v>
      </c>
      <c r="C118" s="1">
        <v>96.0</v>
      </c>
      <c r="D118" s="1">
        <v>2.2374504E7</v>
      </c>
      <c r="E118" s="1" t="s">
        <v>25</v>
      </c>
      <c r="F118" s="1" t="s">
        <v>25</v>
      </c>
      <c r="G118" s="1" t="s">
        <v>25</v>
      </c>
      <c r="H118" s="1" t="s">
        <v>25</v>
      </c>
      <c r="I118" s="1" t="s">
        <v>25</v>
      </c>
      <c r="J118" s="1" t="s">
        <v>25</v>
      </c>
      <c r="K118" s="1" t="s">
        <v>25</v>
      </c>
      <c r="L118" s="1" t="s">
        <v>25</v>
      </c>
      <c r="M118" s="1">
        <v>3.51633568E9</v>
      </c>
      <c r="N118" s="1" t="s">
        <v>25</v>
      </c>
      <c r="O118" s="1" t="s">
        <v>25</v>
      </c>
      <c r="P118" s="1" t="s">
        <v>25</v>
      </c>
      <c r="Q118" s="1" t="s">
        <v>25</v>
      </c>
      <c r="R118" s="1" t="s">
        <v>25</v>
      </c>
      <c r="S118" s="2">
        <v>45832.51625</v>
      </c>
      <c r="T118" s="2">
        <v>45832.51625</v>
      </c>
    </row>
    <row r="119">
      <c r="A119" s="1" t="s">
        <v>209</v>
      </c>
      <c r="B119" s="1">
        <v>1.0</v>
      </c>
      <c r="C119" s="1">
        <v>96.0</v>
      </c>
      <c r="D119" s="1">
        <v>2.4073177E7</v>
      </c>
      <c r="E119" s="1" t="s">
        <v>25</v>
      </c>
      <c r="F119" s="1" t="s">
        <v>25</v>
      </c>
      <c r="G119" s="1" t="s">
        <v>25</v>
      </c>
      <c r="H119" s="1" t="s">
        <v>25</v>
      </c>
      <c r="I119" s="1" t="s">
        <v>25</v>
      </c>
      <c r="J119" s="1" t="s">
        <v>25</v>
      </c>
      <c r="K119" s="1" t="s">
        <v>25</v>
      </c>
      <c r="L119" s="1" t="s">
        <v>25</v>
      </c>
      <c r="M119" s="1">
        <v>3.512679846E9</v>
      </c>
      <c r="N119" s="1" t="s">
        <v>25</v>
      </c>
      <c r="O119" s="1" t="s">
        <v>25</v>
      </c>
      <c r="P119" s="1" t="s">
        <v>25</v>
      </c>
      <c r="Q119" s="1">
        <v>4.0</v>
      </c>
      <c r="R119" s="1" t="s">
        <v>25</v>
      </c>
      <c r="S119" s="2">
        <v>45832.72105324074</v>
      </c>
      <c r="T119" s="2">
        <v>45845.50194444445</v>
      </c>
    </row>
    <row r="120">
      <c r="A120" s="1" t="s">
        <v>210</v>
      </c>
      <c r="B120" s="1">
        <v>2.0</v>
      </c>
      <c r="C120" s="1">
        <v>96.0</v>
      </c>
      <c r="D120" s="1">
        <v>2.4695204E7</v>
      </c>
      <c r="E120" s="1" t="s">
        <v>25</v>
      </c>
      <c r="F120" s="1" t="s">
        <v>25</v>
      </c>
      <c r="G120" s="1" t="s">
        <v>25</v>
      </c>
      <c r="H120" s="1" t="s">
        <v>25</v>
      </c>
      <c r="I120" s="1" t="s">
        <v>25</v>
      </c>
      <c r="J120" s="1" t="s">
        <v>25</v>
      </c>
      <c r="K120" s="1" t="s">
        <v>25</v>
      </c>
      <c r="L120" s="1" t="s">
        <v>25</v>
      </c>
      <c r="M120" s="1">
        <v>3.515574346E9</v>
      </c>
      <c r="N120" s="1" t="s">
        <v>25</v>
      </c>
      <c r="O120" s="1" t="s">
        <v>25</v>
      </c>
      <c r="P120" s="1" t="s">
        <v>25</v>
      </c>
      <c r="Q120" s="1">
        <v>4.0</v>
      </c>
      <c r="R120" s="1" t="s">
        <v>25</v>
      </c>
      <c r="S120" s="2">
        <v>45832.76006944444</v>
      </c>
      <c r="T120" s="2">
        <v>45845.50219907407</v>
      </c>
    </row>
    <row r="121">
      <c r="A121" s="1" t="s">
        <v>213</v>
      </c>
      <c r="B121" s="1">
        <v>2.0</v>
      </c>
      <c r="C121" s="1">
        <v>96.0</v>
      </c>
      <c r="D121" s="1">
        <v>2.9615571E7</v>
      </c>
      <c r="E121" s="1" t="s">
        <v>25</v>
      </c>
      <c r="F121" s="1" t="s">
        <v>25</v>
      </c>
      <c r="G121" s="1" t="s">
        <v>25</v>
      </c>
      <c r="H121" s="1" t="s">
        <v>25</v>
      </c>
      <c r="I121" s="1" t="s">
        <v>25</v>
      </c>
      <c r="J121" s="1" t="s">
        <v>25</v>
      </c>
      <c r="K121" s="1" t="s">
        <v>25</v>
      </c>
      <c r="L121" s="1" t="s">
        <v>25</v>
      </c>
      <c r="M121" s="1">
        <v>3.512066181E9</v>
      </c>
      <c r="N121" s="1" t="s">
        <v>25</v>
      </c>
      <c r="O121" s="1" t="s">
        <v>25</v>
      </c>
      <c r="P121" s="1" t="s">
        <v>25</v>
      </c>
      <c r="Q121" s="1">
        <v>4.0</v>
      </c>
      <c r="R121" s="1" t="s">
        <v>25</v>
      </c>
      <c r="S121" s="2">
        <v>45833.455925925926</v>
      </c>
      <c r="T121" s="2">
        <v>45845.502430555556</v>
      </c>
    </row>
    <row r="122">
      <c r="A122" s="1" t="s">
        <v>214</v>
      </c>
      <c r="B122" s="1">
        <v>1.0</v>
      </c>
      <c r="C122" s="1">
        <v>96.0</v>
      </c>
      <c r="D122" s="1">
        <v>4.3990878E7</v>
      </c>
      <c r="E122" s="1" t="s">
        <v>25</v>
      </c>
      <c r="F122" s="1" t="s">
        <v>25</v>
      </c>
      <c r="G122" s="1" t="s">
        <v>25</v>
      </c>
      <c r="H122" s="1" t="s">
        <v>25</v>
      </c>
      <c r="I122" s="1" t="s">
        <v>25</v>
      </c>
      <c r="J122" s="1" t="s">
        <v>25</v>
      </c>
      <c r="K122" s="1" t="s">
        <v>25</v>
      </c>
      <c r="L122" s="1" t="s">
        <v>25</v>
      </c>
      <c r="M122" s="1">
        <v>3.513866937E9</v>
      </c>
      <c r="N122" s="1" t="s">
        <v>25</v>
      </c>
      <c r="O122" s="1" t="s">
        <v>25</v>
      </c>
      <c r="P122" s="1" t="s">
        <v>25</v>
      </c>
      <c r="Q122" s="1" t="s">
        <v>25</v>
      </c>
      <c r="R122" s="1" t="s">
        <v>25</v>
      </c>
      <c r="S122" s="2">
        <v>45833.489652777775</v>
      </c>
      <c r="T122" s="2">
        <v>45833.489652777775</v>
      </c>
    </row>
    <row r="123">
      <c r="A123" s="1" t="s">
        <v>211</v>
      </c>
      <c r="B123" s="1">
        <v>2.0</v>
      </c>
      <c r="C123" s="1" t="s">
        <v>25</v>
      </c>
      <c r="D123" s="1">
        <v>4.4970512E7</v>
      </c>
      <c r="E123" s="1" t="s">
        <v>25</v>
      </c>
      <c r="F123" s="1" t="s">
        <v>25</v>
      </c>
      <c r="G123" s="1" t="s">
        <v>25</v>
      </c>
      <c r="H123" s="1" t="s">
        <v>25</v>
      </c>
      <c r="I123" s="1" t="s">
        <v>25</v>
      </c>
      <c r="J123" s="1" t="s">
        <v>25</v>
      </c>
      <c r="K123" s="1" t="s">
        <v>25</v>
      </c>
      <c r="L123" s="1" t="s">
        <v>25</v>
      </c>
      <c r="M123" s="1">
        <v>3.513704391E9</v>
      </c>
      <c r="N123" s="1" t="s">
        <v>25</v>
      </c>
      <c r="O123" s="1" t="s">
        <v>25</v>
      </c>
      <c r="P123" s="1" t="s">
        <v>25</v>
      </c>
      <c r="Q123" s="1">
        <v>2.0</v>
      </c>
      <c r="R123" s="1" t="s">
        <v>25</v>
      </c>
      <c r="S123" s="2">
        <v>45833.527395833335</v>
      </c>
      <c r="T123" s="2">
        <v>45833.527395833335</v>
      </c>
    </row>
    <row r="124">
      <c r="A124" s="1" t="s">
        <v>216</v>
      </c>
      <c r="B124" s="1">
        <v>2.0</v>
      </c>
      <c r="C124" s="1">
        <v>96.0</v>
      </c>
      <c r="D124" s="1">
        <v>1.17473333E8</v>
      </c>
      <c r="E124" s="1" t="s">
        <v>25</v>
      </c>
      <c r="F124" s="1" t="s">
        <v>25</v>
      </c>
      <c r="G124" s="1" t="s">
        <v>25</v>
      </c>
      <c r="H124" s="1" t="s">
        <v>25</v>
      </c>
      <c r="I124" s="1" t="s">
        <v>25</v>
      </c>
      <c r="J124" s="1" t="s">
        <v>25</v>
      </c>
      <c r="K124" s="1" t="s">
        <v>25</v>
      </c>
      <c r="L124" s="1" t="s">
        <v>25</v>
      </c>
      <c r="M124" s="1">
        <v>3.516539858E9</v>
      </c>
      <c r="N124" s="1" t="s">
        <v>25</v>
      </c>
      <c r="O124" s="1" t="s">
        <v>25</v>
      </c>
      <c r="P124" s="1" t="s">
        <v>25</v>
      </c>
      <c r="Q124" s="1" t="s">
        <v>25</v>
      </c>
      <c r="R124" s="1" t="s">
        <v>25</v>
      </c>
      <c r="S124" s="2">
        <v>45833.78518518519</v>
      </c>
      <c r="T124" s="2">
        <v>45833.78518518519</v>
      </c>
    </row>
    <row r="125">
      <c r="A125" s="1" t="s">
        <v>1180</v>
      </c>
      <c r="B125" s="1">
        <v>1.0</v>
      </c>
      <c r="C125" s="1">
        <v>96.0</v>
      </c>
      <c r="D125" s="1">
        <v>2.9474669E7</v>
      </c>
      <c r="E125" s="1" t="s">
        <v>25</v>
      </c>
      <c r="F125" s="1" t="s">
        <v>25</v>
      </c>
      <c r="G125" s="1" t="s">
        <v>25</v>
      </c>
      <c r="H125" s="1" t="s">
        <v>25</v>
      </c>
      <c r="I125" s="1" t="s">
        <v>25</v>
      </c>
      <c r="J125" s="1" t="s">
        <v>25</v>
      </c>
      <c r="K125" s="1" t="s">
        <v>25</v>
      </c>
      <c r="L125" s="1" t="s">
        <v>25</v>
      </c>
      <c r="M125" s="1">
        <v>2.494684111E9</v>
      </c>
      <c r="N125" s="1" t="s">
        <v>25</v>
      </c>
      <c r="O125" s="1" t="s">
        <v>25</v>
      </c>
      <c r="P125" s="1" t="s">
        <v>25</v>
      </c>
      <c r="Q125" s="1" t="s">
        <v>25</v>
      </c>
      <c r="R125" s="1" t="s">
        <v>25</v>
      </c>
      <c r="S125" s="2">
        <v>45833.80168981481</v>
      </c>
      <c r="T125" s="2">
        <v>45833.80168981481</v>
      </c>
    </row>
    <row r="126">
      <c r="A126" s="1" t="s">
        <v>207</v>
      </c>
      <c r="B126" s="1">
        <v>1.0</v>
      </c>
      <c r="C126" s="1">
        <v>96.0</v>
      </c>
      <c r="D126" s="1">
        <v>1.7386579E7</v>
      </c>
      <c r="E126" s="1" t="s">
        <v>25</v>
      </c>
      <c r="F126" s="1" t="s">
        <v>25</v>
      </c>
      <c r="G126" s="1" t="s">
        <v>25</v>
      </c>
      <c r="H126" s="1" t="s">
        <v>25</v>
      </c>
      <c r="I126" s="1" t="s">
        <v>25</v>
      </c>
      <c r="J126" s="1" t="s">
        <v>25</v>
      </c>
      <c r="K126" s="1" t="s">
        <v>25</v>
      </c>
      <c r="L126" s="1" t="s">
        <v>25</v>
      </c>
      <c r="M126" s="1">
        <v>3.513487548E9</v>
      </c>
      <c r="N126" s="1" t="s">
        <v>25</v>
      </c>
      <c r="O126" s="1" t="s">
        <v>25</v>
      </c>
      <c r="P126" s="1" t="s">
        <v>25</v>
      </c>
      <c r="Q126" s="1" t="s">
        <v>25</v>
      </c>
      <c r="R126" s="1" t="s">
        <v>25</v>
      </c>
      <c r="S126" s="2">
        <v>45834.72597222222</v>
      </c>
      <c r="T126" s="2">
        <v>45834.72597222222</v>
      </c>
    </row>
    <row r="127">
      <c r="A127" s="1" t="s">
        <v>212</v>
      </c>
      <c r="B127" s="1">
        <v>1.0</v>
      </c>
      <c r="C127" s="1">
        <v>96.0</v>
      </c>
      <c r="D127" s="1">
        <v>2.1691949E7</v>
      </c>
      <c r="E127" s="1" t="s">
        <v>25</v>
      </c>
      <c r="F127" s="1" t="s">
        <v>25</v>
      </c>
      <c r="G127" s="1" t="s">
        <v>25</v>
      </c>
      <c r="H127" s="1" t="s">
        <v>25</v>
      </c>
      <c r="I127" s="1" t="s">
        <v>25</v>
      </c>
      <c r="J127" s="1" t="s">
        <v>25</v>
      </c>
      <c r="K127" s="1" t="s">
        <v>25</v>
      </c>
      <c r="L127" s="1" t="s">
        <v>25</v>
      </c>
      <c r="M127" s="1" t="s">
        <v>1181</v>
      </c>
      <c r="N127" s="1" t="s">
        <v>25</v>
      </c>
      <c r="O127" s="1" t="s">
        <v>25</v>
      </c>
      <c r="P127" s="1" t="s">
        <v>25</v>
      </c>
      <c r="Q127" s="1" t="s">
        <v>25</v>
      </c>
      <c r="R127" s="1" t="s">
        <v>25</v>
      </c>
      <c r="S127" s="2">
        <v>45834.808483796296</v>
      </c>
      <c r="T127" s="2">
        <v>45834.808483796296</v>
      </c>
    </row>
    <row r="128">
      <c r="A128" s="1" t="s">
        <v>215</v>
      </c>
      <c r="B128" s="1">
        <v>1.0</v>
      </c>
      <c r="C128" s="1">
        <v>96.0</v>
      </c>
      <c r="D128" s="1">
        <v>4.0940889E7</v>
      </c>
      <c r="E128" s="1" t="s">
        <v>25</v>
      </c>
      <c r="F128" s="1" t="s">
        <v>25</v>
      </c>
      <c r="G128" s="1" t="s">
        <v>25</v>
      </c>
      <c r="H128" s="1" t="s">
        <v>25</v>
      </c>
      <c r="I128" s="1" t="s">
        <v>25</v>
      </c>
      <c r="J128" s="1" t="s">
        <v>25</v>
      </c>
      <c r="K128" s="1" t="s">
        <v>25</v>
      </c>
      <c r="L128" s="1" t="s">
        <v>25</v>
      </c>
      <c r="M128" s="1">
        <v>3.513872536E9</v>
      </c>
      <c r="N128" s="1" t="s">
        <v>25</v>
      </c>
      <c r="O128" s="1" t="s">
        <v>25</v>
      </c>
      <c r="P128" s="1" t="s">
        <v>25</v>
      </c>
      <c r="Q128" s="1" t="s">
        <v>25</v>
      </c>
      <c r="R128" s="1" t="s">
        <v>25</v>
      </c>
      <c r="S128" s="2">
        <v>45834.87440972222</v>
      </c>
      <c r="T128" s="2">
        <v>45834.87440972222</v>
      </c>
    </row>
    <row r="129">
      <c r="A129" s="1" t="s">
        <v>217</v>
      </c>
      <c r="B129" s="1">
        <v>2.0</v>
      </c>
      <c r="C129" s="1">
        <v>96.0</v>
      </c>
      <c r="D129" s="1">
        <v>3.1868379E7</v>
      </c>
      <c r="E129" s="1" t="s">
        <v>25</v>
      </c>
      <c r="F129" s="1" t="s">
        <v>25</v>
      </c>
      <c r="G129" s="1" t="s">
        <v>25</v>
      </c>
      <c r="H129" s="1" t="s">
        <v>25</v>
      </c>
      <c r="I129" s="1" t="s">
        <v>25</v>
      </c>
      <c r="J129" s="1" t="s">
        <v>25</v>
      </c>
      <c r="K129" s="1" t="s">
        <v>25</v>
      </c>
      <c r="L129" s="1" t="s">
        <v>25</v>
      </c>
      <c r="M129" s="1" t="s">
        <v>1182</v>
      </c>
      <c r="N129" s="1" t="s">
        <v>25</v>
      </c>
      <c r="O129" s="1" t="s">
        <v>25</v>
      </c>
      <c r="P129" s="1" t="s">
        <v>25</v>
      </c>
      <c r="Q129" s="1" t="s">
        <v>25</v>
      </c>
      <c r="R129" s="1" t="s">
        <v>25</v>
      </c>
      <c r="S129" s="2">
        <v>45834.8800462963</v>
      </c>
      <c r="T129" s="2">
        <v>45834.8800462963</v>
      </c>
    </row>
    <row r="130">
      <c r="A130" s="1" t="s">
        <v>231</v>
      </c>
      <c r="B130" s="1">
        <v>2.0</v>
      </c>
      <c r="C130" s="1">
        <v>96.0</v>
      </c>
      <c r="D130" s="1">
        <v>2.7892158E7</v>
      </c>
      <c r="E130" s="1" t="s">
        <v>25</v>
      </c>
      <c r="F130" s="1" t="s">
        <v>25</v>
      </c>
      <c r="G130" s="1" t="s">
        <v>25</v>
      </c>
      <c r="H130" s="1" t="s">
        <v>25</v>
      </c>
      <c r="I130" s="1" t="s">
        <v>25</v>
      </c>
      <c r="J130" s="1" t="s">
        <v>25</v>
      </c>
      <c r="K130" s="1" t="s">
        <v>25</v>
      </c>
      <c r="L130" s="1" t="s">
        <v>25</v>
      </c>
      <c r="M130" s="1">
        <v>3.515187998E9</v>
      </c>
      <c r="N130" s="1" t="s">
        <v>25</v>
      </c>
      <c r="O130" s="1" t="s">
        <v>25</v>
      </c>
      <c r="P130" s="1" t="s">
        <v>25</v>
      </c>
      <c r="Q130" s="1" t="s">
        <v>25</v>
      </c>
      <c r="R130" s="1" t="s">
        <v>1183</v>
      </c>
      <c r="S130" s="2">
        <v>45836.46178240741</v>
      </c>
      <c r="T130" s="2">
        <v>45836.46178240741</v>
      </c>
    </row>
    <row r="131">
      <c r="A131" s="1" t="s">
        <v>228</v>
      </c>
      <c r="B131" s="1">
        <v>2.0</v>
      </c>
      <c r="C131" s="1">
        <v>96.0</v>
      </c>
      <c r="D131" s="1">
        <v>2.266285E7</v>
      </c>
      <c r="E131" s="1" t="s">
        <v>25</v>
      </c>
      <c r="F131" s="1" t="s">
        <v>25</v>
      </c>
      <c r="G131" s="1" t="s">
        <v>25</v>
      </c>
      <c r="H131" s="1" t="s">
        <v>25</v>
      </c>
      <c r="I131" s="1" t="s">
        <v>25</v>
      </c>
      <c r="J131" s="1" t="s">
        <v>25</v>
      </c>
      <c r="K131" s="1" t="s">
        <v>25</v>
      </c>
      <c r="L131" s="1" t="s">
        <v>25</v>
      </c>
      <c r="M131" s="1">
        <v>3.516064372E9</v>
      </c>
      <c r="N131" s="1" t="s">
        <v>25</v>
      </c>
      <c r="O131" s="1" t="s">
        <v>25</v>
      </c>
      <c r="P131" s="1" t="s">
        <v>25</v>
      </c>
      <c r="Q131" s="1" t="s">
        <v>25</v>
      </c>
      <c r="R131" s="1" t="s">
        <v>25</v>
      </c>
      <c r="S131" s="2">
        <v>45836.482719907406</v>
      </c>
      <c r="T131" s="2">
        <v>45840.76447916667</v>
      </c>
    </row>
    <row r="132">
      <c r="A132" s="1" t="s">
        <v>240</v>
      </c>
      <c r="B132" s="1">
        <v>1.0</v>
      </c>
      <c r="C132" s="1">
        <v>96.0</v>
      </c>
      <c r="D132" s="1">
        <v>3.832907E7</v>
      </c>
      <c r="E132" s="1" t="s">
        <v>25</v>
      </c>
      <c r="F132" s="1" t="s">
        <v>25</v>
      </c>
      <c r="G132" s="1" t="s">
        <v>25</v>
      </c>
      <c r="H132" s="1" t="s">
        <v>25</v>
      </c>
      <c r="I132" s="1" t="s">
        <v>25</v>
      </c>
      <c r="J132" s="1" t="s">
        <v>25</v>
      </c>
      <c r="K132" s="1" t="s">
        <v>25</v>
      </c>
      <c r="L132" s="1" t="s">
        <v>25</v>
      </c>
      <c r="M132" s="1">
        <v>3.512381226E9</v>
      </c>
      <c r="N132" s="1" t="s">
        <v>25</v>
      </c>
      <c r="O132" s="1" t="s">
        <v>25</v>
      </c>
      <c r="P132" s="1" t="s">
        <v>25</v>
      </c>
      <c r="Q132" s="1" t="s">
        <v>25</v>
      </c>
      <c r="R132" s="1" t="s">
        <v>25</v>
      </c>
      <c r="S132" s="2">
        <v>45836.51541666667</v>
      </c>
      <c r="T132" s="2">
        <v>45836.51541666667</v>
      </c>
    </row>
    <row r="133">
      <c r="A133" s="1" t="s">
        <v>225</v>
      </c>
      <c r="B133" s="1">
        <v>2.0</v>
      </c>
      <c r="C133" s="1">
        <v>96.0</v>
      </c>
      <c r="D133" s="1">
        <v>2.3278511E7</v>
      </c>
      <c r="E133" s="1" t="s">
        <v>25</v>
      </c>
      <c r="F133" s="1" t="s">
        <v>25</v>
      </c>
      <c r="G133" s="1" t="s">
        <v>25</v>
      </c>
      <c r="H133" s="1" t="s">
        <v>25</v>
      </c>
      <c r="I133" s="1" t="s">
        <v>25</v>
      </c>
      <c r="J133" s="1" t="s">
        <v>25</v>
      </c>
      <c r="K133" s="1" t="s">
        <v>25</v>
      </c>
      <c r="L133" s="1" t="s">
        <v>25</v>
      </c>
      <c r="M133" s="1">
        <v>3.512627874E9</v>
      </c>
      <c r="N133" s="1" t="s">
        <v>25</v>
      </c>
      <c r="O133" s="1" t="s">
        <v>25</v>
      </c>
      <c r="P133" s="1" t="s">
        <v>25</v>
      </c>
      <c r="Q133" s="1" t="s">
        <v>25</v>
      </c>
      <c r="R133" s="1" t="s">
        <v>25</v>
      </c>
      <c r="S133" s="2">
        <v>45836.54425925926</v>
      </c>
      <c r="T133" s="2">
        <v>45836.54425925926</v>
      </c>
    </row>
    <row r="134">
      <c r="A134" s="1" t="s">
        <v>223</v>
      </c>
      <c r="B134" s="1">
        <v>1.0</v>
      </c>
      <c r="C134" s="1">
        <v>96.0</v>
      </c>
      <c r="D134" s="1">
        <v>2.4743232E7</v>
      </c>
      <c r="E134" s="1" t="s">
        <v>25</v>
      </c>
      <c r="F134" s="1" t="s">
        <v>25</v>
      </c>
      <c r="G134" s="1" t="s">
        <v>25</v>
      </c>
      <c r="H134" s="1" t="s">
        <v>25</v>
      </c>
      <c r="I134" s="1" t="s">
        <v>25</v>
      </c>
      <c r="J134" s="1" t="s">
        <v>25</v>
      </c>
      <c r="K134" s="1" t="s">
        <v>25</v>
      </c>
      <c r="L134" s="1" t="s">
        <v>25</v>
      </c>
      <c r="M134" s="1">
        <v>3.512627874E9</v>
      </c>
      <c r="N134" s="1" t="s">
        <v>25</v>
      </c>
      <c r="O134" s="1" t="s">
        <v>25</v>
      </c>
      <c r="P134" s="1" t="s">
        <v>25</v>
      </c>
      <c r="Q134" s="1" t="s">
        <v>25</v>
      </c>
      <c r="R134" s="1" t="s">
        <v>25</v>
      </c>
      <c r="S134" s="2">
        <v>45836.54454861111</v>
      </c>
      <c r="T134" s="2">
        <v>45836.54454861111</v>
      </c>
    </row>
    <row r="135">
      <c r="A135" s="1" t="s">
        <v>221</v>
      </c>
      <c r="B135" s="1">
        <v>1.0</v>
      </c>
      <c r="C135" s="1">
        <v>96.0</v>
      </c>
      <c r="D135" s="1">
        <v>4.8722615E7</v>
      </c>
      <c r="E135" s="1" t="s">
        <v>25</v>
      </c>
      <c r="F135" s="1" t="s">
        <v>25</v>
      </c>
      <c r="G135" s="1" t="s">
        <v>25</v>
      </c>
      <c r="H135" s="1" t="s">
        <v>25</v>
      </c>
      <c r="I135" s="1" t="s">
        <v>25</v>
      </c>
      <c r="J135" s="1" t="s">
        <v>25</v>
      </c>
      <c r="K135" s="1" t="s">
        <v>25</v>
      </c>
      <c r="L135" s="1" t="s">
        <v>25</v>
      </c>
      <c r="M135" s="1">
        <v>3.512627874E9</v>
      </c>
      <c r="N135" s="1" t="s">
        <v>25</v>
      </c>
      <c r="O135" s="1" t="s">
        <v>25</v>
      </c>
      <c r="P135" s="1" t="s">
        <v>25</v>
      </c>
      <c r="Q135" s="1" t="s">
        <v>25</v>
      </c>
      <c r="R135" s="1" t="s">
        <v>25</v>
      </c>
      <c r="S135" s="2">
        <v>45836.54488425926</v>
      </c>
      <c r="T135" s="2">
        <v>45836.54488425926</v>
      </c>
    </row>
    <row r="136">
      <c r="A136" s="1" t="s">
        <v>219</v>
      </c>
      <c r="B136" s="1">
        <v>1.0</v>
      </c>
      <c r="C136" s="1">
        <v>96.0</v>
      </c>
      <c r="D136" s="1">
        <v>5.2051237E7</v>
      </c>
      <c r="E136" s="1" t="s">
        <v>25</v>
      </c>
      <c r="F136" s="1" t="s">
        <v>25</v>
      </c>
      <c r="G136" s="1" t="s">
        <v>25</v>
      </c>
      <c r="H136" s="1" t="s">
        <v>25</v>
      </c>
      <c r="I136" s="1" t="s">
        <v>25</v>
      </c>
      <c r="J136" s="1" t="s">
        <v>25</v>
      </c>
      <c r="K136" s="1" t="s">
        <v>25</v>
      </c>
      <c r="L136" s="1" t="s">
        <v>25</v>
      </c>
      <c r="M136" s="1">
        <v>3.512627874E9</v>
      </c>
      <c r="N136" s="1" t="s">
        <v>25</v>
      </c>
      <c r="O136" s="1" t="s">
        <v>25</v>
      </c>
      <c r="P136" s="1" t="s">
        <v>25</v>
      </c>
      <c r="Q136" s="1" t="s">
        <v>25</v>
      </c>
      <c r="R136" s="1" t="s">
        <v>25</v>
      </c>
      <c r="S136" s="2">
        <v>45836.545324074075</v>
      </c>
      <c r="T136" s="2">
        <v>45836.545324074075</v>
      </c>
    </row>
    <row r="137">
      <c r="A137" s="1" t="s">
        <v>233</v>
      </c>
      <c r="B137" s="1">
        <v>2.0</v>
      </c>
      <c r="C137" s="1">
        <v>96.0</v>
      </c>
      <c r="D137" s="1">
        <v>5.9181786E7</v>
      </c>
      <c r="E137" s="1" t="s">
        <v>25</v>
      </c>
      <c r="F137" s="1" t="s">
        <v>25</v>
      </c>
      <c r="G137" s="1" t="s">
        <v>25</v>
      </c>
      <c r="H137" s="1" t="s">
        <v>25</v>
      </c>
      <c r="I137" s="1" t="s">
        <v>25</v>
      </c>
      <c r="J137" s="1" t="s">
        <v>25</v>
      </c>
      <c r="K137" s="1" t="s">
        <v>25</v>
      </c>
      <c r="L137" s="1" t="s">
        <v>25</v>
      </c>
      <c r="M137" s="1">
        <v>3.513898663E9</v>
      </c>
      <c r="N137" s="1" t="s">
        <v>25</v>
      </c>
      <c r="O137" s="1" t="s">
        <v>25</v>
      </c>
      <c r="P137" s="1" t="s">
        <v>25</v>
      </c>
      <c r="Q137" s="1" t="s">
        <v>25</v>
      </c>
      <c r="R137" s="1" t="s">
        <v>25</v>
      </c>
      <c r="S137" s="2">
        <v>45836.587175925924</v>
      </c>
      <c r="T137" s="2">
        <v>45836.587175925924</v>
      </c>
    </row>
    <row r="138">
      <c r="A138" s="1" t="s">
        <v>234</v>
      </c>
      <c r="B138" s="1">
        <v>2.0</v>
      </c>
      <c r="C138" s="1">
        <v>96.0</v>
      </c>
      <c r="D138" s="1">
        <v>9.5836546E7</v>
      </c>
      <c r="E138" s="1" t="s">
        <v>25</v>
      </c>
      <c r="F138" s="1" t="s">
        <v>25</v>
      </c>
      <c r="G138" s="1" t="s">
        <v>25</v>
      </c>
      <c r="H138" s="1" t="s">
        <v>25</v>
      </c>
      <c r="I138" s="1" t="s">
        <v>25</v>
      </c>
      <c r="J138" s="1" t="s">
        <v>25</v>
      </c>
      <c r="K138" s="1" t="s">
        <v>25</v>
      </c>
      <c r="L138" s="1" t="s">
        <v>25</v>
      </c>
      <c r="M138" s="1">
        <v>3.517072706E9</v>
      </c>
      <c r="N138" s="1" t="s">
        <v>25</v>
      </c>
      <c r="O138" s="1" t="s">
        <v>25</v>
      </c>
      <c r="P138" s="1" t="s">
        <v>25</v>
      </c>
      <c r="Q138" s="1" t="s">
        <v>25</v>
      </c>
      <c r="R138" s="1" t="s">
        <v>25</v>
      </c>
      <c r="S138" s="2">
        <v>45838.487349537034</v>
      </c>
      <c r="T138" s="2">
        <v>45838.487349537034</v>
      </c>
    </row>
    <row r="139">
      <c r="A139" s="1" t="s">
        <v>236</v>
      </c>
      <c r="B139" s="1">
        <v>2.0</v>
      </c>
      <c r="C139" s="1">
        <v>96.0</v>
      </c>
      <c r="D139" s="1">
        <v>4.1263144E7</v>
      </c>
      <c r="E139" s="1" t="s">
        <v>25</v>
      </c>
      <c r="F139" s="1" t="s">
        <v>25</v>
      </c>
      <c r="G139" s="1" t="s">
        <v>25</v>
      </c>
      <c r="H139" s="1" t="s">
        <v>25</v>
      </c>
      <c r="I139" s="1" t="s">
        <v>25</v>
      </c>
      <c r="J139" s="1" t="s">
        <v>25</v>
      </c>
      <c r="K139" s="1" t="s">
        <v>25</v>
      </c>
      <c r="L139" s="1" t="s">
        <v>25</v>
      </c>
      <c r="M139" s="1">
        <v>3.517712475E9</v>
      </c>
      <c r="N139" s="1" t="s">
        <v>25</v>
      </c>
      <c r="O139" s="1" t="s">
        <v>25</v>
      </c>
      <c r="P139" s="1" t="s">
        <v>25</v>
      </c>
      <c r="Q139" s="1" t="s">
        <v>25</v>
      </c>
      <c r="R139" s="1" t="s">
        <v>1184</v>
      </c>
      <c r="S139" s="2">
        <v>45838.52960648148</v>
      </c>
      <c r="T139" s="2">
        <v>45838.52960648148</v>
      </c>
    </row>
    <row r="140">
      <c r="A140" s="1" t="s">
        <v>238</v>
      </c>
      <c r="B140" s="1">
        <v>2.0</v>
      </c>
      <c r="C140" s="1">
        <v>96.0</v>
      </c>
      <c r="D140" s="1">
        <v>2.3287828E7</v>
      </c>
      <c r="E140" s="1" t="s">
        <v>25</v>
      </c>
      <c r="F140" s="1" t="s">
        <v>25</v>
      </c>
      <c r="G140" s="1" t="s">
        <v>25</v>
      </c>
      <c r="H140" s="1" t="s">
        <v>25</v>
      </c>
      <c r="I140" s="1" t="s">
        <v>25</v>
      </c>
      <c r="J140" s="1" t="s">
        <v>25</v>
      </c>
      <c r="K140" s="1" t="s">
        <v>25</v>
      </c>
      <c r="L140" s="1" t="s">
        <v>25</v>
      </c>
      <c r="M140" s="3" t="str">
        <f>+54 9 351 814-4168</f>
        <v>#ERROR!</v>
      </c>
      <c r="N140" s="1" t="s">
        <v>25</v>
      </c>
      <c r="O140" s="1" t="s">
        <v>25</v>
      </c>
      <c r="P140" s="1" t="s">
        <v>25</v>
      </c>
      <c r="Q140" s="1">
        <v>4.0</v>
      </c>
      <c r="R140" s="1" t="s">
        <v>25</v>
      </c>
      <c r="S140" s="2">
        <v>45838.95900462963</v>
      </c>
      <c r="T140" s="2">
        <v>45845.502650462964</v>
      </c>
    </row>
    <row r="141">
      <c r="A141" s="1" t="s">
        <v>239</v>
      </c>
      <c r="B141" s="1">
        <v>1.0</v>
      </c>
      <c r="C141" s="1">
        <v>96.0</v>
      </c>
      <c r="D141" s="1">
        <v>5.5977871E7</v>
      </c>
      <c r="E141" s="1" t="s">
        <v>25</v>
      </c>
      <c r="F141" s="1" t="s">
        <v>25</v>
      </c>
      <c r="G141" s="1" t="s">
        <v>25</v>
      </c>
      <c r="H141" s="5">
        <v>42803.0</v>
      </c>
      <c r="I141" s="1" t="s">
        <v>25</v>
      </c>
      <c r="J141" s="1" t="s">
        <v>25</v>
      </c>
      <c r="K141" s="1" t="s">
        <v>25</v>
      </c>
      <c r="L141" s="1" t="s">
        <v>25</v>
      </c>
      <c r="M141" s="3" t="str">
        <f>+54 9 358 518-7991 (Madre Celeste)</f>
        <v>#ERROR!</v>
      </c>
      <c r="N141" s="1" t="s">
        <v>25</v>
      </c>
      <c r="O141" s="1" t="s">
        <v>25</v>
      </c>
      <c r="P141" s="1" t="s">
        <v>25</v>
      </c>
      <c r="Q141" s="1" t="s">
        <v>25</v>
      </c>
      <c r="R141" s="1" t="s">
        <v>25</v>
      </c>
      <c r="S141" s="2">
        <v>45838.96192129629</v>
      </c>
      <c r="T141" s="2">
        <v>45838.96192129629</v>
      </c>
    </row>
    <row r="142">
      <c r="A142" s="1" t="s">
        <v>1185</v>
      </c>
      <c r="B142" s="1">
        <v>2.0</v>
      </c>
      <c r="C142" s="1">
        <v>96.0</v>
      </c>
      <c r="D142" s="1">
        <v>2.3942657E7</v>
      </c>
      <c r="E142" s="1" t="s">
        <v>25</v>
      </c>
      <c r="F142" s="1" t="s">
        <v>25</v>
      </c>
      <c r="G142" s="1" t="s">
        <v>25</v>
      </c>
      <c r="H142" s="1" t="s">
        <v>25</v>
      </c>
      <c r="I142" s="1" t="s">
        <v>25</v>
      </c>
      <c r="J142" s="1" t="s">
        <v>25</v>
      </c>
      <c r="K142" s="1" t="s">
        <v>25</v>
      </c>
      <c r="L142" s="1" t="s">
        <v>25</v>
      </c>
      <c r="M142" s="1">
        <v>3.512314896E9</v>
      </c>
      <c r="N142" s="1" t="s">
        <v>25</v>
      </c>
      <c r="O142" s="1" t="s">
        <v>25</v>
      </c>
      <c r="P142" s="1" t="s">
        <v>25</v>
      </c>
      <c r="Q142" s="1" t="s">
        <v>25</v>
      </c>
      <c r="R142" s="1" t="s">
        <v>25</v>
      </c>
      <c r="S142" s="2">
        <v>45839.668229166666</v>
      </c>
      <c r="T142" s="2">
        <v>45839.668229166666</v>
      </c>
    </row>
    <row r="143">
      <c r="A143" s="1" t="s">
        <v>243</v>
      </c>
      <c r="B143" s="1">
        <v>2.0</v>
      </c>
      <c r="C143" s="1">
        <v>96.0</v>
      </c>
      <c r="D143" s="1">
        <v>3.7729181E7</v>
      </c>
      <c r="E143" s="1" t="s">
        <v>25</v>
      </c>
      <c r="F143" s="1" t="s">
        <v>25</v>
      </c>
      <c r="G143" s="1" t="s">
        <v>25</v>
      </c>
      <c r="H143" s="1" t="s">
        <v>25</v>
      </c>
      <c r="I143" s="1" t="s">
        <v>25</v>
      </c>
      <c r="J143" s="1" t="s">
        <v>25</v>
      </c>
      <c r="K143" s="1" t="s">
        <v>25</v>
      </c>
      <c r="L143" s="1" t="s">
        <v>25</v>
      </c>
      <c r="M143" s="1">
        <v>3.885709903E9</v>
      </c>
      <c r="N143" s="1" t="s">
        <v>25</v>
      </c>
      <c r="O143" s="1" t="s">
        <v>25</v>
      </c>
      <c r="P143" s="1" t="s">
        <v>25</v>
      </c>
      <c r="Q143" s="1">
        <v>5.0</v>
      </c>
      <c r="R143" s="1" t="s">
        <v>25</v>
      </c>
      <c r="S143" s="2">
        <v>45840.717361111114</v>
      </c>
      <c r="T143" s="2">
        <v>45840.717361111114</v>
      </c>
    </row>
    <row r="144">
      <c r="A144" s="1" t="s">
        <v>245</v>
      </c>
      <c r="B144" s="1">
        <v>1.0</v>
      </c>
      <c r="C144" s="1">
        <v>96.0</v>
      </c>
      <c r="D144" s="1">
        <v>3.55777764E8</v>
      </c>
      <c r="E144" s="1" t="s">
        <v>25</v>
      </c>
      <c r="F144" s="1" t="s">
        <v>25</v>
      </c>
      <c r="G144" s="1" t="s">
        <v>25</v>
      </c>
      <c r="H144" s="1" t="s">
        <v>25</v>
      </c>
      <c r="I144" s="1" t="s">
        <v>25</v>
      </c>
      <c r="J144" s="1" t="s">
        <v>25</v>
      </c>
      <c r="K144" s="1" t="s">
        <v>25</v>
      </c>
      <c r="L144" s="1" t="s">
        <v>25</v>
      </c>
      <c r="M144" s="1">
        <v>3.543537525E9</v>
      </c>
      <c r="N144" s="1" t="s">
        <v>25</v>
      </c>
      <c r="O144" s="1" t="s">
        <v>25</v>
      </c>
      <c r="P144" s="1" t="s">
        <v>25</v>
      </c>
      <c r="Q144" s="1" t="s">
        <v>25</v>
      </c>
      <c r="R144" s="1" t="s">
        <v>25</v>
      </c>
      <c r="S144" s="2">
        <v>45841.555752314816</v>
      </c>
      <c r="T144" s="2">
        <v>45841.555752314816</v>
      </c>
    </row>
    <row r="145">
      <c r="A145" s="1" t="s">
        <v>246</v>
      </c>
      <c r="B145" s="1">
        <v>1.0</v>
      </c>
      <c r="C145" s="1">
        <v>96.0</v>
      </c>
      <c r="D145" s="1">
        <v>18994.0</v>
      </c>
      <c r="E145" s="1" t="s">
        <v>25</v>
      </c>
      <c r="F145" s="1" t="s">
        <v>25</v>
      </c>
      <c r="G145" s="1" t="s">
        <v>25</v>
      </c>
      <c r="H145" s="1" t="s">
        <v>25</v>
      </c>
      <c r="I145" s="1" t="s">
        <v>25</v>
      </c>
      <c r="J145" s="1" t="s">
        <v>25</v>
      </c>
      <c r="K145" s="1" t="s">
        <v>25</v>
      </c>
      <c r="L145" s="1" t="s">
        <v>25</v>
      </c>
      <c r="M145" s="3" t="str">
        <f>+54 9 3541 24-4914</f>
        <v>#ERROR!</v>
      </c>
      <c r="N145" s="1" t="s">
        <v>25</v>
      </c>
      <c r="O145" s="1" t="s">
        <v>25</v>
      </c>
      <c r="P145" s="1" t="s">
        <v>25</v>
      </c>
      <c r="Q145" s="1" t="s">
        <v>25</v>
      </c>
      <c r="R145" s="1" t="s">
        <v>25</v>
      </c>
      <c r="S145" s="2">
        <v>45841.590902777774</v>
      </c>
      <c r="T145" s="2">
        <v>45841.590902777774</v>
      </c>
    </row>
    <row r="146">
      <c r="A146" s="1" t="s">
        <v>250</v>
      </c>
      <c r="B146" s="1">
        <v>2.0</v>
      </c>
      <c r="C146" s="1">
        <v>96.0</v>
      </c>
      <c r="D146" s="1">
        <v>3.9205167E7</v>
      </c>
      <c r="E146" s="1" t="s">
        <v>25</v>
      </c>
      <c r="F146" s="1" t="s">
        <v>25</v>
      </c>
      <c r="G146" s="1" t="s">
        <v>25</v>
      </c>
      <c r="H146" s="1" t="s">
        <v>25</v>
      </c>
      <c r="I146" s="1" t="s">
        <v>25</v>
      </c>
      <c r="J146" s="1" t="s">
        <v>25</v>
      </c>
      <c r="K146" s="1" t="s">
        <v>25</v>
      </c>
      <c r="L146" s="1" t="s">
        <v>25</v>
      </c>
      <c r="M146" s="1">
        <v>2.966619915E9</v>
      </c>
      <c r="N146" s="1" t="s">
        <v>25</v>
      </c>
      <c r="O146" s="1" t="s">
        <v>25</v>
      </c>
      <c r="P146" s="1" t="s">
        <v>25</v>
      </c>
      <c r="Q146" s="1" t="s">
        <v>25</v>
      </c>
      <c r="R146" s="1" t="s">
        <v>25</v>
      </c>
      <c r="S146" s="2">
        <v>45841.700162037036</v>
      </c>
      <c r="T146" s="2">
        <v>45841.700162037036</v>
      </c>
    </row>
    <row r="147">
      <c r="A147" s="1" t="s">
        <v>251</v>
      </c>
      <c r="B147" s="1">
        <v>1.0</v>
      </c>
      <c r="C147" s="1">
        <v>96.0</v>
      </c>
      <c r="D147" s="1">
        <v>3.9219525E7</v>
      </c>
      <c r="E147" s="1" t="s">
        <v>25</v>
      </c>
      <c r="F147" s="1" t="s">
        <v>25</v>
      </c>
      <c r="G147" s="1" t="s">
        <v>25</v>
      </c>
      <c r="H147" s="1" t="s">
        <v>25</v>
      </c>
      <c r="I147" s="1" t="s">
        <v>25</v>
      </c>
      <c r="J147" s="1" t="s">
        <v>25</v>
      </c>
      <c r="K147" s="1" t="s">
        <v>25</v>
      </c>
      <c r="L147" s="1" t="s">
        <v>25</v>
      </c>
      <c r="M147" s="1">
        <v>3.8744266E9</v>
      </c>
      <c r="N147" s="1" t="s">
        <v>25</v>
      </c>
      <c r="O147" s="1" t="s">
        <v>25</v>
      </c>
      <c r="P147" s="1" t="s">
        <v>25</v>
      </c>
      <c r="Q147" s="1" t="s">
        <v>25</v>
      </c>
      <c r="R147" s="1" t="s">
        <v>25</v>
      </c>
      <c r="S147" s="2">
        <v>45841.71871527778</v>
      </c>
      <c r="T147" s="2">
        <v>45841.71944444445</v>
      </c>
    </row>
    <row r="148">
      <c r="A148" s="1" t="s">
        <v>252</v>
      </c>
      <c r="B148" s="1">
        <v>1.0</v>
      </c>
      <c r="C148" s="1">
        <v>96.0</v>
      </c>
      <c r="D148" s="1">
        <v>4.4896316E7</v>
      </c>
      <c r="E148" s="1" t="s">
        <v>25</v>
      </c>
      <c r="F148" s="1" t="s">
        <v>25</v>
      </c>
      <c r="G148" s="1" t="s">
        <v>25</v>
      </c>
      <c r="H148" s="1" t="s">
        <v>25</v>
      </c>
      <c r="I148" s="1" t="s">
        <v>25</v>
      </c>
      <c r="J148" s="1" t="s">
        <v>25</v>
      </c>
      <c r="K148" s="1" t="s">
        <v>25</v>
      </c>
      <c r="L148" s="1" t="s">
        <v>25</v>
      </c>
      <c r="M148" s="1">
        <v>3.512275544E9</v>
      </c>
      <c r="N148" s="1" t="s">
        <v>25</v>
      </c>
      <c r="O148" s="1" t="s">
        <v>25</v>
      </c>
      <c r="P148" s="1" t="s">
        <v>25</v>
      </c>
      <c r="Q148" s="1" t="s">
        <v>25</v>
      </c>
      <c r="R148" s="1" t="s">
        <v>25</v>
      </c>
      <c r="S148" s="2">
        <v>45845.519421296296</v>
      </c>
      <c r="T148" s="2">
        <v>45845.519421296296</v>
      </c>
    </row>
    <row r="149">
      <c r="A149" s="1" t="s">
        <v>253</v>
      </c>
      <c r="B149" s="1">
        <v>1.0</v>
      </c>
      <c r="C149" s="1">
        <v>96.0</v>
      </c>
      <c r="D149" s="1">
        <v>4.5934346E7</v>
      </c>
      <c r="E149" s="1" t="s">
        <v>25</v>
      </c>
      <c r="F149" s="1" t="s">
        <v>25</v>
      </c>
      <c r="G149" s="1" t="s">
        <v>25</v>
      </c>
      <c r="H149" s="1" t="s">
        <v>25</v>
      </c>
      <c r="I149" s="1" t="s">
        <v>25</v>
      </c>
      <c r="J149" s="1" t="s">
        <v>25</v>
      </c>
      <c r="K149" s="1" t="s">
        <v>25</v>
      </c>
      <c r="L149" s="1" t="s">
        <v>25</v>
      </c>
      <c r="M149" s="1">
        <v>3.513686493E9</v>
      </c>
      <c r="N149" s="1" t="s">
        <v>25</v>
      </c>
      <c r="O149" s="1" t="s">
        <v>25</v>
      </c>
      <c r="P149" s="1" t="s">
        <v>25</v>
      </c>
      <c r="Q149" s="1" t="s">
        <v>25</v>
      </c>
      <c r="R149" s="1" t="s">
        <v>25</v>
      </c>
      <c r="S149" s="2">
        <v>45845.72127314815</v>
      </c>
      <c r="T149" s="2">
        <v>45845.72127314815</v>
      </c>
    </row>
    <row r="150">
      <c r="A150" s="1" t="s">
        <v>254</v>
      </c>
      <c r="B150" s="1">
        <v>1.0</v>
      </c>
      <c r="C150" s="1">
        <v>96.0</v>
      </c>
      <c r="D150" s="1">
        <v>4.5595636E7</v>
      </c>
      <c r="E150" s="1" t="s">
        <v>25</v>
      </c>
      <c r="F150" s="1" t="s">
        <v>25</v>
      </c>
      <c r="G150" s="1" t="s">
        <v>25</v>
      </c>
      <c r="H150" s="1" t="s">
        <v>25</v>
      </c>
      <c r="I150" s="1" t="s">
        <v>25</v>
      </c>
      <c r="J150" s="1" t="s">
        <v>25</v>
      </c>
      <c r="K150" s="1" t="s">
        <v>25</v>
      </c>
      <c r="L150" s="1" t="s">
        <v>25</v>
      </c>
      <c r="M150" s="1">
        <v>3.516202271E9</v>
      </c>
      <c r="N150" s="1" t="s">
        <v>25</v>
      </c>
      <c r="O150" s="1" t="s">
        <v>25</v>
      </c>
      <c r="P150" s="1" t="s">
        <v>25</v>
      </c>
      <c r="Q150" s="1" t="s">
        <v>25</v>
      </c>
      <c r="R150" s="1" t="s">
        <v>25</v>
      </c>
      <c r="S150" s="2">
        <v>45846.39576388889</v>
      </c>
      <c r="T150" s="2">
        <v>45846.39576388889</v>
      </c>
    </row>
    <row r="151">
      <c r="A151" s="1" t="s">
        <v>255</v>
      </c>
      <c r="B151" s="1">
        <v>2.0</v>
      </c>
      <c r="C151" s="1">
        <v>96.0</v>
      </c>
      <c r="D151" s="1">
        <v>0.0</v>
      </c>
      <c r="E151" s="1" t="s">
        <v>25</v>
      </c>
      <c r="F151" s="1" t="s">
        <v>25</v>
      </c>
      <c r="G151" s="1" t="s">
        <v>25</v>
      </c>
      <c r="H151" s="1" t="s">
        <v>25</v>
      </c>
      <c r="I151" s="1" t="s">
        <v>25</v>
      </c>
      <c r="J151" s="1" t="s">
        <v>25</v>
      </c>
      <c r="K151" s="1" t="s">
        <v>25</v>
      </c>
      <c r="L151" s="1" t="s">
        <v>25</v>
      </c>
      <c r="M151" s="1">
        <v>3.513499837E9</v>
      </c>
      <c r="N151" s="1" t="s">
        <v>25</v>
      </c>
      <c r="O151" s="1" t="s">
        <v>25</v>
      </c>
      <c r="P151" s="1" t="s">
        <v>25</v>
      </c>
      <c r="Q151" s="1" t="s">
        <v>25</v>
      </c>
      <c r="R151" s="1" t="s">
        <v>25</v>
      </c>
      <c r="S151" s="2">
        <v>45846.48013888889</v>
      </c>
      <c r="T151" s="2">
        <v>45846.48013888889</v>
      </c>
    </row>
    <row r="152">
      <c r="A152" s="1" t="s">
        <v>256</v>
      </c>
      <c r="B152" s="1">
        <v>1.0</v>
      </c>
      <c r="C152" s="1">
        <v>96.0</v>
      </c>
      <c r="D152" s="1">
        <v>1.6014988E7</v>
      </c>
      <c r="E152" s="1" t="s">
        <v>25</v>
      </c>
      <c r="F152" s="1" t="s">
        <v>25</v>
      </c>
      <c r="G152" s="1" t="s">
        <v>25</v>
      </c>
      <c r="H152" s="1" t="s">
        <v>25</v>
      </c>
      <c r="I152" s="1" t="s">
        <v>25</v>
      </c>
      <c r="J152" s="1" t="s">
        <v>25</v>
      </c>
      <c r="K152" s="1" t="s">
        <v>25</v>
      </c>
      <c r="L152" s="1" t="s">
        <v>25</v>
      </c>
      <c r="M152" s="1">
        <v>3.512803227E9</v>
      </c>
      <c r="N152" s="1" t="s">
        <v>25</v>
      </c>
      <c r="O152" s="1" t="s">
        <v>25</v>
      </c>
      <c r="P152" s="1" t="s">
        <v>25</v>
      </c>
      <c r="Q152" s="1" t="s">
        <v>25</v>
      </c>
      <c r="R152" s="1" t="s">
        <v>25</v>
      </c>
      <c r="S152" s="2">
        <v>45846.54210648148</v>
      </c>
      <c r="T152" s="2">
        <v>45846.54210648148</v>
      </c>
    </row>
    <row r="153">
      <c r="A153" s="1" t="s">
        <v>272</v>
      </c>
      <c r="B153" s="1">
        <v>1.0</v>
      </c>
      <c r="C153" s="1">
        <v>96.0</v>
      </c>
      <c r="D153" s="1">
        <v>4.010873E7</v>
      </c>
      <c r="E153" s="1" t="s">
        <v>25</v>
      </c>
      <c r="F153" s="1" t="s">
        <v>25</v>
      </c>
      <c r="G153" s="1" t="s">
        <v>25</v>
      </c>
      <c r="H153" s="1" t="s">
        <v>25</v>
      </c>
      <c r="I153" s="1" t="s">
        <v>25</v>
      </c>
      <c r="J153" s="1" t="s">
        <v>25</v>
      </c>
      <c r="K153" s="1" t="s">
        <v>25</v>
      </c>
      <c r="L153" s="1" t="s">
        <v>25</v>
      </c>
      <c r="M153" s="1">
        <v>3.51756626E9</v>
      </c>
      <c r="N153" s="1" t="s">
        <v>25</v>
      </c>
      <c r="O153" s="1" t="s">
        <v>25</v>
      </c>
      <c r="P153" s="1" t="s">
        <v>25</v>
      </c>
      <c r="Q153" s="1" t="s">
        <v>25</v>
      </c>
      <c r="R153" s="1" t="s">
        <v>25</v>
      </c>
      <c r="S153" s="2">
        <v>45846.786782407406</v>
      </c>
      <c r="T153" s="2">
        <v>45846.786782407406</v>
      </c>
    </row>
    <row r="154">
      <c r="A154" s="1" t="s">
        <v>257</v>
      </c>
      <c r="B154" s="1">
        <v>1.0</v>
      </c>
      <c r="C154" s="1">
        <v>96.0</v>
      </c>
      <c r="D154" s="1">
        <v>5.9713292E7</v>
      </c>
      <c r="E154" s="1" t="s">
        <v>25</v>
      </c>
      <c r="F154" s="1" t="s">
        <v>25</v>
      </c>
      <c r="G154" s="1" t="s">
        <v>25</v>
      </c>
      <c r="H154" s="1" t="s">
        <v>25</v>
      </c>
      <c r="I154" s="1" t="s">
        <v>25</v>
      </c>
      <c r="J154" s="1" t="s">
        <v>25</v>
      </c>
      <c r="K154" s="1" t="s">
        <v>25</v>
      </c>
      <c r="L154" s="1" t="s">
        <v>25</v>
      </c>
      <c r="M154" s="1" t="s">
        <v>1186</v>
      </c>
      <c r="N154" s="1" t="s">
        <v>25</v>
      </c>
      <c r="O154" s="1" t="s">
        <v>25</v>
      </c>
      <c r="P154" s="1" t="s">
        <v>25</v>
      </c>
      <c r="Q154" s="1" t="s">
        <v>25</v>
      </c>
      <c r="R154" s="1" t="s">
        <v>25</v>
      </c>
      <c r="S154" s="2">
        <v>45848.38520833333</v>
      </c>
      <c r="T154" s="2">
        <v>45848.38520833333</v>
      </c>
    </row>
    <row r="155">
      <c r="A155" s="1" t="s">
        <v>258</v>
      </c>
      <c r="B155" s="1">
        <v>2.0</v>
      </c>
      <c r="C155" s="1">
        <v>96.0</v>
      </c>
      <c r="D155" s="1">
        <v>4.8068646E7</v>
      </c>
      <c r="E155" s="1" t="s">
        <v>25</v>
      </c>
      <c r="F155" s="1" t="s">
        <v>25</v>
      </c>
      <c r="G155" s="1" t="s">
        <v>25</v>
      </c>
      <c r="H155" s="1" t="s">
        <v>25</v>
      </c>
      <c r="I155" s="1" t="s">
        <v>25</v>
      </c>
      <c r="J155" s="1" t="s">
        <v>25</v>
      </c>
      <c r="K155" s="1" t="s">
        <v>25</v>
      </c>
      <c r="L155" s="1" t="s">
        <v>25</v>
      </c>
      <c r="M155" s="1">
        <v>3.512174636E9</v>
      </c>
      <c r="N155" s="1" t="s">
        <v>25</v>
      </c>
      <c r="O155" s="1" t="s">
        <v>25</v>
      </c>
      <c r="P155" s="1" t="s">
        <v>25</v>
      </c>
      <c r="Q155" s="1" t="s">
        <v>25</v>
      </c>
      <c r="R155" s="1" t="s">
        <v>25</v>
      </c>
      <c r="S155" s="2">
        <v>45848.508738425924</v>
      </c>
      <c r="T155" s="2">
        <v>45848.508738425924</v>
      </c>
    </row>
    <row r="156">
      <c r="A156" s="1" t="s">
        <v>259</v>
      </c>
      <c r="B156" s="1">
        <v>1.0</v>
      </c>
      <c r="C156" s="1">
        <v>96.0</v>
      </c>
      <c r="D156" s="1">
        <v>4.6452379E7</v>
      </c>
      <c r="E156" s="1" t="s">
        <v>25</v>
      </c>
      <c r="F156" s="1" t="s">
        <v>25</v>
      </c>
      <c r="G156" s="1" t="s">
        <v>25</v>
      </c>
      <c r="H156" s="1" t="s">
        <v>25</v>
      </c>
      <c r="I156" s="1" t="s">
        <v>25</v>
      </c>
      <c r="J156" s="1" t="s">
        <v>25</v>
      </c>
      <c r="K156" s="1" t="s">
        <v>25</v>
      </c>
      <c r="L156" s="1" t="s">
        <v>25</v>
      </c>
      <c r="M156" s="1">
        <v>3.51246176E9</v>
      </c>
      <c r="N156" s="1" t="s">
        <v>25</v>
      </c>
      <c r="O156" s="1" t="s">
        <v>25</v>
      </c>
      <c r="P156" s="1" t="s">
        <v>25</v>
      </c>
      <c r="Q156" s="1" t="s">
        <v>25</v>
      </c>
      <c r="R156" s="1" t="s">
        <v>25</v>
      </c>
      <c r="S156" s="2">
        <v>45849.740694444445</v>
      </c>
      <c r="T156" s="2">
        <v>45849.740694444445</v>
      </c>
    </row>
    <row r="157">
      <c r="A157" s="1" t="s">
        <v>274</v>
      </c>
      <c r="B157" s="1">
        <v>2.0</v>
      </c>
      <c r="C157" s="1">
        <v>96.0</v>
      </c>
      <c r="D157" s="1">
        <v>2.2180133E7</v>
      </c>
      <c r="E157" s="1" t="s">
        <v>25</v>
      </c>
      <c r="F157" s="1" t="s">
        <v>25</v>
      </c>
      <c r="G157" s="1" t="s">
        <v>25</v>
      </c>
      <c r="H157" s="1" t="s">
        <v>25</v>
      </c>
      <c r="I157" s="1" t="s">
        <v>25</v>
      </c>
      <c r="J157" s="1" t="s">
        <v>25</v>
      </c>
      <c r="K157" s="1" t="s">
        <v>25</v>
      </c>
      <c r="L157" s="1" t="s">
        <v>25</v>
      </c>
      <c r="M157" s="1">
        <v>3.516130644E9</v>
      </c>
      <c r="N157" s="1" t="s">
        <v>25</v>
      </c>
      <c r="O157" s="1" t="s">
        <v>25</v>
      </c>
      <c r="P157" s="1" t="s">
        <v>25</v>
      </c>
      <c r="Q157" s="1">
        <v>2.0</v>
      </c>
      <c r="R157" s="1" t="s">
        <v>25</v>
      </c>
      <c r="S157" s="2">
        <v>45850.5046875</v>
      </c>
      <c r="T157" s="2">
        <v>45850.5046875</v>
      </c>
    </row>
    <row r="158">
      <c r="A158" s="1" t="s">
        <v>261</v>
      </c>
      <c r="B158" s="1" t="s">
        <v>25</v>
      </c>
      <c r="C158" s="1">
        <v>96.0</v>
      </c>
      <c r="D158" s="1">
        <v>2.007647E7</v>
      </c>
      <c r="E158" s="1" t="s">
        <v>25</v>
      </c>
      <c r="F158" s="1" t="s">
        <v>25</v>
      </c>
      <c r="G158" s="1" t="s">
        <v>25</v>
      </c>
      <c r="H158" s="1" t="s">
        <v>25</v>
      </c>
      <c r="I158" s="1" t="s">
        <v>25</v>
      </c>
      <c r="J158" s="1" t="s">
        <v>25</v>
      </c>
      <c r="K158" s="1" t="s">
        <v>25</v>
      </c>
      <c r="L158" s="1" t="s">
        <v>25</v>
      </c>
      <c r="M158" s="1">
        <v>3.515742605E9</v>
      </c>
      <c r="N158" s="1" t="s">
        <v>25</v>
      </c>
      <c r="O158" s="1" t="s">
        <v>25</v>
      </c>
      <c r="P158" s="1" t="s">
        <v>25</v>
      </c>
      <c r="Q158" s="1">
        <v>8.0</v>
      </c>
      <c r="R158" s="1" t="s">
        <v>25</v>
      </c>
      <c r="S158" s="2">
        <v>45850.52633101852</v>
      </c>
      <c r="T158" s="2">
        <v>45850.52633101852</v>
      </c>
    </row>
    <row r="159">
      <c r="A159" s="1" t="s">
        <v>263</v>
      </c>
      <c r="B159" s="1">
        <v>1.0</v>
      </c>
      <c r="C159" s="1">
        <v>96.0</v>
      </c>
      <c r="D159" s="1">
        <v>2.1966615E7</v>
      </c>
      <c r="E159" s="1" t="s">
        <v>25</v>
      </c>
      <c r="F159" s="1" t="s">
        <v>25</v>
      </c>
      <c r="G159" s="1" t="s">
        <v>25</v>
      </c>
      <c r="H159" s="1" t="s">
        <v>25</v>
      </c>
      <c r="I159" s="1" t="s">
        <v>25</v>
      </c>
      <c r="J159" s="1" t="s">
        <v>25</v>
      </c>
      <c r="K159" s="1" t="s">
        <v>25</v>
      </c>
      <c r="L159" s="1" t="s">
        <v>25</v>
      </c>
      <c r="M159" s="1">
        <v>3.516225047E9</v>
      </c>
      <c r="N159" s="1" t="s">
        <v>25</v>
      </c>
      <c r="O159" s="1" t="s">
        <v>25</v>
      </c>
      <c r="P159" s="1" t="s">
        <v>25</v>
      </c>
      <c r="Q159" s="1" t="s">
        <v>25</v>
      </c>
      <c r="R159" s="1" t="s">
        <v>25</v>
      </c>
      <c r="S159" s="2">
        <v>45850.55681712963</v>
      </c>
      <c r="T159" s="2">
        <v>45850.55681712963</v>
      </c>
    </row>
    <row r="160">
      <c r="A160" s="1" t="s">
        <v>265</v>
      </c>
      <c r="B160" s="1">
        <v>1.0</v>
      </c>
      <c r="C160" s="1">
        <v>96.0</v>
      </c>
      <c r="D160" s="1">
        <v>4.1711114E7</v>
      </c>
      <c r="E160" s="1" t="s">
        <v>25</v>
      </c>
      <c r="F160" s="1" t="s">
        <v>25</v>
      </c>
      <c r="G160" s="1" t="s">
        <v>25</v>
      </c>
      <c r="H160" s="1" t="s">
        <v>25</v>
      </c>
      <c r="I160" s="1" t="s">
        <v>25</v>
      </c>
      <c r="J160" s="1" t="s">
        <v>25</v>
      </c>
      <c r="K160" s="1" t="s">
        <v>25</v>
      </c>
      <c r="L160" s="1" t="s">
        <v>25</v>
      </c>
      <c r="M160" s="1">
        <v>3.516869171E9</v>
      </c>
      <c r="N160" s="1" t="s">
        <v>25</v>
      </c>
      <c r="O160" s="1" t="s">
        <v>25</v>
      </c>
      <c r="P160" s="1" t="s">
        <v>25</v>
      </c>
      <c r="Q160" s="1" t="s">
        <v>25</v>
      </c>
      <c r="R160" s="1" t="s">
        <v>25</v>
      </c>
      <c r="S160" s="2">
        <v>45853.4228125</v>
      </c>
      <c r="T160" s="2">
        <v>45853.4228125</v>
      </c>
    </row>
    <row r="161">
      <c r="A161" s="1" t="s">
        <v>266</v>
      </c>
      <c r="B161" s="1">
        <v>2.0</v>
      </c>
      <c r="C161" s="1">
        <v>96.0</v>
      </c>
      <c r="D161" s="1">
        <v>3.7315502E7</v>
      </c>
      <c r="E161" s="1" t="s">
        <v>25</v>
      </c>
      <c r="F161" s="1" t="s">
        <v>25</v>
      </c>
      <c r="G161" s="1" t="s">
        <v>25</v>
      </c>
      <c r="H161" s="1" t="s">
        <v>25</v>
      </c>
      <c r="I161" s="1" t="s">
        <v>25</v>
      </c>
      <c r="J161" s="1" t="s">
        <v>25</v>
      </c>
      <c r="K161" s="1" t="s">
        <v>25</v>
      </c>
      <c r="L161" s="1" t="s">
        <v>25</v>
      </c>
      <c r="M161" s="1">
        <v>3.516832769E9</v>
      </c>
      <c r="N161" s="1" t="s">
        <v>25</v>
      </c>
      <c r="O161" s="1" t="s">
        <v>25</v>
      </c>
      <c r="P161" s="1" t="s">
        <v>25</v>
      </c>
      <c r="Q161" s="1" t="s">
        <v>25</v>
      </c>
      <c r="R161" s="1" t="s">
        <v>25</v>
      </c>
      <c r="S161" s="2">
        <v>45853.685266203705</v>
      </c>
      <c r="T161" s="2">
        <v>45853.685266203705</v>
      </c>
    </row>
    <row r="162">
      <c r="A162" s="1" t="s">
        <v>267</v>
      </c>
      <c r="B162" s="1">
        <v>1.0</v>
      </c>
      <c r="C162" s="1">
        <v>96.0</v>
      </c>
      <c r="D162" s="1">
        <v>3.7359338E7</v>
      </c>
      <c r="E162" s="1" t="s">
        <v>25</v>
      </c>
      <c r="F162" s="1" t="s">
        <v>25</v>
      </c>
      <c r="G162" s="1" t="s">
        <v>25</v>
      </c>
      <c r="H162" s="1" t="s">
        <v>25</v>
      </c>
      <c r="I162" s="1" t="s">
        <v>25</v>
      </c>
      <c r="J162" s="1" t="s">
        <v>25</v>
      </c>
      <c r="K162" s="1" t="s">
        <v>25</v>
      </c>
      <c r="L162" s="1" t="s">
        <v>25</v>
      </c>
      <c r="M162" s="1">
        <v>2.98889536E8</v>
      </c>
      <c r="N162" s="1" t="s">
        <v>25</v>
      </c>
      <c r="O162" s="1" t="s">
        <v>25</v>
      </c>
      <c r="P162" s="1" t="s">
        <v>25</v>
      </c>
      <c r="Q162" s="1" t="s">
        <v>25</v>
      </c>
      <c r="R162" s="1" t="s">
        <v>25</v>
      </c>
      <c r="S162" s="2">
        <v>45853.71025462963</v>
      </c>
      <c r="T162" s="2">
        <v>45853.71025462963</v>
      </c>
    </row>
    <row r="163">
      <c r="A163" s="1" t="s">
        <v>269</v>
      </c>
      <c r="B163" s="1">
        <v>1.0</v>
      </c>
      <c r="C163" s="1">
        <v>96.0</v>
      </c>
      <c r="D163" s="1">
        <v>2.8652223E7</v>
      </c>
      <c r="E163" s="1" t="s">
        <v>25</v>
      </c>
      <c r="F163" s="1" t="s">
        <v>25</v>
      </c>
      <c r="G163" s="1" t="s">
        <v>25</v>
      </c>
      <c r="H163" s="1" t="s">
        <v>25</v>
      </c>
      <c r="I163" s="1" t="s">
        <v>25</v>
      </c>
      <c r="J163" s="1" t="s">
        <v>25</v>
      </c>
      <c r="K163" s="1" t="s">
        <v>25</v>
      </c>
      <c r="L163" s="1" t="s">
        <v>25</v>
      </c>
      <c r="M163" s="1">
        <v>3.515293823E9</v>
      </c>
      <c r="N163" s="1" t="s">
        <v>25</v>
      </c>
      <c r="O163" s="1" t="s">
        <v>25</v>
      </c>
      <c r="P163" s="1" t="s">
        <v>25</v>
      </c>
      <c r="Q163" s="1" t="s">
        <v>25</v>
      </c>
      <c r="R163" s="1" t="s">
        <v>25</v>
      </c>
      <c r="S163" s="2">
        <v>45853.715682870374</v>
      </c>
      <c r="T163" s="2">
        <v>45853.715682870374</v>
      </c>
    </row>
    <row r="164">
      <c r="A164" s="1" t="s">
        <v>270</v>
      </c>
      <c r="B164" s="1">
        <v>2.0</v>
      </c>
      <c r="C164" s="1">
        <v>96.0</v>
      </c>
      <c r="D164" s="1">
        <v>2.6791482E7</v>
      </c>
      <c r="E164" s="1" t="s">
        <v>25</v>
      </c>
      <c r="F164" s="1" t="s">
        <v>25</v>
      </c>
      <c r="G164" s="1" t="s">
        <v>25</v>
      </c>
      <c r="H164" s="1" t="s">
        <v>25</v>
      </c>
      <c r="I164" s="1" t="s">
        <v>25</v>
      </c>
      <c r="J164" s="1" t="s">
        <v>25</v>
      </c>
      <c r="K164" s="1" t="s">
        <v>25</v>
      </c>
      <c r="L164" s="1" t="s">
        <v>25</v>
      </c>
      <c r="M164" s="1">
        <v>3.512839674E9</v>
      </c>
      <c r="N164" s="1" t="s">
        <v>25</v>
      </c>
      <c r="O164" s="1" t="s">
        <v>25</v>
      </c>
      <c r="P164" s="1" t="s">
        <v>25</v>
      </c>
      <c r="Q164" s="1" t="s">
        <v>25</v>
      </c>
      <c r="R164" s="1" t="s">
        <v>25</v>
      </c>
      <c r="S164" s="2">
        <v>45853.74628472222</v>
      </c>
      <c r="T164" s="2">
        <v>45853.74628472222</v>
      </c>
    </row>
    <row r="165">
      <c r="A165" s="1" t="s">
        <v>286</v>
      </c>
      <c r="B165" s="1" t="s">
        <v>25</v>
      </c>
      <c r="C165" s="1">
        <v>96.0</v>
      </c>
      <c r="D165" s="1">
        <v>3.6357528E7</v>
      </c>
      <c r="E165" s="1" t="s">
        <v>25</v>
      </c>
      <c r="F165" s="1" t="s">
        <v>25</v>
      </c>
      <c r="G165" s="1" t="s">
        <v>25</v>
      </c>
      <c r="H165" s="1" t="s">
        <v>25</v>
      </c>
      <c r="I165" s="1" t="s">
        <v>25</v>
      </c>
      <c r="J165" s="1" t="s">
        <v>25</v>
      </c>
      <c r="K165" s="1" t="s">
        <v>25</v>
      </c>
      <c r="L165" s="1" t="s">
        <v>25</v>
      </c>
      <c r="M165" s="1">
        <v>3.512606566E9</v>
      </c>
      <c r="N165" s="1" t="s">
        <v>25</v>
      </c>
      <c r="O165" s="1" t="s">
        <v>25</v>
      </c>
      <c r="P165" s="1" t="s">
        <v>25</v>
      </c>
      <c r="Q165" s="1">
        <v>7.0</v>
      </c>
      <c r="R165" s="1" t="s">
        <v>25</v>
      </c>
      <c r="S165" s="2">
        <v>45854.768009259256</v>
      </c>
      <c r="T165" s="2">
        <v>45854.768009259256</v>
      </c>
    </row>
    <row r="166">
      <c r="A166" s="1" t="s">
        <v>1187</v>
      </c>
      <c r="B166" s="1">
        <v>1.0</v>
      </c>
      <c r="C166" s="1">
        <v>96.0</v>
      </c>
      <c r="D166" s="1">
        <v>4.1442128E7</v>
      </c>
      <c r="E166" s="1" t="s">
        <v>25</v>
      </c>
      <c r="F166" s="1" t="s">
        <v>25</v>
      </c>
      <c r="G166" s="1" t="s">
        <v>25</v>
      </c>
      <c r="H166" s="1" t="s">
        <v>25</v>
      </c>
      <c r="I166" s="1" t="s">
        <v>25</v>
      </c>
      <c r="J166" s="1" t="s">
        <v>25</v>
      </c>
      <c r="K166" s="1" t="s">
        <v>25</v>
      </c>
      <c r="L166" s="1" t="s">
        <v>25</v>
      </c>
      <c r="M166" s="1">
        <v>3.513930785E9</v>
      </c>
      <c r="N166" s="1" t="s">
        <v>25</v>
      </c>
      <c r="O166" s="1" t="s">
        <v>25</v>
      </c>
      <c r="P166" s="1" t="s">
        <v>25</v>
      </c>
      <c r="Q166" s="1" t="s">
        <v>25</v>
      </c>
      <c r="R166" s="1" t="s">
        <v>25</v>
      </c>
      <c r="S166" s="2">
        <v>45854.79530092593</v>
      </c>
      <c r="T166" s="2">
        <v>45854.79530092593</v>
      </c>
    </row>
    <row r="167">
      <c r="A167" s="1" t="s">
        <v>1188</v>
      </c>
      <c r="B167" s="1">
        <v>1.0</v>
      </c>
      <c r="C167" s="1">
        <v>96.0</v>
      </c>
      <c r="D167" s="1">
        <v>4.2384175E7</v>
      </c>
      <c r="E167" s="1" t="s">
        <v>25</v>
      </c>
      <c r="F167" s="1" t="s">
        <v>25</v>
      </c>
      <c r="G167" s="1" t="s">
        <v>25</v>
      </c>
      <c r="H167" s="1" t="s">
        <v>25</v>
      </c>
      <c r="I167" s="1" t="s">
        <v>25</v>
      </c>
      <c r="J167" s="1" t="s">
        <v>25</v>
      </c>
      <c r="K167" s="1" t="s">
        <v>25</v>
      </c>
      <c r="L167" s="1" t="s">
        <v>25</v>
      </c>
      <c r="M167" s="1">
        <v>3.525650188E9</v>
      </c>
      <c r="N167" s="1" t="s">
        <v>25</v>
      </c>
      <c r="O167" s="1" t="s">
        <v>25</v>
      </c>
      <c r="P167" s="1" t="s">
        <v>25</v>
      </c>
      <c r="Q167" s="1" t="s">
        <v>25</v>
      </c>
      <c r="R167" s="1" t="s">
        <v>25</v>
      </c>
      <c r="S167" s="2">
        <v>45854.797118055554</v>
      </c>
      <c r="T167" s="2">
        <v>45854.797118055554</v>
      </c>
    </row>
    <row r="168">
      <c r="A168" s="1" t="s">
        <v>271</v>
      </c>
      <c r="B168" s="1">
        <v>1.0</v>
      </c>
      <c r="C168" s="1">
        <v>96.0</v>
      </c>
      <c r="D168" s="1">
        <v>3.1039562E7</v>
      </c>
      <c r="E168" s="1" t="s">
        <v>25</v>
      </c>
      <c r="F168" s="1" t="s">
        <v>25</v>
      </c>
      <c r="G168" s="1" t="s">
        <v>25</v>
      </c>
      <c r="H168" s="1" t="s">
        <v>25</v>
      </c>
      <c r="I168" s="1" t="s">
        <v>25</v>
      </c>
      <c r="J168" s="1" t="s">
        <v>25</v>
      </c>
      <c r="K168" s="1" t="s">
        <v>25</v>
      </c>
      <c r="L168" s="1" t="s">
        <v>25</v>
      </c>
      <c r="M168" s="1">
        <v>3.487688485E9</v>
      </c>
      <c r="N168" s="1" t="s">
        <v>25</v>
      </c>
      <c r="O168" s="1" t="s">
        <v>25</v>
      </c>
      <c r="P168" s="1" t="s">
        <v>25</v>
      </c>
      <c r="Q168" s="1" t="s">
        <v>25</v>
      </c>
      <c r="R168" s="1" t="s">
        <v>25</v>
      </c>
      <c r="S168" s="2">
        <v>45855.398622685185</v>
      </c>
      <c r="T168" s="2">
        <v>45855.398622685185</v>
      </c>
    </row>
    <row r="169">
      <c r="A169" s="1" t="s">
        <v>289</v>
      </c>
      <c r="B169" s="1">
        <v>2.0</v>
      </c>
      <c r="C169" s="1">
        <v>96.0</v>
      </c>
      <c r="D169" s="1">
        <v>4.2107502E7</v>
      </c>
      <c r="E169" s="1" t="s">
        <v>25</v>
      </c>
      <c r="F169" s="1" t="s">
        <v>25</v>
      </c>
      <c r="G169" s="1" t="s">
        <v>25</v>
      </c>
      <c r="H169" s="1" t="s">
        <v>25</v>
      </c>
      <c r="I169" s="1" t="s">
        <v>25</v>
      </c>
      <c r="J169" s="1" t="s">
        <v>25</v>
      </c>
      <c r="K169" s="1" t="s">
        <v>25</v>
      </c>
      <c r="L169" s="1" t="s">
        <v>25</v>
      </c>
      <c r="M169" s="1">
        <v>3.518035938E9</v>
      </c>
      <c r="N169" s="1" t="s">
        <v>25</v>
      </c>
      <c r="O169" s="1" t="s">
        <v>25</v>
      </c>
      <c r="P169" s="1" t="s">
        <v>25</v>
      </c>
      <c r="Q169" s="1" t="s">
        <v>25</v>
      </c>
      <c r="R169" s="1" t="s">
        <v>25</v>
      </c>
      <c r="S169" s="2">
        <v>45856.781377314815</v>
      </c>
      <c r="T169" s="2">
        <v>45856.781377314815</v>
      </c>
    </row>
    <row r="170">
      <c r="A170" s="1" t="s">
        <v>277</v>
      </c>
      <c r="B170" s="1">
        <v>2.0</v>
      </c>
      <c r="C170" s="1">
        <v>96.0</v>
      </c>
      <c r="D170" s="1">
        <v>1.6132249E7</v>
      </c>
      <c r="E170" s="1" t="s">
        <v>25</v>
      </c>
      <c r="F170" s="1" t="s">
        <v>25</v>
      </c>
      <c r="G170" s="1" t="s">
        <v>25</v>
      </c>
      <c r="H170" s="1" t="s">
        <v>25</v>
      </c>
      <c r="I170" s="1" t="s">
        <v>25</v>
      </c>
      <c r="J170" s="1" t="s">
        <v>25</v>
      </c>
      <c r="K170" s="1" t="s">
        <v>25</v>
      </c>
      <c r="L170" s="1" t="s">
        <v>25</v>
      </c>
      <c r="M170" s="1">
        <v>3.516274271E9</v>
      </c>
      <c r="N170" s="1" t="s">
        <v>25</v>
      </c>
      <c r="O170" s="1" t="s">
        <v>25</v>
      </c>
      <c r="P170" s="1" t="s">
        <v>25</v>
      </c>
      <c r="Q170" s="1" t="s">
        <v>25</v>
      </c>
      <c r="R170" s="1" t="s">
        <v>25</v>
      </c>
      <c r="S170" s="2">
        <v>45857.471712962964</v>
      </c>
      <c r="T170" s="2">
        <v>45857.471712962964</v>
      </c>
    </row>
    <row r="171">
      <c r="A171" s="1" t="s">
        <v>279</v>
      </c>
      <c r="B171" s="1">
        <v>1.0</v>
      </c>
      <c r="C171" s="1">
        <v>96.0</v>
      </c>
      <c r="D171" s="1">
        <v>4.0506106E7</v>
      </c>
      <c r="E171" s="1" t="s">
        <v>25</v>
      </c>
      <c r="F171" s="1" t="s">
        <v>25</v>
      </c>
      <c r="G171" s="1" t="s">
        <v>25</v>
      </c>
      <c r="H171" s="1" t="s">
        <v>25</v>
      </c>
      <c r="I171" s="1" t="s">
        <v>25</v>
      </c>
      <c r="J171" s="1" t="s">
        <v>25</v>
      </c>
      <c r="K171" s="1" t="s">
        <v>25</v>
      </c>
      <c r="L171" s="1" t="s">
        <v>25</v>
      </c>
      <c r="M171" s="1">
        <v>3.525645237E9</v>
      </c>
      <c r="N171" s="1" t="s">
        <v>25</v>
      </c>
      <c r="O171" s="1" t="s">
        <v>25</v>
      </c>
      <c r="P171" s="1" t="s">
        <v>25</v>
      </c>
      <c r="Q171" s="1" t="s">
        <v>25</v>
      </c>
      <c r="R171" s="1" t="s">
        <v>25</v>
      </c>
      <c r="S171" s="2">
        <v>45857.47903935185</v>
      </c>
      <c r="T171" s="2">
        <v>45857.47903935185</v>
      </c>
    </row>
    <row r="172">
      <c r="A172" s="1" t="s">
        <v>282</v>
      </c>
      <c r="B172" s="1">
        <v>1.0</v>
      </c>
      <c r="C172" s="1">
        <v>96.0</v>
      </c>
      <c r="D172" s="1">
        <v>2.428611E7</v>
      </c>
      <c r="E172" s="1" t="s">
        <v>25</v>
      </c>
      <c r="F172" s="1" t="s">
        <v>25</v>
      </c>
      <c r="G172" s="1" t="s">
        <v>25</v>
      </c>
      <c r="H172" s="1" t="s">
        <v>25</v>
      </c>
      <c r="I172" s="1" t="s">
        <v>25</v>
      </c>
      <c r="J172" s="1" t="s">
        <v>25</v>
      </c>
      <c r="K172" s="1" t="s">
        <v>25</v>
      </c>
      <c r="L172" s="1" t="s">
        <v>25</v>
      </c>
      <c r="M172" s="1">
        <v>3.515099506E9</v>
      </c>
      <c r="N172" s="1" t="s">
        <v>25</v>
      </c>
      <c r="O172" s="1" t="s">
        <v>25</v>
      </c>
      <c r="P172" s="1" t="s">
        <v>25</v>
      </c>
      <c r="Q172" s="1" t="s">
        <v>25</v>
      </c>
      <c r="R172" s="1" t="s">
        <v>25</v>
      </c>
      <c r="S172" s="2">
        <v>45857.49324074074</v>
      </c>
      <c r="T172" s="2">
        <v>45857.49324074074</v>
      </c>
    </row>
    <row r="173">
      <c r="A173" s="1" t="s">
        <v>283</v>
      </c>
      <c r="B173" s="1">
        <v>1.0</v>
      </c>
      <c r="C173" s="1">
        <v>96.0</v>
      </c>
      <c r="D173" s="1">
        <v>4.0400661E7</v>
      </c>
      <c r="E173" s="1" t="s">
        <v>25</v>
      </c>
      <c r="F173" s="1" t="s">
        <v>25</v>
      </c>
      <c r="G173" s="1" t="s">
        <v>25</v>
      </c>
      <c r="H173" s="1" t="s">
        <v>25</v>
      </c>
      <c r="I173" s="1" t="s">
        <v>25</v>
      </c>
      <c r="J173" s="1" t="s">
        <v>25</v>
      </c>
      <c r="K173" s="1" t="s">
        <v>25</v>
      </c>
      <c r="L173" s="1" t="s">
        <v>25</v>
      </c>
      <c r="M173" s="1">
        <v>3.512694078E9</v>
      </c>
      <c r="N173" s="1" t="s">
        <v>25</v>
      </c>
      <c r="O173" s="1" t="s">
        <v>25</v>
      </c>
      <c r="P173" s="1" t="s">
        <v>25</v>
      </c>
      <c r="Q173" s="1" t="s">
        <v>25</v>
      </c>
      <c r="R173" s="1" t="s">
        <v>25</v>
      </c>
      <c r="S173" s="2">
        <v>45857.50103009259</v>
      </c>
      <c r="T173" s="2">
        <v>45857.50103009259</v>
      </c>
    </row>
    <row r="174">
      <c r="A174" s="1" t="s">
        <v>1189</v>
      </c>
      <c r="B174" s="1">
        <v>1.0</v>
      </c>
      <c r="C174" s="1">
        <v>96.0</v>
      </c>
      <c r="D174" s="1" t="s">
        <v>1190</v>
      </c>
      <c r="E174" s="1" t="s">
        <v>25</v>
      </c>
      <c r="F174" s="1" t="s">
        <v>25</v>
      </c>
      <c r="G174" s="1" t="s">
        <v>25</v>
      </c>
      <c r="H174" s="1" t="s">
        <v>25</v>
      </c>
      <c r="I174" s="1" t="s">
        <v>25</v>
      </c>
      <c r="J174" s="1" t="s">
        <v>25</v>
      </c>
      <c r="K174" s="1" t="s">
        <v>25</v>
      </c>
      <c r="L174" s="1" t="s">
        <v>25</v>
      </c>
      <c r="M174" s="1">
        <v>3.513930785E9</v>
      </c>
      <c r="N174" s="1" t="s">
        <v>25</v>
      </c>
      <c r="O174" s="1" t="s">
        <v>25</v>
      </c>
      <c r="P174" s="1" t="s">
        <v>25</v>
      </c>
      <c r="Q174" s="1" t="s">
        <v>25</v>
      </c>
      <c r="R174" s="1" t="s">
        <v>25</v>
      </c>
      <c r="S174" s="2">
        <v>45857.51427083334</v>
      </c>
      <c r="T174" s="2">
        <v>45857.51427083334</v>
      </c>
    </row>
    <row r="175">
      <c r="A175" s="1" t="s">
        <v>284</v>
      </c>
      <c r="B175" s="1">
        <v>1.0</v>
      </c>
      <c r="C175" s="1">
        <v>96.0</v>
      </c>
      <c r="D175" s="1" t="s">
        <v>1190</v>
      </c>
      <c r="E175" s="1" t="s">
        <v>25</v>
      </c>
      <c r="F175" s="1" t="s">
        <v>25</v>
      </c>
      <c r="G175" s="1" t="s">
        <v>25</v>
      </c>
      <c r="H175" s="1" t="s">
        <v>25</v>
      </c>
      <c r="I175" s="1" t="s">
        <v>25</v>
      </c>
      <c r="J175" s="1" t="s">
        <v>25</v>
      </c>
      <c r="K175" s="1" t="s">
        <v>25</v>
      </c>
      <c r="L175" s="1" t="s">
        <v>25</v>
      </c>
      <c r="M175" s="1" t="s">
        <v>1191</v>
      </c>
      <c r="N175" s="1" t="s">
        <v>25</v>
      </c>
      <c r="O175" s="1" t="s">
        <v>25</v>
      </c>
      <c r="P175" s="1" t="s">
        <v>25</v>
      </c>
      <c r="Q175" s="1" t="s">
        <v>25</v>
      </c>
      <c r="R175" s="1" t="s">
        <v>25</v>
      </c>
      <c r="S175" s="2">
        <v>45857.51482638889</v>
      </c>
      <c r="T175" s="2">
        <v>45857.51482638889</v>
      </c>
    </row>
    <row r="176">
      <c r="A176" s="1" t="s">
        <v>288</v>
      </c>
      <c r="B176" s="1">
        <v>1.0</v>
      </c>
      <c r="C176" s="1">
        <v>96.0</v>
      </c>
      <c r="D176" s="1">
        <v>1.6293375E7</v>
      </c>
      <c r="E176" s="1" t="s">
        <v>25</v>
      </c>
      <c r="F176" s="1" t="s">
        <v>25</v>
      </c>
      <c r="G176" s="1" t="s">
        <v>25</v>
      </c>
      <c r="H176" s="1" t="s">
        <v>25</v>
      </c>
      <c r="I176" s="1" t="s">
        <v>25</v>
      </c>
      <c r="J176" s="1" t="s">
        <v>25</v>
      </c>
      <c r="K176" s="1" t="s">
        <v>25</v>
      </c>
      <c r="L176" s="1" t="s">
        <v>25</v>
      </c>
      <c r="M176" s="1">
        <v>3.51356932E9</v>
      </c>
      <c r="N176" s="1" t="s">
        <v>25</v>
      </c>
      <c r="O176" s="1" t="s">
        <v>25</v>
      </c>
      <c r="P176" s="1" t="s">
        <v>25</v>
      </c>
      <c r="Q176" s="1" t="s">
        <v>25</v>
      </c>
      <c r="R176" s="1" t="s">
        <v>25</v>
      </c>
      <c r="S176" s="2">
        <v>45857.52342592592</v>
      </c>
      <c r="T176" s="2">
        <v>45857.52342592592</v>
      </c>
    </row>
    <row r="177">
      <c r="A177" s="1" t="s">
        <v>291</v>
      </c>
      <c r="B177" s="1">
        <v>1.0</v>
      </c>
      <c r="C177" s="1">
        <v>96.0</v>
      </c>
      <c r="D177" s="1">
        <v>4.2160468E7</v>
      </c>
      <c r="E177" s="1" t="s">
        <v>25</v>
      </c>
      <c r="F177" s="1" t="s">
        <v>25</v>
      </c>
      <c r="G177" s="1" t="s">
        <v>25</v>
      </c>
      <c r="H177" s="1" t="s">
        <v>25</v>
      </c>
      <c r="I177" s="1" t="s">
        <v>25</v>
      </c>
      <c r="J177" s="1" t="s">
        <v>25</v>
      </c>
      <c r="K177" s="1" t="s">
        <v>25</v>
      </c>
      <c r="L177" s="1" t="s">
        <v>25</v>
      </c>
      <c r="M177" s="1">
        <v>3.512345403E9</v>
      </c>
      <c r="N177" s="1" t="s">
        <v>1192</v>
      </c>
      <c r="O177" s="1" t="s">
        <v>25</v>
      </c>
      <c r="P177" s="1" t="s">
        <v>25</v>
      </c>
      <c r="Q177" s="1" t="s">
        <v>25</v>
      </c>
      <c r="R177" s="1" t="s">
        <v>25</v>
      </c>
      <c r="S177" s="2">
        <v>45857.52893518518</v>
      </c>
      <c r="T177" s="2">
        <v>45857.52893518518</v>
      </c>
    </row>
    <row r="178">
      <c r="A178" s="1" t="s">
        <v>292</v>
      </c>
      <c r="B178" s="1">
        <v>2.0</v>
      </c>
      <c r="C178" s="1">
        <v>96.0</v>
      </c>
      <c r="D178" s="1">
        <v>4.4971348E7</v>
      </c>
      <c r="E178" s="1" t="s">
        <v>25</v>
      </c>
      <c r="F178" s="1" t="s">
        <v>25</v>
      </c>
      <c r="G178" s="1" t="s">
        <v>25</v>
      </c>
      <c r="H178" s="1" t="s">
        <v>25</v>
      </c>
      <c r="I178" s="1" t="s">
        <v>25</v>
      </c>
      <c r="J178" s="1" t="s">
        <v>25</v>
      </c>
      <c r="K178" s="1" t="s">
        <v>25</v>
      </c>
      <c r="L178" s="1" t="s">
        <v>25</v>
      </c>
      <c r="M178" s="1">
        <v>3.516593528E9</v>
      </c>
      <c r="N178" s="1" t="s">
        <v>25</v>
      </c>
      <c r="O178" s="1" t="s">
        <v>25</v>
      </c>
      <c r="P178" s="1" t="s">
        <v>25</v>
      </c>
      <c r="Q178" s="1" t="s">
        <v>25</v>
      </c>
      <c r="R178" s="1" t="s">
        <v>25</v>
      </c>
      <c r="S178" s="2">
        <v>45857.556238425925</v>
      </c>
      <c r="T178" s="2">
        <v>45857.556238425925</v>
      </c>
    </row>
    <row r="179">
      <c r="A179" s="1" t="s">
        <v>1193</v>
      </c>
      <c r="B179" s="1">
        <v>2.0</v>
      </c>
      <c r="C179" s="1">
        <v>96.0</v>
      </c>
      <c r="D179" s="1">
        <v>1.2744598E7</v>
      </c>
      <c r="E179" s="1" t="s">
        <v>25</v>
      </c>
      <c r="F179" s="1" t="s">
        <v>25</v>
      </c>
      <c r="G179" s="1" t="s">
        <v>25</v>
      </c>
      <c r="H179" s="1" t="s">
        <v>25</v>
      </c>
      <c r="I179" s="1" t="s">
        <v>25</v>
      </c>
      <c r="J179" s="1" t="s">
        <v>25</v>
      </c>
      <c r="K179" s="1" t="s">
        <v>25</v>
      </c>
      <c r="L179" s="1" t="s">
        <v>25</v>
      </c>
      <c r="M179" s="1">
        <v>3.515731415E9</v>
      </c>
      <c r="N179" s="1" t="s">
        <v>25</v>
      </c>
      <c r="O179" s="1" t="s">
        <v>25</v>
      </c>
      <c r="P179" s="1" t="s">
        <v>25</v>
      </c>
      <c r="Q179" s="1" t="s">
        <v>25</v>
      </c>
      <c r="R179" s="1" t="s">
        <v>25</v>
      </c>
      <c r="S179" s="2">
        <v>45859.5371875</v>
      </c>
      <c r="T179" s="2">
        <v>45859.5371875</v>
      </c>
    </row>
    <row r="180">
      <c r="A180" s="1" t="s">
        <v>293</v>
      </c>
      <c r="B180" s="1">
        <v>1.0</v>
      </c>
      <c r="C180" s="1">
        <v>96.0</v>
      </c>
      <c r="D180" s="1">
        <v>6492400.0</v>
      </c>
      <c r="E180" s="1" t="s">
        <v>25</v>
      </c>
      <c r="F180" s="1" t="s">
        <v>25</v>
      </c>
      <c r="G180" s="1" t="s">
        <v>25</v>
      </c>
      <c r="H180" s="1" t="s">
        <v>25</v>
      </c>
      <c r="I180" s="1" t="s">
        <v>25</v>
      </c>
      <c r="J180" s="1" t="s">
        <v>25</v>
      </c>
      <c r="K180" s="1" t="s">
        <v>25</v>
      </c>
      <c r="L180" s="1" t="s">
        <v>25</v>
      </c>
      <c r="M180" s="1">
        <v>3.51156888647E11</v>
      </c>
      <c r="N180" s="1" t="s">
        <v>25</v>
      </c>
      <c r="O180" s="1" t="s">
        <v>25</v>
      </c>
      <c r="P180" s="1" t="s">
        <v>25</v>
      </c>
      <c r="Q180" s="1" t="s">
        <v>25</v>
      </c>
      <c r="R180" s="1" t="s">
        <v>25</v>
      </c>
      <c r="S180" s="2">
        <v>45860.512777777774</v>
      </c>
      <c r="T180" s="2">
        <v>45860.512777777774</v>
      </c>
    </row>
    <row r="181">
      <c r="A181" s="1" t="s">
        <v>294</v>
      </c>
      <c r="B181" s="1">
        <v>2.0</v>
      </c>
      <c r="C181" s="1">
        <v>96.0</v>
      </c>
      <c r="D181" s="1">
        <v>4.9497303E7</v>
      </c>
      <c r="E181" s="1" t="s">
        <v>25</v>
      </c>
      <c r="F181" s="1" t="s">
        <v>25</v>
      </c>
      <c r="G181" s="1" t="s">
        <v>25</v>
      </c>
      <c r="H181" s="1" t="s">
        <v>25</v>
      </c>
      <c r="I181" s="1" t="s">
        <v>25</v>
      </c>
      <c r="J181" s="1" t="s">
        <v>25</v>
      </c>
      <c r="K181" s="1" t="s">
        <v>25</v>
      </c>
      <c r="L181" s="1" t="s">
        <v>25</v>
      </c>
      <c r="M181" s="1" t="s">
        <v>1194</v>
      </c>
      <c r="N181" s="1" t="s">
        <v>25</v>
      </c>
      <c r="O181" s="1" t="s">
        <v>25</v>
      </c>
      <c r="P181" s="1" t="s">
        <v>25</v>
      </c>
      <c r="Q181" s="1" t="s">
        <v>25</v>
      </c>
      <c r="R181" s="1" t="s">
        <v>25</v>
      </c>
      <c r="S181" s="2">
        <v>45860.720717592594</v>
      </c>
      <c r="T181" s="2">
        <v>45860.720717592594</v>
      </c>
    </row>
    <row r="182">
      <c r="A182" s="1" t="s">
        <v>295</v>
      </c>
      <c r="B182" s="1">
        <v>1.0</v>
      </c>
      <c r="C182" s="1">
        <v>96.0</v>
      </c>
      <c r="D182" s="1">
        <v>3.6436549E7</v>
      </c>
      <c r="E182" s="1" t="s">
        <v>25</v>
      </c>
      <c r="F182" s="1" t="s">
        <v>25</v>
      </c>
      <c r="G182" s="1" t="s">
        <v>25</v>
      </c>
      <c r="H182" s="1" t="s">
        <v>25</v>
      </c>
      <c r="I182" s="1" t="s">
        <v>1195</v>
      </c>
      <c r="J182" s="1" t="s">
        <v>25</v>
      </c>
      <c r="K182" s="1">
        <v>348.0</v>
      </c>
      <c r="L182" s="1">
        <v>13.0</v>
      </c>
      <c r="M182" s="1">
        <v>3.804343689E9</v>
      </c>
      <c r="N182" s="1" t="s">
        <v>25</v>
      </c>
      <c r="O182" s="1" t="s">
        <v>25</v>
      </c>
      <c r="P182" s="1" t="s">
        <v>25</v>
      </c>
      <c r="Q182" s="1" t="s">
        <v>25</v>
      </c>
      <c r="R182" s="1" t="s">
        <v>1196</v>
      </c>
      <c r="S182" s="2">
        <v>45860.75675925926</v>
      </c>
      <c r="T182" s="2">
        <v>45860.75675925926</v>
      </c>
    </row>
    <row r="183">
      <c r="A183" s="1" t="s">
        <v>297</v>
      </c>
      <c r="B183" s="1">
        <v>1.0</v>
      </c>
      <c r="C183" s="1">
        <v>96.0</v>
      </c>
      <c r="D183" s="1">
        <v>2.4770386E7</v>
      </c>
      <c r="E183" s="1" t="s">
        <v>25</v>
      </c>
      <c r="F183" s="1" t="s">
        <v>25</v>
      </c>
      <c r="G183" s="1" t="s">
        <v>25</v>
      </c>
      <c r="H183" s="1" t="s">
        <v>25</v>
      </c>
      <c r="I183" s="1" t="s">
        <v>25</v>
      </c>
      <c r="J183" s="1" t="s">
        <v>25</v>
      </c>
      <c r="K183" s="1" t="s">
        <v>25</v>
      </c>
      <c r="L183" s="1" t="s">
        <v>25</v>
      </c>
      <c r="M183" s="1">
        <v>3.512341785E9</v>
      </c>
      <c r="N183" s="1" t="s">
        <v>25</v>
      </c>
      <c r="O183" s="1" t="s">
        <v>25</v>
      </c>
      <c r="P183" s="1" t="s">
        <v>25</v>
      </c>
      <c r="Q183" s="1" t="s">
        <v>25</v>
      </c>
      <c r="R183" s="1" t="s">
        <v>25</v>
      </c>
      <c r="S183" s="2">
        <v>45860.8178125</v>
      </c>
      <c r="T183" s="2">
        <v>45860.8178125</v>
      </c>
    </row>
    <row r="184">
      <c r="A184" s="1" t="s">
        <v>298</v>
      </c>
      <c r="B184" s="1">
        <v>1.0</v>
      </c>
      <c r="C184" s="1">
        <v>96.0</v>
      </c>
      <c r="D184" s="1">
        <v>4.7662602E7</v>
      </c>
      <c r="E184" s="1" t="s">
        <v>25</v>
      </c>
      <c r="F184" s="1" t="s">
        <v>25</v>
      </c>
      <c r="G184" s="1" t="s">
        <v>25</v>
      </c>
      <c r="H184" s="1" t="s">
        <v>25</v>
      </c>
      <c r="I184" s="1" t="s">
        <v>25</v>
      </c>
      <c r="J184" s="1" t="s">
        <v>25</v>
      </c>
      <c r="K184" s="1" t="s">
        <v>25</v>
      </c>
      <c r="L184" s="1" t="s">
        <v>25</v>
      </c>
      <c r="M184" s="1">
        <v>3.51860706E9</v>
      </c>
      <c r="N184" s="1" t="s">
        <v>25</v>
      </c>
      <c r="O184" s="1" t="s">
        <v>25</v>
      </c>
      <c r="P184" s="1" t="s">
        <v>25</v>
      </c>
      <c r="Q184" s="1" t="s">
        <v>25</v>
      </c>
      <c r="R184" s="1" t="s">
        <v>25</v>
      </c>
      <c r="S184" s="2">
        <v>45861.705509259256</v>
      </c>
      <c r="T184" s="2">
        <v>45861.705509259256</v>
      </c>
    </row>
    <row r="185">
      <c r="A185" s="1" t="s">
        <v>300</v>
      </c>
      <c r="B185" s="1">
        <v>2.0</v>
      </c>
      <c r="C185" s="1">
        <v>96.0</v>
      </c>
      <c r="D185" s="1">
        <v>4.9386215E7</v>
      </c>
      <c r="E185" s="1" t="s">
        <v>25</v>
      </c>
      <c r="F185" s="1" t="s">
        <v>25</v>
      </c>
      <c r="G185" s="1" t="s">
        <v>25</v>
      </c>
      <c r="H185" s="1" t="s">
        <v>25</v>
      </c>
      <c r="I185" s="1" t="s">
        <v>25</v>
      </c>
      <c r="J185" s="1" t="s">
        <v>25</v>
      </c>
      <c r="K185" s="1" t="s">
        <v>25</v>
      </c>
      <c r="L185" s="1" t="s">
        <v>25</v>
      </c>
      <c r="M185" s="1">
        <v>3.516151721E9</v>
      </c>
      <c r="N185" s="1" t="s">
        <v>25</v>
      </c>
      <c r="O185" s="1" t="s">
        <v>25</v>
      </c>
      <c r="P185" s="1" t="s">
        <v>25</v>
      </c>
      <c r="Q185" s="1" t="s">
        <v>25</v>
      </c>
      <c r="R185" s="1" t="s">
        <v>25</v>
      </c>
      <c r="S185" s="2">
        <v>45861.78876157408</v>
      </c>
      <c r="T185" s="2">
        <v>45861.78876157408</v>
      </c>
    </row>
    <row r="186">
      <c r="A186" s="1" t="s">
        <v>1197</v>
      </c>
      <c r="B186" s="1">
        <v>1.0</v>
      </c>
      <c r="C186" s="1">
        <v>96.0</v>
      </c>
      <c r="D186" s="1">
        <v>2.842857E7</v>
      </c>
      <c r="E186" s="1" t="s">
        <v>25</v>
      </c>
      <c r="F186" s="1" t="s">
        <v>25</v>
      </c>
      <c r="G186" s="1" t="s">
        <v>25</v>
      </c>
      <c r="H186" s="1" t="s">
        <v>25</v>
      </c>
      <c r="I186" s="1" t="s">
        <v>25</v>
      </c>
      <c r="J186" s="1" t="s">
        <v>25</v>
      </c>
      <c r="K186" s="1" t="s">
        <v>25</v>
      </c>
      <c r="L186" s="1" t="s">
        <v>25</v>
      </c>
      <c r="M186" s="1">
        <v>3.513784095E9</v>
      </c>
      <c r="N186" s="1" t="s">
        <v>25</v>
      </c>
      <c r="O186" s="1" t="s">
        <v>25</v>
      </c>
      <c r="P186" s="1" t="s">
        <v>25</v>
      </c>
      <c r="Q186" s="1">
        <v>2.0</v>
      </c>
      <c r="R186" s="1" t="s">
        <v>25</v>
      </c>
      <c r="S186" s="2">
        <v>45862.5303587963</v>
      </c>
      <c r="T186" s="2">
        <v>45862.5303587963</v>
      </c>
    </row>
    <row r="187">
      <c r="A187" s="1" t="s">
        <v>304</v>
      </c>
      <c r="B187" s="1" t="s">
        <v>25</v>
      </c>
      <c r="C187" s="1">
        <v>96.0</v>
      </c>
      <c r="D187" s="1">
        <v>4.508112E7</v>
      </c>
      <c r="E187" s="1" t="s">
        <v>25</v>
      </c>
      <c r="F187" s="1" t="s">
        <v>25</v>
      </c>
      <c r="G187" s="1" t="s">
        <v>25</v>
      </c>
      <c r="H187" s="1" t="s">
        <v>25</v>
      </c>
      <c r="I187" s="1" t="s">
        <v>25</v>
      </c>
      <c r="J187" s="1" t="s">
        <v>25</v>
      </c>
      <c r="K187" s="1" t="s">
        <v>25</v>
      </c>
      <c r="L187" s="1" t="s">
        <v>25</v>
      </c>
      <c r="M187" s="1">
        <v>3.512014305E9</v>
      </c>
      <c r="N187" s="1" t="s">
        <v>25</v>
      </c>
      <c r="O187" s="1" t="s">
        <v>25</v>
      </c>
      <c r="P187" s="1" t="s">
        <v>25</v>
      </c>
      <c r="Q187" s="1">
        <v>2.0</v>
      </c>
      <c r="R187" s="1" t="s">
        <v>25</v>
      </c>
      <c r="S187" s="2">
        <v>45862.53077546296</v>
      </c>
      <c r="T187" s="2">
        <v>45862.53077546296</v>
      </c>
    </row>
    <row r="188">
      <c r="A188" s="1" t="s">
        <v>305</v>
      </c>
      <c r="B188" s="1">
        <v>1.0</v>
      </c>
      <c r="C188" s="1" t="s">
        <v>25</v>
      </c>
      <c r="D188" s="1">
        <v>1.3372325E7</v>
      </c>
      <c r="E188" s="1" t="s">
        <v>25</v>
      </c>
      <c r="F188" s="1" t="s">
        <v>25</v>
      </c>
      <c r="G188" s="1" t="s">
        <v>25</v>
      </c>
      <c r="H188" s="1" t="s">
        <v>25</v>
      </c>
      <c r="I188" s="1" t="s">
        <v>25</v>
      </c>
      <c r="J188" s="1" t="s">
        <v>25</v>
      </c>
      <c r="K188" s="1" t="s">
        <v>25</v>
      </c>
      <c r="L188" s="1" t="s">
        <v>25</v>
      </c>
      <c r="M188" s="1">
        <v>3.513253344E9</v>
      </c>
      <c r="N188" s="1" t="s">
        <v>25</v>
      </c>
      <c r="O188" s="1" t="s">
        <v>25</v>
      </c>
      <c r="P188" s="1" t="s">
        <v>25</v>
      </c>
      <c r="Q188" s="1" t="s">
        <v>25</v>
      </c>
      <c r="R188" s="1" t="s">
        <v>25</v>
      </c>
      <c r="S188" s="2">
        <v>45862.69329861111</v>
      </c>
      <c r="T188" s="2">
        <v>45862.69329861111</v>
      </c>
    </row>
    <row r="189">
      <c r="A189" s="1" t="s">
        <v>301</v>
      </c>
      <c r="B189" s="1">
        <v>1.0</v>
      </c>
      <c r="C189" s="1">
        <v>96.0</v>
      </c>
      <c r="D189" s="1">
        <v>3.5991286E7</v>
      </c>
      <c r="E189" s="1" t="s">
        <v>25</v>
      </c>
      <c r="F189" s="1" t="s">
        <v>25</v>
      </c>
      <c r="G189" s="1" t="s">
        <v>25</v>
      </c>
      <c r="H189" s="1" t="s">
        <v>25</v>
      </c>
      <c r="I189" s="1" t="s">
        <v>25</v>
      </c>
      <c r="J189" s="1" t="s">
        <v>25</v>
      </c>
      <c r="K189" s="1" t="s">
        <v>25</v>
      </c>
      <c r="L189" s="1" t="s">
        <v>25</v>
      </c>
      <c r="M189" s="1">
        <v>3.516831777E9</v>
      </c>
      <c r="N189" s="1" t="s">
        <v>25</v>
      </c>
      <c r="O189" s="1" t="s">
        <v>25</v>
      </c>
      <c r="P189" s="1" t="s">
        <v>25</v>
      </c>
      <c r="Q189" s="1" t="s">
        <v>25</v>
      </c>
      <c r="R189" s="1" t="s">
        <v>25</v>
      </c>
      <c r="S189" s="2">
        <v>45862.81395833333</v>
      </c>
      <c r="T189" s="2">
        <v>45862.81395833333</v>
      </c>
    </row>
    <row r="190">
      <c r="A190" s="1" t="s">
        <v>302</v>
      </c>
      <c r="B190" s="1">
        <v>1.0</v>
      </c>
      <c r="C190" s="1">
        <v>96.0</v>
      </c>
      <c r="D190" s="1">
        <v>2.5919355E7</v>
      </c>
      <c r="E190" s="1" t="s">
        <v>25</v>
      </c>
      <c r="F190" s="1" t="s">
        <v>25</v>
      </c>
      <c r="G190" s="1" t="s">
        <v>25</v>
      </c>
      <c r="H190" s="1" t="s">
        <v>25</v>
      </c>
      <c r="I190" s="1" t="s">
        <v>25</v>
      </c>
      <c r="J190" s="1" t="s">
        <v>25</v>
      </c>
      <c r="K190" s="1" t="s">
        <v>25</v>
      </c>
      <c r="L190" s="1" t="s">
        <v>25</v>
      </c>
      <c r="M190" s="1">
        <v>3.515134484E9</v>
      </c>
      <c r="N190" s="1" t="s">
        <v>25</v>
      </c>
      <c r="O190" s="1" t="s">
        <v>25</v>
      </c>
      <c r="P190" s="1" t="s">
        <v>25</v>
      </c>
      <c r="Q190" s="1" t="s">
        <v>25</v>
      </c>
      <c r="R190" s="1" t="s">
        <v>25</v>
      </c>
      <c r="S190" s="2">
        <v>45863.69771990741</v>
      </c>
      <c r="T190" s="2">
        <v>45863.69771990741</v>
      </c>
    </row>
    <row r="191">
      <c r="A191" s="1" t="s">
        <v>303</v>
      </c>
      <c r="B191" s="1">
        <v>1.0</v>
      </c>
      <c r="C191" s="1">
        <v>96.0</v>
      </c>
      <c r="D191" s="1">
        <v>2.771765E7</v>
      </c>
      <c r="E191" s="1" t="s">
        <v>25</v>
      </c>
      <c r="F191" s="1" t="s">
        <v>25</v>
      </c>
      <c r="G191" s="1" t="s">
        <v>25</v>
      </c>
      <c r="H191" s="1" t="s">
        <v>25</v>
      </c>
      <c r="I191" s="1" t="s">
        <v>25</v>
      </c>
      <c r="J191" s="1" t="s">
        <v>25</v>
      </c>
      <c r="K191" s="1" t="s">
        <v>25</v>
      </c>
      <c r="L191" s="1" t="s">
        <v>25</v>
      </c>
      <c r="M191" s="1">
        <v>3.834407548E9</v>
      </c>
      <c r="N191" s="1" t="s">
        <v>25</v>
      </c>
      <c r="O191" s="1" t="s">
        <v>25</v>
      </c>
      <c r="P191" s="1" t="s">
        <v>25</v>
      </c>
      <c r="Q191" s="1" t="s">
        <v>25</v>
      </c>
      <c r="R191" s="1" t="s">
        <v>25</v>
      </c>
      <c r="S191" s="2">
        <v>45864.4425462963</v>
      </c>
      <c r="T191" s="2">
        <v>45864.4425462963</v>
      </c>
    </row>
    <row r="192">
      <c r="A192" s="1" t="s">
        <v>1198</v>
      </c>
      <c r="B192" s="1">
        <v>1.0</v>
      </c>
      <c r="C192" s="1">
        <v>96.0</v>
      </c>
      <c r="D192" s="1">
        <v>9.420982E7</v>
      </c>
      <c r="E192" s="1" t="s">
        <v>25</v>
      </c>
      <c r="F192" s="1" t="s">
        <v>25</v>
      </c>
      <c r="G192" s="1" t="s">
        <v>25</v>
      </c>
      <c r="H192" s="1" t="s">
        <v>25</v>
      </c>
      <c r="I192" s="1" t="s">
        <v>25</v>
      </c>
      <c r="J192" s="1" t="s">
        <v>25</v>
      </c>
      <c r="K192" s="1" t="s">
        <v>25</v>
      </c>
      <c r="L192" s="1" t="s">
        <v>25</v>
      </c>
      <c r="M192" s="1">
        <v>3.516656041E9</v>
      </c>
      <c r="N192" s="1" t="s">
        <v>25</v>
      </c>
      <c r="O192" s="1" t="s">
        <v>25</v>
      </c>
      <c r="P192" s="1" t="s">
        <v>25</v>
      </c>
      <c r="Q192" s="1" t="s">
        <v>25</v>
      </c>
      <c r="R192" s="1" t="s">
        <v>25</v>
      </c>
      <c r="S192" s="2">
        <v>45866.75908564815</v>
      </c>
      <c r="T192" s="2">
        <v>45866.75908564815</v>
      </c>
    </row>
    <row r="193">
      <c r="A193" s="1" t="s">
        <v>1199</v>
      </c>
      <c r="B193" s="1">
        <v>1.0</v>
      </c>
      <c r="C193" s="1">
        <v>96.0</v>
      </c>
      <c r="D193" s="1">
        <v>4.6884398E7</v>
      </c>
      <c r="E193" s="1" t="s">
        <v>25</v>
      </c>
      <c r="F193" s="1" t="s">
        <v>25</v>
      </c>
      <c r="G193" s="1" t="s">
        <v>25</v>
      </c>
      <c r="H193" s="1" t="s">
        <v>25</v>
      </c>
      <c r="I193" s="1" t="s">
        <v>25</v>
      </c>
      <c r="J193" s="1" t="s">
        <v>25</v>
      </c>
      <c r="K193" s="1" t="s">
        <v>25</v>
      </c>
      <c r="L193" s="1" t="s">
        <v>25</v>
      </c>
      <c r="M193" s="1">
        <v>3.512080403E9</v>
      </c>
      <c r="N193" s="1" t="s">
        <v>25</v>
      </c>
      <c r="O193" s="1" t="s">
        <v>25</v>
      </c>
      <c r="P193" s="1" t="s">
        <v>25</v>
      </c>
      <c r="Q193" s="1" t="s">
        <v>25</v>
      </c>
      <c r="R193" s="1" t="s">
        <v>1161</v>
      </c>
      <c r="S193" s="2">
        <v>45866.762291666666</v>
      </c>
      <c r="T193" s="2">
        <v>45866.762291666666</v>
      </c>
    </row>
    <row r="194">
      <c r="A194" s="1" t="s">
        <v>306</v>
      </c>
      <c r="B194" s="1">
        <v>1.0</v>
      </c>
      <c r="C194" s="1">
        <v>96.0</v>
      </c>
      <c r="D194" s="1">
        <v>4.0300177E7</v>
      </c>
      <c r="E194" s="1" t="s">
        <v>25</v>
      </c>
      <c r="F194" s="1" t="s">
        <v>25</v>
      </c>
      <c r="G194" s="1" t="s">
        <v>25</v>
      </c>
      <c r="H194" s="1" t="s">
        <v>25</v>
      </c>
      <c r="I194" s="1" t="s">
        <v>1200</v>
      </c>
      <c r="J194" s="1" t="s">
        <v>25</v>
      </c>
      <c r="K194" s="1" t="s">
        <v>25</v>
      </c>
      <c r="L194" s="1" t="s">
        <v>25</v>
      </c>
      <c r="M194" s="1" t="s">
        <v>1201</v>
      </c>
      <c r="N194" s="1" t="s">
        <v>1202</v>
      </c>
      <c r="O194" s="1" t="s">
        <v>25</v>
      </c>
      <c r="P194" s="1" t="s">
        <v>25</v>
      </c>
      <c r="Q194" s="1" t="s">
        <v>25</v>
      </c>
      <c r="R194" s="1" t="s">
        <v>25</v>
      </c>
      <c r="S194" s="2">
        <v>45867.71664351852</v>
      </c>
      <c r="T194" s="2">
        <v>45867.71664351852</v>
      </c>
    </row>
    <row r="195">
      <c r="A195" s="1" t="s">
        <v>307</v>
      </c>
      <c r="B195" s="1">
        <v>1.0</v>
      </c>
      <c r="C195" s="1">
        <v>96.0</v>
      </c>
      <c r="D195" s="1">
        <v>3.5575108E7</v>
      </c>
      <c r="E195" s="1" t="s">
        <v>25</v>
      </c>
      <c r="F195" s="1" t="s">
        <v>25</v>
      </c>
      <c r="G195" s="1" t="s">
        <v>25</v>
      </c>
      <c r="H195" s="1" t="s">
        <v>25</v>
      </c>
      <c r="I195" s="1" t="s">
        <v>25</v>
      </c>
      <c r="J195" s="1" t="s">
        <v>25</v>
      </c>
      <c r="K195" s="1" t="s">
        <v>25</v>
      </c>
      <c r="L195" s="1" t="s">
        <v>25</v>
      </c>
      <c r="M195" s="1">
        <v>3.516871258E9</v>
      </c>
      <c r="N195" s="1" t="s">
        <v>25</v>
      </c>
      <c r="O195" s="1" t="s">
        <v>25</v>
      </c>
      <c r="P195" s="1" t="s">
        <v>25</v>
      </c>
      <c r="Q195" s="1" t="s">
        <v>25</v>
      </c>
      <c r="R195" s="1" t="s">
        <v>25</v>
      </c>
      <c r="S195" s="2">
        <v>45867.75133101852</v>
      </c>
      <c r="T195" s="2">
        <v>45867.75133101852</v>
      </c>
    </row>
    <row r="196">
      <c r="A196" s="1" t="s">
        <v>308</v>
      </c>
      <c r="B196" s="1">
        <v>1.0</v>
      </c>
      <c r="C196" s="1">
        <v>96.0</v>
      </c>
      <c r="D196" s="1">
        <v>4.2915427E7</v>
      </c>
      <c r="E196" s="1" t="s">
        <v>25</v>
      </c>
      <c r="F196" s="1" t="s">
        <v>25</v>
      </c>
      <c r="G196" s="1" t="s">
        <v>25</v>
      </c>
      <c r="H196" s="1" t="s">
        <v>25</v>
      </c>
      <c r="I196" s="1" t="s">
        <v>25</v>
      </c>
      <c r="J196" s="1" t="s">
        <v>25</v>
      </c>
      <c r="K196" s="1" t="s">
        <v>25</v>
      </c>
      <c r="L196" s="1" t="s">
        <v>25</v>
      </c>
      <c r="M196" s="1" t="s">
        <v>1203</v>
      </c>
      <c r="N196" s="1" t="s">
        <v>25</v>
      </c>
      <c r="O196" s="1" t="s">
        <v>25</v>
      </c>
      <c r="P196" s="1" t="s">
        <v>25</v>
      </c>
      <c r="Q196" s="1" t="s">
        <v>25</v>
      </c>
      <c r="R196" s="1" t="s">
        <v>25</v>
      </c>
      <c r="S196" s="2">
        <v>45867.82277777778</v>
      </c>
      <c r="T196" s="2">
        <v>45867.82277777778</v>
      </c>
    </row>
    <row r="197">
      <c r="A197" s="1" t="s">
        <v>309</v>
      </c>
      <c r="B197" s="1">
        <v>1.0</v>
      </c>
      <c r="C197" s="1">
        <v>96.0</v>
      </c>
      <c r="D197" s="1" t="s">
        <v>1190</v>
      </c>
      <c r="E197" s="1" t="s">
        <v>25</v>
      </c>
      <c r="F197" s="1" t="s">
        <v>25</v>
      </c>
      <c r="G197" s="1" t="s">
        <v>25</v>
      </c>
      <c r="H197" s="1" t="s">
        <v>25</v>
      </c>
      <c r="I197" s="1" t="s">
        <v>25</v>
      </c>
      <c r="J197" s="1" t="s">
        <v>25</v>
      </c>
      <c r="K197" s="1" t="s">
        <v>25</v>
      </c>
      <c r="L197" s="1" t="s">
        <v>25</v>
      </c>
      <c r="M197" s="1">
        <v>3.576466556E9</v>
      </c>
      <c r="N197" s="1" t="s">
        <v>25</v>
      </c>
      <c r="O197" s="1" t="s">
        <v>25</v>
      </c>
      <c r="P197" s="1" t="s">
        <v>25</v>
      </c>
      <c r="Q197" s="1" t="s">
        <v>25</v>
      </c>
      <c r="R197" s="1" t="s">
        <v>25</v>
      </c>
      <c r="S197" s="2">
        <v>45868.568333333336</v>
      </c>
      <c r="T197" s="2">
        <v>45868.568333333336</v>
      </c>
    </row>
    <row r="198">
      <c r="A198" s="1" t="s">
        <v>311</v>
      </c>
      <c r="B198" s="1">
        <v>2.0</v>
      </c>
      <c r="C198" s="1">
        <v>96.0</v>
      </c>
      <c r="D198" s="1">
        <v>1.0822439E7</v>
      </c>
      <c r="E198" s="1" t="s">
        <v>25</v>
      </c>
      <c r="F198" s="1" t="s">
        <v>25</v>
      </c>
      <c r="G198" s="1" t="s">
        <v>25</v>
      </c>
      <c r="H198" s="1" t="s">
        <v>25</v>
      </c>
      <c r="I198" s="1" t="s">
        <v>25</v>
      </c>
      <c r="J198" s="1" t="s">
        <v>25</v>
      </c>
      <c r="K198" s="1" t="s">
        <v>25</v>
      </c>
      <c r="L198" s="1" t="s">
        <v>25</v>
      </c>
      <c r="M198" s="1">
        <v>3.576470766E9</v>
      </c>
      <c r="N198" s="1" t="s">
        <v>25</v>
      </c>
      <c r="O198" s="1" t="s">
        <v>25</v>
      </c>
      <c r="P198" s="1" t="s">
        <v>25</v>
      </c>
      <c r="Q198" s="1" t="s">
        <v>25</v>
      </c>
      <c r="R198" s="1" t="s">
        <v>25</v>
      </c>
      <c r="S198" s="2">
        <v>45868.57512731481</v>
      </c>
      <c r="T198" s="2">
        <v>45868.57512731481</v>
      </c>
    </row>
    <row r="199">
      <c r="A199" s="1" t="s">
        <v>313</v>
      </c>
      <c r="B199" s="1">
        <v>1.0</v>
      </c>
      <c r="C199" s="1">
        <v>96.0</v>
      </c>
      <c r="D199" s="1">
        <v>3.6306714E7</v>
      </c>
      <c r="E199" s="1" t="s">
        <v>25</v>
      </c>
      <c r="F199" s="1" t="s">
        <v>25</v>
      </c>
      <c r="G199" s="1" t="s">
        <v>25</v>
      </c>
      <c r="H199" s="1" t="s">
        <v>25</v>
      </c>
      <c r="I199" s="1" t="s">
        <v>25</v>
      </c>
      <c r="J199" s="1" t="s">
        <v>25</v>
      </c>
      <c r="K199" s="1" t="s">
        <v>25</v>
      </c>
      <c r="L199" s="1" t="s">
        <v>25</v>
      </c>
      <c r="M199" s="1">
        <v>3.816011648E9</v>
      </c>
      <c r="N199" s="1" t="s">
        <v>25</v>
      </c>
      <c r="O199" s="1" t="s">
        <v>25</v>
      </c>
      <c r="P199" s="1" t="s">
        <v>25</v>
      </c>
      <c r="Q199" s="1" t="s">
        <v>25</v>
      </c>
      <c r="R199" s="1" t="s">
        <v>25</v>
      </c>
      <c r="S199" s="2">
        <v>45868.727743055555</v>
      </c>
      <c r="T199" s="2">
        <v>45868.727743055555</v>
      </c>
    </row>
    <row r="200">
      <c r="A200" s="1" t="s">
        <v>315</v>
      </c>
      <c r="B200" s="1">
        <v>1.0</v>
      </c>
      <c r="C200" s="1">
        <v>96.0</v>
      </c>
      <c r="D200" s="1">
        <v>1.2333416E7</v>
      </c>
      <c r="E200" s="1" t="s">
        <v>25</v>
      </c>
      <c r="F200" s="1" t="s">
        <v>25</v>
      </c>
      <c r="G200" s="1" t="s">
        <v>25</v>
      </c>
      <c r="H200" s="1" t="s">
        <v>25</v>
      </c>
      <c r="I200" s="1" t="s">
        <v>25</v>
      </c>
      <c r="J200" s="1" t="s">
        <v>25</v>
      </c>
      <c r="K200" s="1" t="s">
        <v>25</v>
      </c>
      <c r="L200" s="1" t="s">
        <v>25</v>
      </c>
      <c r="M200" s="1">
        <v>3.516570919E9</v>
      </c>
      <c r="N200" s="1" t="s">
        <v>25</v>
      </c>
      <c r="O200" s="1" t="s">
        <v>25</v>
      </c>
      <c r="P200" s="1" t="s">
        <v>25</v>
      </c>
      <c r="Q200" s="1" t="s">
        <v>25</v>
      </c>
      <c r="R200" s="1" t="s">
        <v>25</v>
      </c>
      <c r="S200" s="2">
        <v>45868.76346064815</v>
      </c>
      <c r="T200" s="2">
        <v>45868.76346064815</v>
      </c>
    </row>
    <row r="201">
      <c r="A201" s="1" t="s">
        <v>317</v>
      </c>
      <c r="B201" s="1">
        <v>1.0</v>
      </c>
      <c r="C201" s="1">
        <v>96.0</v>
      </c>
      <c r="D201" s="1">
        <v>3.8087626E7</v>
      </c>
      <c r="E201" s="1" t="s">
        <v>25</v>
      </c>
      <c r="F201" s="1" t="s">
        <v>25</v>
      </c>
      <c r="G201" s="1" t="s">
        <v>25</v>
      </c>
      <c r="H201" s="1" t="s">
        <v>25</v>
      </c>
      <c r="I201" s="1" t="s">
        <v>25</v>
      </c>
      <c r="J201" s="1" t="s">
        <v>25</v>
      </c>
      <c r="K201" s="1" t="s">
        <v>25</v>
      </c>
      <c r="L201" s="1" t="s">
        <v>25</v>
      </c>
      <c r="M201" s="1">
        <v>3.517317376E9</v>
      </c>
      <c r="N201" s="1" t="s">
        <v>25</v>
      </c>
      <c r="O201" s="1" t="s">
        <v>25</v>
      </c>
      <c r="P201" s="1" t="s">
        <v>25</v>
      </c>
      <c r="Q201" s="1">
        <v>4.0</v>
      </c>
      <c r="R201" s="1" t="s">
        <v>25</v>
      </c>
      <c r="S201" s="2">
        <v>45869.435740740744</v>
      </c>
      <c r="T201" s="2">
        <v>45901.77936342593</v>
      </c>
    </row>
    <row r="202">
      <c r="A202" s="1" t="s">
        <v>318</v>
      </c>
      <c r="B202" s="1" t="s">
        <v>25</v>
      </c>
      <c r="C202" s="1">
        <v>96.0</v>
      </c>
      <c r="D202" s="1">
        <v>3.8178876E7</v>
      </c>
      <c r="E202" s="1" t="s">
        <v>25</v>
      </c>
      <c r="F202" s="1" t="s">
        <v>25</v>
      </c>
      <c r="G202" s="1" t="s">
        <v>25</v>
      </c>
      <c r="H202" s="1" t="s">
        <v>25</v>
      </c>
      <c r="I202" s="1" t="s">
        <v>25</v>
      </c>
      <c r="J202" s="1" t="s">
        <v>25</v>
      </c>
      <c r="K202" s="1" t="s">
        <v>25</v>
      </c>
      <c r="L202" s="1" t="s">
        <v>25</v>
      </c>
      <c r="M202" s="1">
        <v>3.513855166E9</v>
      </c>
      <c r="N202" s="1" t="s">
        <v>25</v>
      </c>
      <c r="O202" s="1" t="s">
        <v>25</v>
      </c>
      <c r="P202" s="1" t="s">
        <v>25</v>
      </c>
      <c r="Q202" s="1" t="s">
        <v>25</v>
      </c>
      <c r="R202" s="1" t="s">
        <v>25</v>
      </c>
      <c r="S202" s="2">
        <v>45869.777083333334</v>
      </c>
      <c r="T202" s="2">
        <v>45869.777083333334</v>
      </c>
    </row>
    <row r="203">
      <c r="A203" s="1" t="s">
        <v>319</v>
      </c>
      <c r="B203" s="1">
        <v>1.0</v>
      </c>
      <c r="C203" s="1">
        <v>96.0</v>
      </c>
      <c r="D203" s="1">
        <v>1.8879243E7</v>
      </c>
      <c r="E203" s="1" t="s">
        <v>25</v>
      </c>
      <c r="F203" s="1" t="s">
        <v>25</v>
      </c>
      <c r="G203" s="1" t="s">
        <v>25</v>
      </c>
      <c r="H203" s="1" t="s">
        <v>25</v>
      </c>
      <c r="I203" s="1" t="s">
        <v>25</v>
      </c>
      <c r="J203" s="1" t="s">
        <v>25</v>
      </c>
      <c r="K203" s="1" t="s">
        <v>25</v>
      </c>
      <c r="L203" s="1" t="s">
        <v>25</v>
      </c>
      <c r="M203" s="1">
        <v>3.624890828E9</v>
      </c>
      <c r="N203" s="1" t="s">
        <v>1204</v>
      </c>
      <c r="O203" s="1" t="s">
        <v>25</v>
      </c>
      <c r="P203" s="1" t="s">
        <v>25</v>
      </c>
      <c r="Q203" s="1">
        <v>7.0</v>
      </c>
      <c r="R203" s="1" t="s">
        <v>25</v>
      </c>
      <c r="S203" s="2">
        <v>45870.77407407408</v>
      </c>
      <c r="T203" s="2">
        <v>45904.572280092594</v>
      </c>
    </row>
    <row r="204">
      <c r="A204" s="1" t="s">
        <v>534</v>
      </c>
      <c r="B204" s="1" t="s">
        <v>25</v>
      </c>
      <c r="C204" s="1">
        <v>96.0</v>
      </c>
      <c r="D204" s="1">
        <v>2.7079858E7</v>
      </c>
      <c r="E204" s="1" t="s">
        <v>25</v>
      </c>
      <c r="F204" s="1" t="s">
        <v>25</v>
      </c>
      <c r="G204" s="1" t="s">
        <v>25</v>
      </c>
      <c r="H204" s="1" t="s">
        <v>25</v>
      </c>
      <c r="I204" s="1" t="s">
        <v>25</v>
      </c>
      <c r="J204" s="1" t="s">
        <v>25</v>
      </c>
      <c r="K204" s="1" t="s">
        <v>25</v>
      </c>
      <c r="L204" s="1" t="s">
        <v>25</v>
      </c>
      <c r="M204" s="1">
        <v>3.515726928E9</v>
      </c>
      <c r="N204" s="1" t="s">
        <v>25</v>
      </c>
      <c r="O204" s="1" t="s">
        <v>25</v>
      </c>
      <c r="P204" s="1" t="s">
        <v>25</v>
      </c>
      <c r="Q204" s="1">
        <v>7.0</v>
      </c>
      <c r="R204" s="1" t="s">
        <v>25</v>
      </c>
      <c r="S204" s="2">
        <v>45873.56487268519</v>
      </c>
      <c r="T204" s="2">
        <v>45873.56487268519</v>
      </c>
    </row>
    <row r="205">
      <c r="A205" s="1" t="s">
        <v>321</v>
      </c>
      <c r="B205" s="1">
        <v>1.0</v>
      </c>
      <c r="C205" s="1">
        <v>96.0</v>
      </c>
      <c r="D205" s="1">
        <v>2.5023995E7</v>
      </c>
      <c r="E205" s="1" t="s">
        <v>25</v>
      </c>
      <c r="F205" s="1" t="s">
        <v>25</v>
      </c>
      <c r="G205" s="1" t="s">
        <v>25</v>
      </c>
      <c r="H205" s="1" t="s">
        <v>25</v>
      </c>
      <c r="I205" s="1" t="s">
        <v>25</v>
      </c>
      <c r="J205" s="1" t="s">
        <v>25</v>
      </c>
      <c r="K205" s="1" t="s">
        <v>25</v>
      </c>
      <c r="L205" s="1" t="s">
        <v>25</v>
      </c>
      <c r="M205" s="1">
        <v>2.966409818E9</v>
      </c>
      <c r="N205" s="1" t="s">
        <v>25</v>
      </c>
      <c r="O205" s="1" t="s">
        <v>25</v>
      </c>
      <c r="P205" s="1" t="s">
        <v>25</v>
      </c>
      <c r="Q205" s="1" t="s">
        <v>25</v>
      </c>
      <c r="R205" s="1" t="s">
        <v>25</v>
      </c>
      <c r="S205" s="2">
        <v>45874.71371527778</v>
      </c>
      <c r="T205" s="2">
        <v>45874.71371527778</v>
      </c>
    </row>
    <row r="206">
      <c r="A206" s="1" t="s">
        <v>1205</v>
      </c>
      <c r="B206" s="1">
        <v>1.0</v>
      </c>
      <c r="C206" s="1">
        <v>96.0</v>
      </c>
      <c r="D206" s="1">
        <v>2.5038823E7</v>
      </c>
      <c r="E206" s="1" t="s">
        <v>25</v>
      </c>
      <c r="F206" s="1" t="s">
        <v>25</v>
      </c>
      <c r="G206" s="1" t="s">
        <v>25</v>
      </c>
      <c r="H206" s="1" t="s">
        <v>25</v>
      </c>
      <c r="I206" s="1" t="s">
        <v>25</v>
      </c>
      <c r="J206" s="1" t="s">
        <v>25</v>
      </c>
      <c r="K206" s="1" t="s">
        <v>25</v>
      </c>
      <c r="L206" s="1" t="s">
        <v>25</v>
      </c>
      <c r="M206" s="1">
        <v>3.515333011E9</v>
      </c>
      <c r="N206" s="1" t="s">
        <v>25</v>
      </c>
      <c r="O206" s="1" t="s">
        <v>25</v>
      </c>
      <c r="P206" s="1" t="s">
        <v>25</v>
      </c>
      <c r="Q206" s="1">
        <v>1.0</v>
      </c>
      <c r="R206" s="1" t="s">
        <v>25</v>
      </c>
      <c r="S206" s="2">
        <v>45874.82329861111</v>
      </c>
      <c r="T206" s="2">
        <v>45874.82329861111</v>
      </c>
    </row>
    <row r="207">
      <c r="A207" s="1" t="s">
        <v>322</v>
      </c>
      <c r="B207" s="1">
        <v>2.0</v>
      </c>
      <c r="C207" s="1">
        <v>96.0</v>
      </c>
      <c r="D207" s="1">
        <v>4.3143946E7</v>
      </c>
      <c r="E207" s="1" t="s">
        <v>25</v>
      </c>
      <c r="F207" s="1" t="s">
        <v>25</v>
      </c>
      <c r="G207" s="1" t="s">
        <v>25</v>
      </c>
      <c r="H207" s="1" t="s">
        <v>25</v>
      </c>
      <c r="I207" s="1" t="s">
        <v>25</v>
      </c>
      <c r="J207" s="1" t="s">
        <v>25</v>
      </c>
      <c r="K207" s="1" t="s">
        <v>25</v>
      </c>
      <c r="L207" s="1" t="s">
        <v>25</v>
      </c>
      <c r="M207" s="1">
        <v>3.517394242E9</v>
      </c>
      <c r="N207" s="1" t="s">
        <v>1206</v>
      </c>
      <c r="O207" s="1" t="s">
        <v>25</v>
      </c>
      <c r="P207" s="1" t="s">
        <v>25</v>
      </c>
      <c r="Q207" s="1">
        <v>7.0</v>
      </c>
      <c r="R207" s="1" t="s">
        <v>25</v>
      </c>
      <c r="S207" s="2">
        <v>45875.537881944445</v>
      </c>
      <c r="T207" s="2">
        <v>45904.58609953704</v>
      </c>
    </row>
    <row r="208">
      <c r="A208" s="1" t="s">
        <v>323</v>
      </c>
      <c r="B208" s="1">
        <v>1.0</v>
      </c>
      <c r="C208" s="1">
        <v>96.0</v>
      </c>
      <c r="D208" s="1">
        <v>4.2166004E7</v>
      </c>
      <c r="E208" s="1" t="s">
        <v>25</v>
      </c>
      <c r="F208" s="1" t="s">
        <v>25</v>
      </c>
      <c r="G208" s="1" t="s">
        <v>25</v>
      </c>
      <c r="H208" s="1" t="s">
        <v>25</v>
      </c>
      <c r="I208" s="1" t="s">
        <v>25</v>
      </c>
      <c r="J208" s="1" t="s">
        <v>25</v>
      </c>
      <c r="K208" s="1" t="s">
        <v>25</v>
      </c>
      <c r="L208" s="1" t="s">
        <v>25</v>
      </c>
      <c r="M208" s="1">
        <v>3.5148568846E10</v>
      </c>
      <c r="N208" s="1" t="s">
        <v>25</v>
      </c>
      <c r="O208" s="1" t="s">
        <v>25</v>
      </c>
      <c r="P208" s="1" t="s">
        <v>25</v>
      </c>
      <c r="Q208" s="1">
        <v>2.0</v>
      </c>
      <c r="R208" s="1" t="s">
        <v>1207</v>
      </c>
      <c r="S208" s="2">
        <v>45876.78125</v>
      </c>
      <c r="T208" s="2">
        <v>45878.568564814814</v>
      </c>
    </row>
    <row r="209">
      <c r="A209" s="1" t="s">
        <v>377</v>
      </c>
      <c r="B209" s="1">
        <v>1.0</v>
      </c>
      <c r="C209" s="1">
        <v>96.0</v>
      </c>
      <c r="D209" s="1">
        <v>2.0292941E7</v>
      </c>
      <c r="E209" s="1" t="s">
        <v>25</v>
      </c>
      <c r="F209" s="1" t="s">
        <v>25</v>
      </c>
      <c r="G209" s="1" t="s">
        <v>25</v>
      </c>
      <c r="H209" s="1" t="s">
        <v>25</v>
      </c>
      <c r="I209" s="1" t="s">
        <v>25</v>
      </c>
      <c r="J209" s="1" t="s">
        <v>25</v>
      </c>
      <c r="K209" s="1" t="s">
        <v>25</v>
      </c>
      <c r="L209" s="1" t="s">
        <v>25</v>
      </c>
      <c r="M209" s="1">
        <v>2.996017117E9</v>
      </c>
      <c r="N209" s="1" t="s">
        <v>25</v>
      </c>
      <c r="O209" s="1" t="s">
        <v>25</v>
      </c>
      <c r="P209" s="1" t="s">
        <v>25</v>
      </c>
      <c r="Q209" s="1" t="s">
        <v>25</v>
      </c>
      <c r="R209" s="1" t="s">
        <v>25</v>
      </c>
      <c r="S209" s="2">
        <v>45876.78266203704</v>
      </c>
      <c r="T209" s="2">
        <v>45876.78266203704</v>
      </c>
    </row>
    <row r="210">
      <c r="A210" s="1" t="s">
        <v>324</v>
      </c>
      <c r="B210" s="1">
        <v>2.0</v>
      </c>
      <c r="C210" s="1">
        <v>96.0</v>
      </c>
      <c r="D210" s="1">
        <v>3.4130779E7</v>
      </c>
      <c r="E210" s="1" t="s">
        <v>25</v>
      </c>
      <c r="F210" s="1" t="s">
        <v>25</v>
      </c>
      <c r="G210" s="1" t="s">
        <v>25</v>
      </c>
      <c r="H210" s="1" t="s">
        <v>25</v>
      </c>
      <c r="I210" s="1" t="s">
        <v>25</v>
      </c>
      <c r="J210" s="1" t="s">
        <v>25</v>
      </c>
      <c r="K210" s="1" t="s">
        <v>25</v>
      </c>
      <c r="L210" s="1" t="s">
        <v>25</v>
      </c>
      <c r="M210" s="1">
        <v>3.516729239E9</v>
      </c>
      <c r="N210" s="1" t="s">
        <v>25</v>
      </c>
      <c r="O210" s="1" t="s">
        <v>25</v>
      </c>
      <c r="P210" s="1" t="s">
        <v>25</v>
      </c>
      <c r="Q210" s="1" t="s">
        <v>25</v>
      </c>
      <c r="R210" s="1" t="s">
        <v>25</v>
      </c>
      <c r="S210" s="2">
        <v>45876.80123842593</v>
      </c>
      <c r="T210" s="2">
        <v>45876.80123842593</v>
      </c>
    </row>
    <row r="211">
      <c r="A211" s="1" t="s">
        <v>326</v>
      </c>
      <c r="B211" s="1">
        <v>2.0</v>
      </c>
      <c r="C211" s="1">
        <v>96.0</v>
      </c>
      <c r="D211" s="1">
        <v>4.0750558E7</v>
      </c>
      <c r="E211" s="1" t="s">
        <v>25</v>
      </c>
      <c r="F211" s="1" t="s">
        <v>25</v>
      </c>
      <c r="G211" s="1" t="s">
        <v>25</v>
      </c>
      <c r="H211" s="1" t="s">
        <v>25</v>
      </c>
      <c r="I211" s="1" t="s">
        <v>25</v>
      </c>
      <c r="J211" s="1" t="s">
        <v>25</v>
      </c>
      <c r="K211" s="1" t="s">
        <v>25</v>
      </c>
      <c r="L211" s="1" t="s">
        <v>25</v>
      </c>
      <c r="M211" s="1">
        <v>3.513698833E9</v>
      </c>
      <c r="N211" s="1" t="s">
        <v>25</v>
      </c>
      <c r="O211" s="1" t="s">
        <v>25</v>
      </c>
      <c r="P211" s="1" t="s">
        <v>25</v>
      </c>
      <c r="Q211" s="1" t="s">
        <v>25</v>
      </c>
      <c r="R211" s="1" t="s">
        <v>25</v>
      </c>
      <c r="S211" s="2">
        <v>45877.5209837963</v>
      </c>
      <c r="T211" s="2">
        <v>45877.5209837963</v>
      </c>
    </row>
    <row r="212">
      <c r="A212" s="1" t="s">
        <v>327</v>
      </c>
      <c r="B212" s="1">
        <v>2.0</v>
      </c>
      <c r="C212" s="1">
        <v>96.0</v>
      </c>
      <c r="D212" s="1">
        <v>2.0075041E7</v>
      </c>
      <c r="E212" s="1" t="s">
        <v>25</v>
      </c>
      <c r="F212" s="1" t="s">
        <v>25</v>
      </c>
      <c r="G212" s="1" t="s">
        <v>25</v>
      </c>
      <c r="H212" s="1" t="s">
        <v>25</v>
      </c>
      <c r="I212" s="1" t="s">
        <v>25</v>
      </c>
      <c r="J212" s="1" t="s">
        <v>25</v>
      </c>
      <c r="K212" s="1" t="s">
        <v>25</v>
      </c>
      <c r="L212" s="1" t="s">
        <v>25</v>
      </c>
      <c r="M212" s="1">
        <v>3.515728017E9</v>
      </c>
      <c r="N212" s="1" t="s">
        <v>25</v>
      </c>
      <c r="O212" s="1" t="s">
        <v>25</v>
      </c>
      <c r="P212" s="1" t="s">
        <v>25</v>
      </c>
      <c r="Q212" s="1" t="s">
        <v>25</v>
      </c>
      <c r="R212" s="1" t="s">
        <v>25</v>
      </c>
      <c r="S212" s="2">
        <v>45877.55121527778</v>
      </c>
      <c r="T212" s="2">
        <v>45877.55121527778</v>
      </c>
    </row>
    <row r="213">
      <c r="A213" s="1" t="s">
        <v>329</v>
      </c>
      <c r="B213" s="1">
        <v>1.0</v>
      </c>
      <c r="C213" s="1">
        <v>96.0</v>
      </c>
      <c r="D213" s="1">
        <v>3.7081613E7</v>
      </c>
      <c r="E213" s="1" t="s">
        <v>25</v>
      </c>
      <c r="F213" s="1" t="s">
        <v>25</v>
      </c>
      <c r="G213" s="1" t="s">
        <v>25</v>
      </c>
      <c r="H213" s="1" t="s">
        <v>25</v>
      </c>
      <c r="I213" s="1" t="s">
        <v>25</v>
      </c>
      <c r="J213" s="1" t="s">
        <v>25</v>
      </c>
      <c r="K213" s="1" t="s">
        <v>25</v>
      </c>
      <c r="L213" s="1" t="s">
        <v>25</v>
      </c>
      <c r="M213" s="1" t="s">
        <v>1208</v>
      </c>
      <c r="N213" s="1" t="s">
        <v>1209</v>
      </c>
      <c r="O213" s="1" t="s">
        <v>25</v>
      </c>
      <c r="P213" s="1" t="s">
        <v>25</v>
      </c>
      <c r="Q213" s="1" t="s">
        <v>25</v>
      </c>
      <c r="R213" s="1" t="s">
        <v>25</v>
      </c>
      <c r="S213" s="2">
        <v>45877.70613425926</v>
      </c>
      <c r="T213" s="2">
        <v>45904.59341435185</v>
      </c>
    </row>
    <row r="214">
      <c r="A214" s="1" t="s">
        <v>330</v>
      </c>
      <c r="B214" s="1">
        <v>1.0</v>
      </c>
      <c r="C214" s="1">
        <v>96.0</v>
      </c>
      <c r="D214" s="1">
        <v>3.9001013E7</v>
      </c>
      <c r="E214" s="1" t="s">
        <v>25</v>
      </c>
      <c r="F214" s="1" t="s">
        <v>25</v>
      </c>
      <c r="G214" s="1" t="s">
        <v>25</v>
      </c>
      <c r="H214" s="1" t="s">
        <v>25</v>
      </c>
      <c r="I214" s="1" t="s">
        <v>25</v>
      </c>
      <c r="J214" s="1" t="s">
        <v>25</v>
      </c>
      <c r="K214" s="1" t="s">
        <v>25</v>
      </c>
      <c r="L214" s="1" t="s">
        <v>25</v>
      </c>
      <c r="M214" s="1">
        <v>3.517654261E9</v>
      </c>
      <c r="N214" s="1" t="s">
        <v>1210</v>
      </c>
      <c r="O214" s="1" t="s">
        <v>25</v>
      </c>
      <c r="P214" s="1" t="s">
        <v>25</v>
      </c>
      <c r="Q214" s="1">
        <v>10.0</v>
      </c>
      <c r="R214" s="1" t="s">
        <v>25</v>
      </c>
      <c r="S214" s="2">
        <v>45877.72975694444</v>
      </c>
      <c r="T214" s="2">
        <v>45904.6046412037</v>
      </c>
    </row>
    <row r="215">
      <c r="A215" s="1" t="s">
        <v>340</v>
      </c>
      <c r="B215" s="1" t="s">
        <v>25</v>
      </c>
      <c r="C215" s="1">
        <v>96.0</v>
      </c>
      <c r="D215" s="1">
        <v>3.6095221E7</v>
      </c>
      <c r="E215" s="1" t="s">
        <v>25</v>
      </c>
      <c r="F215" s="1" t="s">
        <v>25</v>
      </c>
      <c r="G215" s="1" t="s">
        <v>25</v>
      </c>
      <c r="H215" s="1" t="s">
        <v>25</v>
      </c>
      <c r="I215" s="1" t="s">
        <v>25</v>
      </c>
      <c r="J215" s="1" t="s">
        <v>25</v>
      </c>
      <c r="K215" s="1" t="s">
        <v>25</v>
      </c>
      <c r="L215" s="1" t="s">
        <v>25</v>
      </c>
      <c r="M215" s="1">
        <v>3.513919299E9</v>
      </c>
      <c r="N215" s="1" t="s">
        <v>25</v>
      </c>
      <c r="O215" s="1" t="s">
        <v>25</v>
      </c>
      <c r="P215" s="1" t="s">
        <v>25</v>
      </c>
      <c r="Q215" s="1" t="s">
        <v>25</v>
      </c>
      <c r="R215" s="1" t="s">
        <v>25</v>
      </c>
      <c r="S215" s="2">
        <v>45877.81659722222</v>
      </c>
      <c r="T215" s="2">
        <v>45877.81659722222</v>
      </c>
    </row>
    <row r="216">
      <c r="A216" s="1" t="s">
        <v>338</v>
      </c>
      <c r="B216" s="1" t="s">
        <v>25</v>
      </c>
      <c r="C216" s="1">
        <v>96.0</v>
      </c>
      <c r="D216" s="1">
        <v>3.7094559E7</v>
      </c>
      <c r="E216" s="1" t="s">
        <v>25</v>
      </c>
      <c r="F216" s="1" t="s">
        <v>25</v>
      </c>
      <c r="G216" s="1" t="s">
        <v>25</v>
      </c>
      <c r="H216" s="1" t="s">
        <v>25</v>
      </c>
      <c r="I216" s="1" t="s">
        <v>25</v>
      </c>
      <c r="J216" s="1" t="s">
        <v>25</v>
      </c>
      <c r="K216" s="1" t="s">
        <v>25</v>
      </c>
      <c r="L216" s="1" t="s">
        <v>25</v>
      </c>
      <c r="M216" s="1">
        <v>3.515636597E9</v>
      </c>
      <c r="N216" s="1" t="s">
        <v>25</v>
      </c>
      <c r="O216" s="1" t="s">
        <v>25</v>
      </c>
      <c r="P216" s="1" t="s">
        <v>25</v>
      </c>
      <c r="Q216" s="1" t="s">
        <v>25</v>
      </c>
      <c r="R216" s="1" t="s">
        <v>25</v>
      </c>
      <c r="S216" s="2">
        <v>45877.81696759259</v>
      </c>
      <c r="T216" s="2">
        <v>45877.81696759259</v>
      </c>
    </row>
    <row r="217">
      <c r="A217" s="1" t="s">
        <v>331</v>
      </c>
      <c r="B217" s="1">
        <v>2.0</v>
      </c>
      <c r="C217" s="1">
        <v>96.0</v>
      </c>
      <c r="D217" s="1">
        <v>4.5692755E7</v>
      </c>
      <c r="E217" s="1" t="s">
        <v>25</v>
      </c>
      <c r="F217" s="1" t="s">
        <v>25</v>
      </c>
      <c r="G217" s="1" t="s">
        <v>25</v>
      </c>
      <c r="H217" s="1" t="s">
        <v>25</v>
      </c>
      <c r="I217" s="1" t="s">
        <v>25</v>
      </c>
      <c r="J217" s="1" t="s">
        <v>25</v>
      </c>
      <c r="K217" s="1" t="s">
        <v>25</v>
      </c>
      <c r="L217" s="1" t="s">
        <v>25</v>
      </c>
      <c r="M217" s="1">
        <v>3.515191133E9</v>
      </c>
      <c r="N217" s="1" t="s">
        <v>25</v>
      </c>
      <c r="O217" s="1" t="s">
        <v>25</v>
      </c>
      <c r="P217" s="1" t="s">
        <v>25</v>
      </c>
      <c r="Q217" s="1" t="s">
        <v>25</v>
      </c>
      <c r="R217" s="1" t="s">
        <v>25</v>
      </c>
      <c r="S217" s="2">
        <v>45880.73923611111</v>
      </c>
      <c r="T217" s="2">
        <v>45880.73923611111</v>
      </c>
    </row>
    <row r="218">
      <c r="A218" s="1" t="s">
        <v>333</v>
      </c>
      <c r="B218" s="1">
        <v>1.0</v>
      </c>
      <c r="C218" s="1">
        <v>96.0</v>
      </c>
      <c r="D218" s="1">
        <v>5.4472645E7</v>
      </c>
      <c r="E218" s="1" t="s">
        <v>25</v>
      </c>
      <c r="F218" s="1" t="s">
        <v>25</v>
      </c>
      <c r="G218" s="1" t="s">
        <v>25</v>
      </c>
      <c r="H218" s="1" t="s">
        <v>25</v>
      </c>
      <c r="I218" s="1" t="s">
        <v>25</v>
      </c>
      <c r="J218" s="1" t="s">
        <v>25</v>
      </c>
      <c r="K218" s="1" t="s">
        <v>25</v>
      </c>
      <c r="L218" s="1" t="s">
        <v>25</v>
      </c>
      <c r="M218" s="1" t="s">
        <v>1211</v>
      </c>
      <c r="N218" s="1" t="s">
        <v>25</v>
      </c>
      <c r="O218" s="1" t="s">
        <v>25</v>
      </c>
      <c r="P218" s="1" t="s">
        <v>25</v>
      </c>
      <c r="Q218" s="1" t="s">
        <v>25</v>
      </c>
      <c r="R218" s="1" t="s">
        <v>25</v>
      </c>
      <c r="S218" s="2">
        <v>45880.76559027778</v>
      </c>
      <c r="T218" s="2">
        <v>45880.76559027778</v>
      </c>
    </row>
    <row r="219">
      <c r="A219" s="1" t="s">
        <v>334</v>
      </c>
      <c r="B219" s="1">
        <v>1.0</v>
      </c>
      <c r="C219" s="1">
        <v>96.0</v>
      </c>
      <c r="D219" s="1">
        <v>4.8449997E7</v>
      </c>
      <c r="E219" s="1" t="s">
        <v>25</v>
      </c>
      <c r="F219" s="1" t="s">
        <v>25</v>
      </c>
      <c r="G219" s="1" t="s">
        <v>25</v>
      </c>
      <c r="H219" s="1" t="s">
        <v>25</v>
      </c>
      <c r="I219" s="1" t="s">
        <v>25</v>
      </c>
      <c r="J219" s="1" t="s">
        <v>25</v>
      </c>
      <c r="K219" s="1" t="s">
        <v>25</v>
      </c>
      <c r="L219" s="1" t="s">
        <v>25</v>
      </c>
      <c r="M219" s="1">
        <v>3.518523405E9</v>
      </c>
      <c r="N219" s="1" t="s">
        <v>25</v>
      </c>
      <c r="O219" s="1" t="s">
        <v>25</v>
      </c>
      <c r="P219" s="1" t="s">
        <v>25</v>
      </c>
      <c r="Q219" s="1" t="s">
        <v>25</v>
      </c>
      <c r="R219" s="1" t="s">
        <v>25</v>
      </c>
      <c r="S219" s="2">
        <v>45880.76875</v>
      </c>
      <c r="T219" s="2">
        <v>45880.76875</v>
      </c>
    </row>
    <row r="220">
      <c r="A220" s="1" t="s">
        <v>335</v>
      </c>
      <c r="B220" s="1">
        <v>2.0</v>
      </c>
      <c r="C220" s="1">
        <v>96.0</v>
      </c>
      <c r="D220" s="1">
        <v>2.0871136E7</v>
      </c>
      <c r="E220" s="1" t="s">
        <v>25</v>
      </c>
      <c r="F220" s="1" t="s">
        <v>25</v>
      </c>
      <c r="G220" s="1" t="s">
        <v>25</v>
      </c>
      <c r="H220" s="1" t="s">
        <v>25</v>
      </c>
      <c r="I220" s="1" t="s">
        <v>25</v>
      </c>
      <c r="J220" s="1" t="s">
        <v>25</v>
      </c>
      <c r="K220" s="1" t="s">
        <v>25</v>
      </c>
      <c r="L220" s="1" t="s">
        <v>25</v>
      </c>
      <c r="M220" s="1">
        <v>3.516332062E9</v>
      </c>
      <c r="N220" s="1" t="s">
        <v>25</v>
      </c>
      <c r="O220" s="1" t="s">
        <v>25</v>
      </c>
      <c r="P220" s="1" t="s">
        <v>25</v>
      </c>
      <c r="Q220" s="1" t="s">
        <v>25</v>
      </c>
      <c r="R220" s="1" t="s">
        <v>25</v>
      </c>
      <c r="S220" s="2">
        <v>45880.799849537034</v>
      </c>
      <c r="T220" s="2">
        <v>45880.799849537034</v>
      </c>
    </row>
    <row r="221">
      <c r="A221" s="1" t="s">
        <v>337</v>
      </c>
      <c r="B221" s="1">
        <v>2.0</v>
      </c>
      <c r="C221" s="1">
        <v>96.0</v>
      </c>
      <c r="D221" s="1">
        <v>1.8114706E7</v>
      </c>
      <c r="E221" s="1" t="s">
        <v>25</v>
      </c>
      <c r="F221" s="1" t="s">
        <v>25</v>
      </c>
      <c r="G221" s="1" t="s">
        <v>25</v>
      </c>
      <c r="H221" s="1" t="s">
        <v>25</v>
      </c>
      <c r="I221" s="1" t="s">
        <v>25</v>
      </c>
      <c r="J221" s="1" t="s">
        <v>25</v>
      </c>
      <c r="K221" s="1" t="s">
        <v>25</v>
      </c>
      <c r="L221" s="1" t="s">
        <v>25</v>
      </c>
      <c r="M221" s="1">
        <v>3.516799017E9</v>
      </c>
      <c r="N221" s="1" t="s">
        <v>25</v>
      </c>
      <c r="O221" s="1" t="s">
        <v>25</v>
      </c>
      <c r="P221" s="1" t="s">
        <v>25</v>
      </c>
      <c r="Q221" s="1">
        <v>8.0</v>
      </c>
      <c r="R221" s="1" t="s">
        <v>25</v>
      </c>
      <c r="S221" s="2">
        <v>45880.80743055556</v>
      </c>
      <c r="T221" s="2">
        <v>45904.58005787037</v>
      </c>
    </row>
    <row r="222">
      <c r="A222" s="1" t="s">
        <v>342</v>
      </c>
      <c r="B222" s="1">
        <v>1.0</v>
      </c>
      <c r="C222" s="1">
        <v>96.0</v>
      </c>
      <c r="D222" s="1">
        <v>3.2925013E7</v>
      </c>
      <c r="E222" s="1" t="s">
        <v>25</v>
      </c>
      <c r="F222" s="1" t="s">
        <v>25</v>
      </c>
      <c r="G222" s="1" t="s">
        <v>25</v>
      </c>
      <c r="H222" s="1" t="s">
        <v>25</v>
      </c>
      <c r="I222" s="1" t="s">
        <v>25</v>
      </c>
      <c r="J222" s="1" t="s">
        <v>25</v>
      </c>
      <c r="K222" s="1" t="s">
        <v>25</v>
      </c>
      <c r="L222" s="1" t="s">
        <v>25</v>
      </c>
      <c r="M222" s="1">
        <v>3.512064279E9</v>
      </c>
      <c r="N222" s="1" t="s">
        <v>25</v>
      </c>
      <c r="O222" s="1" t="s">
        <v>25</v>
      </c>
      <c r="P222" s="1" t="s">
        <v>25</v>
      </c>
      <c r="Q222" s="1" t="s">
        <v>25</v>
      </c>
      <c r="R222" s="1" t="s">
        <v>1212</v>
      </c>
      <c r="S222" s="2">
        <v>45882.48174768518</v>
      </c>
      <c r="T222" s="2">
        <v>46055.805601851855</v>
      </c>
    </row>
    <row r="223">
      <c r="A223" s="1" t="s">
        <v>343</v>
      </c>
      <c r="B223" s="1">
        <v>1.0</v>
      </c>
      <c r="C223" s="1">
        <v>96.0</v>
      </c>
      <c r="D223" s="1">
        <v>2240024.0</v>
      </c>
      <c r="E223" s="1" t="s">
        <v>25</v>
      </c>
      <c r="F223" s="1" t="s">
        <v>25</v>
      </c>
      <c r="G223" s="1" t="s">
        <v>25</v>
      </c>
      <c r="H223" s="1" t="s">
        <v>25</v>
      </c>
      <c r="I223" s="1" t="s">
        <v>25</v>
      </c>
      <c r="J223" s="1" t="s">
        <v>25</v>
      </c>
      <c r="K223" s="1" t="s">
        <v>25</v>
      </c>
      <c r="L223" s="1" t="s">
        <v>25</v>
      </c>
      <c r="M223" s="1" t="s">
        <v>1213</v>
      </c>
      <c r="N223" s="1" t="s">
        <v>25</v>
      </c>
      <c r="O223" s="1" t="s">
        <v>25</v>
      </c>
      <c r="P223" s="1" t="s">
        <v>25</v>
      </c>
      <c r="Q223" s="1" t="s">
        <v>25</v>
      </c>
      <c r="R223" s="1" t="s">
        <v>25</v>
      </c>
      <c r="S223" s="2">
        <v>45882.51021990741</v>
      </c>
      <c r="T223" s="2">
        <v>45882.51021990741</v>
      </c>
    </row>
    <row r="224">
      <c r="A224" s="1" t="s">
        <v>344</v>
      </c>
      <c r="B224" s="1">
        <v>1.0</v>
      </c>
      <c r="C224" s="1" t="s">
        <v>25</v>
      </c>
      <c r="D224" s="1">
        <v>3.3599774E7</v>
      </c>
      <c r="E224" s="1" t="s">
        <v>25</v>
      </c>
      <c r="F224" s="1" t="s">
        <v>25</v>
      </c>
      <c r="G224" s="1" t="s">
        <v>25</v>
      </c>
      <c r="H224" s="1" t="s">
        <v>25</v>
      </c>
      <c r="I224" s="1" t="s">
        <v>25</v>
      </c>
      <c r="J224" s="1" t="s">
        <v>25</v>
      </c>
      <c r="K224" s="1" t="s">
        <v>25</v>
      </c>
      <c r="L224" s="1" t="s">
        <v>25</v>
      </c>
      <c r="M224" s="1">
        <v>3.51226856E9</v>
      </c>
      <c r="N224" s="1" t="s">
        <v>25</v>
      </c>
      <c r="O224" s="1" t="s">
        <v>25</v>
      </c>
      <c r="P224" s="1" t="s">
        <v>25</v>
      </c>
      <c r="Q224" s="1" t="s">
        <v>25</v>
      </c>
      <c r="R224" s="1" t="s">
        <v>25</v>
      </c>
      <c r="S224" s="2">
        <v>45883.695810185185</v>
      </c>
      <c r="T224" s="2">
        <v>45883.695810185185</v>
      </c>
    </row>
    <row r="225">
      <c r="A225" s="1" t="s">
        <v>346</v>
      </c>
      <c r="B225" s="1">
        <v>2.0</v>
      </c>
      <c r="C225" s="1">
        <v>96.0</v>
      </c>
      <c r="D225" s="1">
        <v>2.5758259E7</v>
      </c>
      <c r="E225" s="1" t="s">
        <v>25</v>
      </c>
      <c r="F225" s="1" t="s">
        <v>25</v>
      </c>
      <c r="G225" s="1" t="s">
        <v>25</v>
      </c>
      <c r="H225" s="1" t="s">
        <v>25</v>
      </c>
      <c r="I225" s="1" t="s">
        <v>25</v>
      </c>
      <c r="J225" s="1" t="s">
        <v>25</v>
      </c>
      <c r="K225" s="1" t="s">
        <v>25</v>
      </c>
      <c r="L225" s="1" t="s">
        <v>25</v>
      </c>
      <c r="M225" s="1">
        <v>3.516757111E9</v>
      </c>
      <c r="N225" s="1" t="s">
        <v>25</v>
      </c>
      <c r="O225" s="1" t="s">
        <v>25</v>
      </c>
      <c r="P225" s="1" t="s">
        <v>25</v>
      </c>
      <c r="Q225" s="1" t="s">
        <v>25</v>
      </c>
      <c r="R225" s="1" t="s">
        <v>25</v>
      </c>
      <c r="S225" s="2">
        <v>45883.795752314814</v>
      </c>
      <c r="T225" s="2">
        <v>45883.795752314814</v>
      </c>
    </row>
    <row r="226">
      <c r="A226" s="1" t="s">
        <v>353</v>
      </c>
      <c r="B226" s="1">
        <v>1.0</v>
      </c>
      <c r="C226" s="1">
        <v>96.0</v>
      </c>
      <c r="D226" s="1">
        <v>2.7013762E7</v>
      </c>
      <c r="E226" s="1" t="s">
        <v>25</v>
      </c>
      <c r="F226" s="1" t="s">
        <v>25</v>
      </c>
      <c r="G226" s="1" t="s">
        <v>25</v>
      </c>
      <c r="H226" s="1" t="s">
        <v>25</v>
      </c>
      <c r="I226" s="1" t="s">
        <v>25</v>
      </c>
      <c r="J226" s="1" t="s">
        <v>25</v>
      </c>
      <c r="K226" s="1" t="s">
        <v>25</v>
      </c>
      <c r="L226" s="1" t="s">
        <v>25</v>
      </c>
      <c r="M226" s="1">
        <v>3.512725699E9</v>
      </c>
      <c r="N226" s="1" t="s">
        <v>25</v>
      </c>
      <c r="O226" s="1" t="s">
        <v>25</v>
      </c>
      <c r="P226" s="1" t="s">
        <v>25</v>
      </c>
      <c r="Q226" s="1" t="s">
        <v>25</v>
      </c>
      <c r="R226" s="1" t="s">
        <v>25</v>
      </c>
      <c r="S226" s="2">
        <v>45884.46472222222</v>
      </c>
      <c r="T226" s="2">
        <v>45884.46472222222</v>
      </c>
    </row>
    <row r="227">
      <c r="A227" s="1" t="s">
        <v>347</v>
      </c>
      <c r="B227" s="1">
        <v>1.0</v>
      </c>
      <c r="C227" s="1">
        <v>96.0</v>
      </c>
      <c r="D227" s="1">
        <v>4.4872319E7</v>
      </c>
      <c r="E227" s="1" t="s">
        <v>25</v>
      </c>
      <c r="F227" s="1" t="s">
        <v>25</v>
      </c>
      <c r="G227" s="1" t="s">
        <v>25</v>
      </c>
      <c r="H227" s="1" t="s">
        <v>25</v>
      </c>
      <c r="I227" s="1" t="s">
        <v>25</v>
      </c>
      <c r="J227" s="1" t="s">
        <v>25</v>
      </c>
      <c r="K227" s="1" t="s">
        <v>25</v>
      </c>
      <c r="L227" s="1" t="s">
        <v>25</v>
      </c>
      <c r="M227" s="3">
        <f>+33745407558</f>
        <v>33745407558</v>
      </c>
      <c r="N227" s="1" t="s">
        <v>25</v>
      </c>
      <c r="O227" s="1" t="s">
        <v>25</v>
      </c>
      <c r="P227" s="1" t="s">
        <v>25</v>
      </c>
      <c r="Q227" s="1" t="s">
        <v>25</v>
      </c>
      <c r="R227" s="1" t="s">
        <v>25</v>
      </c>
      <c r="S227" s="2">
        <v>45884.48238425926</v>
      </c>
      <c r="T227" s="2">
        <v>45884.48238425926</v>
      </c>
    </row>
    <row r="228">
      <c r="A228" s="1" t="s">
        <v>1214</v>
      </c>
      <c r="B228" s="1">
        <v>1.0</v>
      </c>
      <c r="C228" s="1">
        <v>96.0</v>
      </c>
      <c r="D228" s="1">
        <v>2.2424113E7</v>
      </c>
      <c r="E228" s="1" t="s">
        <v>25</v>
      </c>
      <c r="F228" s="1" t="s">
        <v>25</v>
      </c>
      <c r="G228" s="1" t="s">
        <v>25</v>
      </c>
      <c r="H228" s="1" t="s">
        <v>25</v>
      </c>
      <c r="I228" s="1" t="s">
        <v>25</v>
      </c>
      <c r="J228" s="1" t="s">
        <v>25</v>
      </c>
      <c r="K228" s="1" t="s">
        <v>25</v>
      </c>
      <c r="L228" s="1" t="s">
        <v>25</v>
      </c>
      <c r="M228" s="1">
        <v>3.515914814E9</v>
      </c>
      <c r="N228" s="1" t="s">
        <v>25</v>
      </c>
      <c r="O228" s="1" t="s">
        <v>25</v>
      </c>
      <c r="P228" s="1" t="s">
        <v>25</v>
      </c>
      <c r="Q228" s="1" t="s">
        <v>25</v>
      </c>
      <c r="R228" s="1" t="s">
        <v>25</v>
      </c>
      <c r="S228" s="2">
        <v>45884.79620370371</v>
      </c>
      <c r="T228" s="2">
        <v>45884.79620370371</v>
      </c>
    </row>
    <row r="229">
      <c r="A229" s="1" t="s">
        <v>348</v>
      </c>
      <c r="B229" s="1">
        <v>2.0</v>
      </c>
      <c r="C229" s="1">
        <v>96.0</v>
      </c>
      <c r="D229" s="1">
        <v>4.5936772E7</v>
      </c>
      <c r="E229" s="1" t="s">
        <v>25</v>
      </c>
      <c r="F229" s="1" t="s">
        <v>25</v>
      </c>
      <c r="G229" s="1" t="s">
        <v>25</v>
      </c>
      <c r="H229" s="1" t="s">
        <v>25</v>
      </c>
      <c r="I229" s="1" t="s">
        <v>25</v>
      </c>
      <c r="J229" s="1" t="s">
        <v>25</v>
      </c>
      <c r="K229" s="1" t="s">
        <v>25</v>
      </c>
      <c r="L229" s="1" t="s">
        <v>25</v>
      </c>
      <c r="M229" s="1">
        <v>9.3517055752E10</v>
      </c>
      <c r="N229" s="1" t="s">
        <v>25</v>
      </c>
      <c r="O229" s="1" t="s">
        <v>25</v>
      </c>
      <c r="P229" s="1" t="s">
        <v>25</v>
      </c>
      <c r="Q229" s="1" t="s">
        <v>25</v>
      </c>
      <c r="R229" s="1" t="s">
        <v>25</v>
      </c>
      <c r="S229" s="2">
        <v>45885.503703703704</v>
      </c>
      <c r="T229" s="2">
        <v>45885.503703703704</v>
      </c>
    </row>
    <row r="230">
      <c r="A230" s="1" t="s">
        <v>350</v>
      </c>
      <c r="B230" s="1">
        <v>2.0</v>
      </c>
      <c r="C230" s="1">
        <v>96.0</v>
      </c>
      <c r="D230" s="1">
        <v>0.0</v>
      </c>
      <c r="E230" s="1" t="s">
        <v>25</v>
      </c>
      <c r="F230" s="1" t="s">
        <v>25</v>
      </c>
      <c r="G230" s="1" t="s">
        <v>25</v>
      </c>
      <c r="H230" s="1" t="s">
        <v>25</v>
      </c>
      <c r="I230" s="1" t="s">
        <v>25</v>
      </c>
      <c r="J230" s="1" t="s">
        <v>25</v>
      </c>
      <c r="K230" s="1" t="s">
        <v>25</v>
      </c>
      <c r="L230" s="1" t="s">
        <v>25</v>
      </c>
      <c r="M230" s="1">
        <v>0.0</v>
      </c>
      <c r="N230" s="1" t="s">
        <v>25</v>
      </c>
      <c r="O230" s="1" t="s">
        <v>25</v>
      </c>
      <c r="P230" s="1" t="s">
        <v>25</v>
      </c>
      <c r="Q230" s="1" t="s">
        <v>25</v>
      </c>
      <c r="R230" s="1" t="s">
        <v>25</v>
      </c>
      <c r="S230" s="2">
        <v>45887.47194444444</v>
      </c>
      <c r="T230" s="2">
        <v>45887.47194444444</v>
      </c>
    </row>
    <row r="231">
      <c r="A231" s="1" t="s">
        <v>351</v>
      </c>
      <c r="B231" s="1">
        <v>1.0</v>
      </c>
      <c r="C231" s="1">
        <v>96.0</v>
      </c>
      <c r="D231" s="1">
        <v>0.0</v>
      </c>
      <c r="E231" s="1" t="s">
        <v>25</v>
      </c>
      <c r="F231" s="1" t="s">
        <v>25</v>
      </c>
      <c r="G231" s="1" t="s">
        <v>25</v>
      </c>
      <c r="H231" s="1" t="s">
        <v>25</v>
      </c>
      <c r="I231" s="1" t="s">
        <v>25</v>
      </c>
      <c r="J231" s="1" t="s">
        <v>25</v>
      </c>
      <c r="K231" s="1" t="s">
        <v>25</v>
      </c>
      <c r="L231" s="1" t="s">
        <v>25</v>
      </c>
      <c r="M231" s="1">
        <v>0.0</v>
      </c>
      <c r="N231" s="1" t="s">
        <v>25</v>
      </c>
      <c r="O231" s="1" t="s">
        <v>25</v>
      </c>
      <c r="P231" s="1" t="s">
        <v>25</v>
      </c>
      <c r="Q231" s="1" t="s">
        <v>25</v>
      </c>
      <c r="R231" s="1" t="s">
        <v>25</v>
      </c>
      <c r="S231" s="2">
        <v>45887.4728125</v>
      </c>
      <c r="T231" s="2">
        <v>45887.4728125</v>
      </c>
    </row>
    <row r="232">
      <c r="A232" s="1" t="s">
        <v>352</v>
      </c>
      <c r="B232" s="1">
        <v>1.0</v>
      </c>
      <c r="C232" s="1">
        <v>96.0</v>
      </c>
      <c r="D232" s="1">
        <v>3.430119E7</v>
      </c>
      <c r="E232" s="1" t="s">
        <v>25</v>
      </c>
      <c r="F232" s="1" t="s">
        <v>25</v>
      </c>
      <c r="G232" s="1" t="s">
        <v>25</v>
      </c>
      <c r="H232" s="1" t="s">
        <v>25</v>
      </c>
      <c r="I232" s="1" t="s">
        <v>25</v>
      </c>
      <c r="J232" s="1" t="s">
        <v>25</v>
      </c>
      <c r="K232" s="1" t="s">
        <v>25</v>
      </c>
      <c r="L232" s="1" t="s">
        <v>25</v>
      </c>
      <c r="M232" s="1">
        <v>3.624006121E9</v>
      </c>
      <c r="N232" s="1" t="s">
        <v>25</v>
      </c>
      <c r="O232" s="1" t="s">
        <v>25</v>
      </c>
      <c r="P232" s="1" t="s">
        <v>25</v>
      </c>
      <c r="Q232" s="1" t="s">
        <v>25</v>
      </c>
      <c r="R232" s="1" t="s">
        <v>25</v>
      </c>
      <c r="S232" s="2">
        <v>45887.514502314814</v>
      </c>
      <c r="T232" s="2">
        <v>45887.514502314814</v>
      </c>
    </row>
    <row r="233">
      <c r="A233" s="1" t="s">
        <v>354</v>
      </c>
      <c r="B233" s="1">
        <v>1.0</v>
      </c>
      <c r="C233" s="1">
        <v>96.0</v>
      </c>
      <c r="D233" s="1">
        <v>6104509.0</v>
      </c>
      <c r="E233" s="1" t="s">
        <v>25</v>
      </c>
      <c r="F233" s="1" t="s">
        <v>25</v>
      </c>
      <c r="G233" s="1" t="s">
        <v>25</v>
      </c>
      <c r="H233" s="1" t="s">
        <v>25</v>
      </c>
      <c r="I233" s="1" t="s">
        <v>25</v>
      </c>
      <c r="J233" s="1" t="s">
        <v>25</v>
      </c>
      <c r="K233" s="1" t="s">
        <v>25</v>
      </c>
      <c r="L233" s="1" t="s">
        <v>25</v>
      </c>
      <c r="M233" s="1">
        <v>3.416184648E9</v>
      </c>
      <c r="N233" s="1" t="s">
        <v>25</v>
      </c>
      <c r="O233" s="1" t="s">
        <v>25</v>
      </c>
      <c r="P233" s="1" t="s">
        <v>25</v>
      </c>
      <c r="Q233" s="1" t="s">
        <v>25</v>
      </c>
      <c r="R233" s="1" t="s">
        <v>25</v>
      </c>
      <c r="S233" s="2">
        <v>45887.80716435185</v>
      </c>
      <c r="T233" s="2">
        <v>45887.80716435185</v>
      </c>
    </row>
    <row r="234">
      <c r="A234" s="1" t="s">
        <v>355</v>
      </c>
      <c r="B234" s="1">
        <v>1.0</v>
      </c>
      <c r="C234" s="1">
        <v>96.0</v>
      </c>
      <c r="D234" s="1">
        <v>6.3014563E7</v>
      </c>
      <c r="E234" s="1" t="s">
        <v>25</v>
      </c>
      <c r="F234" s="1" t="s">
        <v>25</v>
      </c>
      <c r="G234" s="1" t="s">
        <v>25</v>
      </c>
      <c r="H234" s="1" t="s">
        <v>25</v>
      </c>
      <c r="I234" s="1" t="s">
        <v>25</v>
      </c>
      <c r="J234" s="1" t="s">
        <v>25</v>
      </c>
      <c r="K234" s="1" t="s">
        <v>25</v>
      </c>
      <c r="L234" s="1" t="s">
        <v>25</v>
      </c>
      <c r="M234" s="1">
        <v>1.0</v>
      </c>
      <c r="N234" s="1" t="s">
        <v>25</v>
      </c>
      <c r="O234" s="1" t="s">
        <v>25</v>
      </c>
      <c r="P234" s="1" t="s">
        <v>25</v>
      </c>
      <c r="Q234" s="1" t="s">
        <v>25</v>
      </c>
      <c r="R234" s="1" t="s">
        <v>25</v>
      </c>
      <c r="S234" s="2">
        <v>45887.816412037035</v>
      </c>
      <c r="T234" s="2">
        <v>45887.816412037035</v>
      </c>
    </row>
    <row r="235">
      <c r="A235" s="1" t="s">
        <v>379</v>
      </c>
      <c r="B235" s="1">
        <v>2.0</v>
      </c>
      <c r="C235" s="1">
        <v>96.0</v>
      </c>
      <c r="D235" s="1">
        <v>2.9967177E7</v>
      </c>
      <c r="E235" s="1" t="s">
        <v>25</v>
      </c>
      <c r="F235" s="1" t="s">
        <v>25</v>
      </c>
      <c r="G235" s="1" t="s">
        <v>25</v>
      </c>
      <c r="H235" s="1" t="s">
        <v>25</v>
      </c>
      <c r="I235" s="1" t="s">
        <v>25</v>
      </c>
      <c r="J235" s="1" t="s">
        <v>25</v>
      </c>
      <c r="K235" s="1" t="s">
        <v>25</v>
      </c>
      <c r="L235" s="1" t="s">
        <v>25</v>
      </c>
      <c r="M235" s="1">
        <v>3.516567604E9</v>
      </c>
      <c r="N235" s="1" t="s">
        <v>25</v>
      </c>
      <c r="O235" s="1" t="s">
        <v>25</v>
      </c>
      <c r="P235" s="1" t="s">
        <v>25</v>
      </c>
      <c r="Q235" s="1" t="s">
        <v>25</v>
      </c>
      <c r="R235" s="1" t="s">
        <v>25</v>
      </c>
      <c r="S235" s="2">
        <v>45888.46435185185</v>
      </c>
      <c r="T235" s="2">
        <v>45888.46435185185</v>
      </c>
    </row>
    <row r="236">
      <c r="A236" s="1" t="s">
        <v>356</v>
      </c>
      <c r="B236" s="1" t="s">
        <v>25</v>
      </c>
      <c r="C236" s="1">
        <v>96.0</v>
      </c>
      <c r="D236" s="1">
        <v>4.3997574E7</v>
      </c>
      <c r="E236" s="1" t="s">
        <v>25</v>
      </c>
      <c r="F236" s="1" t="s">
        <v>25</v>
      </c>
      <c r="G236" s="1" t="s">
        <v>25</v>
      </c>
      <c r="H236" s="1" t="s">
        <v>25</v>
      </c>
      <c r="I236" s="1" t="s">
        <v>25</v>
      </c>
      <c r="J236" s="1" t="s">
        <v>25</v>
      </c>
      <c r="K236" s="1" t="s">
        <v>25</v>
      </c>
      <c r="L236" s="1" t="s">
        <v>25</v>
      </c>
      <c r="M236" s="1">
        <v>3.513089144E9</v>
      </c>
      <c r="N236" s="1" t="s">
        <v>25</v>
      </c>
      <c r="O236" s="1" t="s">
        <v>25</v>
      </c>
      <c r="P236" s="1" t="s">
        <v>25</v>
      </c>
      <c r="Q236" s="1">
        <v>2.0</v>
      </c>
      <c r="R236" s="1" t="s">
        <v>25</v>
      </c>
      <c r="S236" s="2">
        <v>45888.50944444445</v>
      </c>
      <c r="T236" s="2">
        <v>45888.50944444445</v>
      </c>
    </row>
    <row r="237">
      <c r="A237" s="1" t="s">
        <v>358</v>
      </c>
      <c r="B237" s="1">
        <v>2.0</v>
      </c>
      <c r="C237" s="1">
        <v>96.0</v>
      </c>
      <c r="D237" s="1">
        <v>5.7528875E7</v>
      </c>
      <c r="E237" s="1" t="s">
        <v>25</v>
      </c>
      <c r="F237" s="1" t="s">
        <v>25</v>
      </c>
      <c r="G237" s="1" t="s">
        <v>25</v>
      </c>
      <c r="H237" s="1" t="s">
        <v>25</v>
      </c>
      <c r="I237" s="1" t="s">
        <v>25</v>
      </c>
      <c r="J237" s="1" t="s">
        <v>25</v>
      </c>
      <c r="K237" s="1" t="s">
        <v>25</v>
      </c>
      <c r="L237" s="1" t="s">
        <v>25</v>
      </c>
      <c r="M237" s="1" t="s">
        <v>1215</v>
      </c>
      <c r="N237" s="1" t="s">
        <v>25</v>
      </c>
      <c r="O237" s="1" t="s">
        <v>25</v>
      </c>
      <c r="P237" s="1" t="s">
        <v>25</v>
      </c>
      <c r="Q237" s="1" t="s">
        <v>25</v>
      </c>
      <c r="R237" s="1" t="s">
        <v>25</v>
      </c>
      <c r="S237" s="2">
        <v>45888.520787037036</v>
      </c>
      <c r="T237" s="2">
        <v>45888.520787037036</v>
      </c>
    </row>
    <row r="238">
      <c r="A238" s="1" t="s">
        <v>359</v>
      </c>
      <c r="B238" s="1">
        <v>2.0</v>
      </c>
      <c r="C238" s="1">
        <v>96.0</v>
      </c>
      <c r="D238" s="1">
        <v>3.1187831E7</v>
      </c>
      <c r="E238" s="1" t="s">
        <v>25</v>
      </c>
      <c r="F238" s="1" t="s">
        <v>25</v>
      </c>
      <c r="G238" s="1" t="s">
        <v>25</v>
      </c>
      <c r="H238" s="1" t="s">
        <v>25</v>
      </c>
      <c r="I238" s="1" t="s">
        <v>25</v>
      </c>
      <c r="J238" s="1" t="s">
        <v>25</v>
      </c>
      <c r="K238" s="1" t="s">
        <v>25</v>
      </c>
      <c r="L238" s="1" t="s">
        <v>25</v>
      </c>
      <c r="M238" s="1">
        <v>3.516814879E9</v>
      </c>
      <c r="N238" s="1" t="s">
        <v>25</v>
      </c>
      <c r="O238" s="1" t="s">
        <v>25</v>
      </c>
      <c r="P238" s="1" t="s">
        <v>25</v>
      </c>
      <c r="Q238" s="1" t="s">
        <v>25</v>
      </c>
      <c r="R238" s="1" t="s">
        <v>25</v>
      </c>
      <c r="S238" s="2">
        <v>45889.54115740741</v>
      </c>
      <c r="T238" s="2">
        <v>45889.54115740741</v>
      </c>
    </row>
    <row r="239">
      <c r="A239" s="1" t="s">
        <v>360</v>
      </c>
      <c r="B239" s="1">
        <v>1.0</v>
      </c>
      <c r="C239" s="1">
        <v>96.0</v>
      </c>
      <c r="D239" s="1">
        <v>2.5268104E7</v>
      </c>
      <c r="E239" s="1" t="s">
        <v>25</v>
      </c>
      <c r="F239" s="1" t="s">
        <v>25</v>
      </c>
      <c r="G239" s="1" t="s">
        <v>25</v>
      </c>
      <c r="H239" s="1" t="s">
        <v>25</v>
      </c>
      <c r="I239" s="1" t="s">
        <v>25</v>
      </c>
      <c r="J239" s="1" t="s">
        <v>25</v>
      </c>
      <c r="K239" s="1" t="s">
        <v>25</v>
      </c>
      <c r="L239" s="1" t="s">
        <v>25</v>
      </c>
      <c r="M239" s="1">
        <v>3.517323209E9</v>
      </c>
      <c r="N239" s="1" t="s">
        <v>25</v>
      </c>
      <c r="O239" s="1" t="s">
        <v>25</v>
      </c>
      <c r="P239" s="1" t="s">
        <v>25</v>
      </c>
      <c r="Q239" s="1" t="s">
        <v>25</v>
      </c>
      <c r="R239" s="1" t="s">
        <v>1216</v>
      </c>
      <c r="S239" s="2">
        <v>45890.713171296295</v>
      </c>
      <c r="T239" s="2">
        <v>45890.713171296295</v>
      </c>
    </row>
    <row r="240">
      <c r="A240" s="1" t="s">
        <v>366</v>
      </c>
      <c r="B240" s="1">
        <v>2.0</v>
      </c>
      <c r="C240" s="1">
        <v>96.0</v>
      </c>
      <c r="D240" s="1">
        <v>2.3440135E7</v>
      </c>
      <c r="E240" s="1" t="s">
        <v>25</v>
      </c>
      <c r="F240" s="1" t="s">
        <v>25</v>
      </c>
      <c r="G240" s="1" t="s">
        <v>25</v>
      </c>
      <c r="H240" s="1" t="s">
        <v>25</v>
      </c>
      <c r="I240" s="1" t="s">
        <v>25</v>
      </c>
      <c r="J240" s="1" t="s">
        <v>25</v>
      </c>
      <c r="K240" s="1" t="s">
        <v>25</v>
      </c>
      <c r="L240" s="1" t="s">
        <v>25</v>
      </c>
      <c r="M240" s="1">
        <v>3.516741888E9</v>
      </c>
      <c r="N240" s="1" t="s">
        <v>25</v>
      </c>
      <c r="O240" s="1" t="s">
        <v>25</v>
      </c>
      <c r="P240" s="1" t="s">
        <v>25</v>
      </c>
      <c r="Q240" s="1" t="s">
        <v>25</v>
      </c>
      <c r="R240" s="1" t="s">
        <v>25</v>
      </c>
      <c r="S240" s="2">
        <v>45892.50780092592</v>
      </c>
      <c r="T240" s="2">
        <v>45892.50780092592</v>
      </c>
    </row>
    <row r="241">
      <c r="A241" s="1" t="s">
        <v>375</v>
      </c>
      <c r="B241" s="1" t="s">
        <v>25</v>
      </c>
      <c r="C241" s="1">
        <v>96.0</v>
      </c>
      <c r="D241" s="1">
        <v>7.0240542E7</v>
      </c>
      <c r="E241" s="1" t="s">
        <v>25</v>
      </c>
      <c r="F241" s="1" t="s">
        <v>25</v>
      </c>
      <c r="G241" s="1" t="s">
        <v>25</v>
      </c>
      <c r="H241" s="1" t="s">
        <v>25</v>
      </c>
      <c r="I241" s="1" t="s">
        <v>25</v>
      </c>
      <c r="J241" s="1" t="s">
        <v>25</v>
      </c>
      <c r="K241" s="1" t="s">
        <v>25</v>
      </c>
      <c r="L241" s="1" t="s">
        <v>25</v>
      </c>
      <c r="M241" s="1" t="s">
        <v>1217</v>
      </c>
      <c r="N241" s="1" t="s">
        <v>25</v>
      </c>
      <c r="O241" s="1" t="s">
        <v>25</v>
      </c>
      <c r="P241" s="1" t="s">
        <v>25</v>
      </c>
      <c r="Q241" s="1" t="s">
        <v>25</v>
      </c>
      <c r="R241" s="1" t="s">
        <v>25</v>
      </c>
      <c r="S241" s="2">
        <v>45892.587060185186</v>
      </c>
      <c r="T241" s="2">
        <v>45892.587060185186</v>
      </c>
    </row>
    <row r="242">
      <c r="A242" s="1" t="s">
        <v>1218</v>
      </c>
      <c r="B242" s="1" t="s">
        <v>25</v>
      </c>
      <c r="C242" s="1">
        <v>96.0</v>
      </c>
      <c r="D242" s="1">
        <v>7.0240543E7</v>
      </c>
      <c r="E242" s="1" t="s">
        <v>25</v>
      </c>
      <c r="F242" s="1" t="s">
        <v>25</v>
      </c>
      <c r="G242" s="1" t="s">
        <v>25</v>
      </c>
      <c r="H242" s="1" t="s">
        <v>25</v>
      </c>
      <c r="I242" s="1" t="s">
        <v>25</v>
      </c>
      <c r="J242" s="1" t="s">
        <v>25</v>
      </c>
      <c r="K242" s="1" t="s">
        <v>25</v>
      </c>
      <c r="L242" s="1" t="s">
        <v>25</v>
      </c>
      <c r="M242" s="1" t="s">
        <v>1219</v>
      </c>
      <c r="N242" s="1" t="s">
        <v>25</v>
      </c>
      <c r="O242" s="1" t="s">
        <v>25</v>
      </c>
      <c r="P242" s="1" t="s">
        <v>25</v>
      </c>
      <c r="Q242" s="1" t="s">
        <v>25</v>
      </c>
      <c r="R242" s="1" t="s">
        <v>25</v>
      </c>
      <c r="S242" s="2">
        <v>45892.58744212963</v>
      </c>
      <c r="T242" s="2">
        <v>45892.58744212963</v>
      </c>
    </row>
    <row r="243">
      <c r="A243" s="1" t="s">
        <v>362</v>
      </c>
      <c r="B243" s="1">
        <v>2.0</v>
      </c>
      <c r="C243" s="1">
        <v>96.0</v>
      </c>
      <c r="D243" s="1">
        <v>1.0584374E7</v>
      </c>
      <c r="E243" s="1" t="s">
        <v>25</v>
      </c>
      <c r="F243" s="1" t="s">
        <v>25</v>
      </c>
      <c r="G243" s="1" t="s">
        <v>25</v>
      </c>
      <c r="H243" s="1" t="s">
        <v>25</v>
      </c>
      <c r="I243" s="1" t="s">
        <v>25</v>
      </c>
      <c r="J243" s="1" t="s">
        <v>25</v>
      </c>
      <c r="K243" s="1" t="s">
        <v>25</v>
      </c>
      <c r="L243" s="1" t="s">
        <v>25</v>
      </c>
      <c r="M243" s="1">
        <v>3.515282244E9</v>
      </c>
      <c r="N243" s="1" t="s">
        <v>25</v>
      </c>
      <c r="O243" s="1" t="s">
        <v>25</v>
      </c>
      <c r="P243" s="1" t="s">
        <v>25</v>
      </c>
      <c r="Q243" s="1" t="s">
        <v>25</v>
      </c>
      <c r="R243" s="1" t="s">
        <v>25</v>
      </c>
      <c r="S243" s="2">
        <v>45894.391388888886</v>
      </c>
      <c r="T243" s="2">
        <v>45894.391388888886</v>
      </c>
    </row>
    <row r="244">
      <c r="A244" s="1" t="s">
        <v>374</v>
      </c>
      <c r="B244" s="1">
        <v>1.0</v>
      </c>
      <c r="C244" s="1">
        <v>96.0</v>
      </c>
      <c r="D244" s="1">
        <v>1.6741006E7</v>
      </c>
      <c r="E244" s="1" t="s">
        <v>25</v>
      </c>
      <c r="F244" s="1" t="s">
        <v>25</v>
      </c>
      <c r="G244" s="1" t="s">
        <v>25</v>
      </c>
      <c r="H244" s="1" t="s">
        <v>25</v>
      </c>
      <c r="I244" s="1" t="s">
        <v>25</v>
      </c>
      <c r="J244" s="1" t="s">
        <v>25</v>
      </c>
      <c r="K244" s="1" t="s">
        <v>25</v>
      </c>
      <c r="L244" s="1" t="s">
        <v>25</v>
      </c>
      <c r="M244" s="1">
        <v>3.513090173E9</v>
      </c>
      <c r="N244" s="1" t="s">
        <v>1220</v>
      </c>
      <c r="O244" s="1" t="s">
        <v>25</v>
      </c>
      <c r="P244" s="1" t="s">
        <v>25</v>
      </c>
      <c r="Q244" s="1" t="s">
        <v>25</v>
      </c>
      <c r="R244" s="1" t="s">
        <v>25</v>
      </c>
      <c r="S244" s="2">
        <v>45895.55578703704</v>
      </c>
      <c r="T244" s="2">
        <v>45895.55578703704</v>
      </c>
    </row>
    <row r="245">
      <c r="A245" s="1" t="s">
        <v>372</v>
      </c>
      <c r="B245" s="1" t="s">
        <v>25</v>
      </c>
      <c r="C245" s="1">
        <v>96.0</v>
      </c>
      <c r="D245" s="1">
        <v>1.7004423E7</v>
      </c>
      <c r="E245" s="1" t="s">
        <v>25</v>
      </c>
      <c r="F245" s="1" t="s">
        <v>25</v>
      </c>
      <c r="G245" s="1" t="s">
        <v>25</v>
      </c>
      <c r="H245" s="1" t="s">
        <v>25</v>
      </c>
      <c r="I245" s="1" t="s">
        <v>25</v>
      </c>
      <c r="J245" s="1" t="s">
        <v>25</v>
      </c>
      <c r="K245" s="1" t="s">
        <v>25</v>
      </c>
      <c r="L245" s="1" t="s">
        <v>25</v>
      </c>
      <c r="M245" s="1">
        <v>3.512045275E9</v>
      </c>
      <c r="N245" s="1" t="s">
        <v>1221</v>
      </c>
      <c r="O245" s="1" t="s">
        <v>25</v>
      </c>
      <c r="P245" s="1" t="s">
        <v>25</v>
      </c>
      <c r="Q245" s="1" t="s">
        <v>25</v>
      </c>
      <c r="R245" s="1" t="s">
        <v>25</v>
      </c>
      <c r="S245" s="2">
        <v>45895.569814814815</v>
      </c>
      <c r="T245" s="2">
        <v>45895.569814814815</v>
      </c>
    </row>
    <row r="246">
      <c r="A246" s="1" t="s">
        <v>363</v>
      </c>
      <c r="B246" s="1">
        <v>2.0</v>
      </c>
      <c r="C246" s="1">
        <v>96.0</v>
      </c>
      <c r="D246" s="1">
        <v>4.2856498E7</v>
      </c>
      <c r="E246" s="1" t="s">
        <v>25</v>
      </c>
      <c r="F246" s="1" t="s">
        <v>25</v>
      </c>
      <c r="G246" s="1" t="s">
        <v>25</v>
      </c>
      <c r="H246" s="1" t="s">
        <v>25</v>
      </c>
      <c r="I246" s="1" t="s">
        <v>25</v>
      </c>
      <c r="J246" s="1" t="s">
        <v>25</v>
      </c>
      <c r="K246" s="1" t="s">
        <v>25</v>
      </c>
      <c r="L246" s="1" t="s">
        <v>25</v>
      </c>
      <c r="M246" s="1">
        <v>3.515907743E9</v>
      </c>
      <c r="N246" s="1" t="s">
        <v>25</v>
      </c>
      <c r="O246" s="1" t="s">
        <v>25</v>
      </c>
      <c r="P246" s="1" t="s">
        <v>25</v>
      </c>
      <c r="Q246" s="1" t="s">
        <v>25</v>
      </c>
      <c r="R246" s="1" t="s">
        <v>25</v>
      </c>
      <c r="S246" s="2">
        <v>45896.44564814815</v>
      </c>
      <c r="T246" s="2">
        <v>45905.54990740741</v>
      </c>
    </row>
    <row r="247">
      <c r="A247" s="1" t="s">
        <v>365</v>
      </c>
      <c r="B247" s="1">
        <v>1.0</v>
      </c>
      <c r="C247" s="1">
        <v>96.0</v>
      </c>
      <c r="D247" s="1">
        <v>1.6407822E7</v>
      </c>
      <c r="E247" s="1" t="s">
        <v>25</v>
      </c>
      <c r="F247" s="1" t="s">
        <v>25</v>
      </c>
      <c r="G247" s="1" t="s">
        <v>25</v>
      </c>
      <c r="H247" s="1" t="s">
        <v>25</v>
      </c>
      <c r="I247" s="1" t="s">
        <v>25</v>
      </c>
      <c r="J247" s="1" t="s">
        <v>25</v>
      </c>
      <c r="K247" s="1" t="s">
        <v>25</v>
      </c>
      <c r="L247" s="1" t="s">
        <v>25</v>
      </c>
      <c r="M247" s="1">
        <v>3.517048005E9</v>
      </c>
      <c r="N247" s="1" t="s">
        <v>25</v>
      </c>
      <c r="O247" s="1" t="s">
        <v>25</v>
      </c>
      <c r="P247" s="1" t="s">
        <v>25</v>
      </c>
      <c r="Q247" s="1" t="s">
        <v>25</v>
      </c>
      <c r="R247" s="1" t="s">
        <v>25</v>
      </c>
      <c r="S247" s="2">
        <v>45896.528969907406</v>
      </c>
      <c r="T247" s="2">
        <v>45896.528969907406</v>
      </c>
    </row>
    <row r="248">
      <c r="A248" s="1" t="s">
        <v>371</v>
      </c>
      <c r="B248" s="1" t="s">
        <v>25</v>
      </c>
      <c r="C248" s="1">
        <v>96.0</v>
      </c>
      <c r="D248" s="1">
        <v>2.8639852E7</v>
      </c>
      <c r="E248" s="1" t="s">
        <v>25</v>
      </c>
      <c r="F248" s="1" t="s">
        <v>25</v>
      </c>
      <c r="G248" s="1" t="s">
        <v>25</v>
      </c>
      <c r="H248" s="1" t="s">
        <v>25</v>
      </c>
      <c r="I248" s="1" t="s">
        <v>25</v>
      </c>
      <c r="J248" s="1" t="s">
        <v>25</v>
      </c>
      <c r="K248" s="1" t="s">
        <v>25</v>
      </c>
      <c r="L248" s="1" t="s">
        <v>25</v>
      </c>
      <c r="M248" s="1">
        <v>1.151050713E9</v>
      </c>
      <c r="N248" s="1" t="s">
        <v>25</v>
      </c>
      <c r="O248" s="1" t="s">
        <v>25</v>
      </c>
      <c r="P248" s="1" t="s">
        <v>25</v>
      </c>
      <c r="Q248" s="1" t="s">
        <v>25</v>
      </c>
      <c r="R248" s="1" t="s">
        <v>25</v>
      </c>
      <c r="S248" s="2">
        <v>45896.778958333336</v>
      </c>
      <c r="T248" s="2">
        <v>45896.778958333336</v>
      </c>
    </row>
    <row r="249">
      <c r="A249" s="1" t="s">
        <v>368</v>
      </c>
      <c r="B249" s="1">
        <v>1.0</v>
      </c>
      <c r="C249" s="1">
        <v>96.0</v>
      </c>
      <c r="D249" s="1">
        <v>2.661257E7</v>
      </c>
      <c r="E249" s="1" t="s">
        <v>25</v>
      </c>
      <c r="F249" s="1" t="s">
        <v>25</v>
      </c>
      <c r="G249" s="1" t="s">
        <v>25</v>
      </c>
      <c r="H249" s="1" t="s">
        <v>25</v>
      </c>
      <c r="I249" s="1" t="s">
        <v>25</v>
      </c>
      <c r="J249" s="1" t="s">
        <v>25</v>
      </c>
      <c r="K249" s="1" t="s">
        <v>25</v>
      </c>
      <c r="L249" s="1" t="s">
        <v>25</v>
      </c>
      <c r="M249" s="1">
        <v>3.516741888E9</v>
      </c>
      <c r="N249" s="1" t="s">
        <v>1222</v>
      </c>
      <c r="O249" s="1" t="s">
        <v>25</v>
      </c>
      <c r="P249" s="1" t="s">
        <v>25</v>
      </c>
      <c r="Q249" s="1" t="s">
        <v>25</v>
      </c>
      <c r="R249" s="1" t="s">
        <v>25</v>
      </c>
      <c r="S249" s="2">
        <v>45897.70857638889</v>
      </c>
      <c r="T249" s="2">
        <v>45897.70857638889</v>
      </c>
    </row>
    <row r="250">
      <c r="A250" s="1" t="s">
        <v>369</v>
      </c>
      <c r="B250" s="1">
        <v>1.0</v>
      </c>
      <c r="C250" s="1">
        <v>96.0</v>
      </c>
      <c r="D250" s="1">
        <v>3.9096072E7</v>
      </c>
      <c r="E250" s="1" t="s">
        <v>25</v>
      </c>
      <c r="F250" s="1" t="s">
        <v>25</v>
      </c>
      <c r="G250" s="1" t="s">
        <v>25</v>
      </c>
      <c r="H250" s="1" t="s">
        <v>25</v>
      </c>
      <c r="I250" s="1" t="s">
        <v>1223</v>
      </c>
      <c r="J250" s="1" t="s">
        <v>25</v>
      </c>
      <c r="K250" s="1">
        <v>28.0</v>
      </c>
      <c r="L250" s="1">
        <v>2.0</v>
      </c>
      <c r="M250" s="3">
        <f>+541156643974</f>
        <v>541156643974</v>
      </c>
      <c r="N250" s="1" t="s">
        <v>1224</v>
      </c>
      <c r="O250" s="1" t="s">
        <v>25</v>
      </c>
      <c r="P250" s="1" t="s">
        <v>25</v>
      </c>
      <c r="Q250" s="1" t="s">
        <v>25</v>
      </c>
      <c r="R250" s="1" t="s">
        <v>25</v>
      </c>
      <c r="S250" s="2">
        <v>45897.79386574074</v>
      </c>
      <c r="T250" s="2">
        <v>45897.79386574074</v>
      </c>
    </row>
    <row r="251">
      <c r="A251" s="1" t="s">
        <v>370</v>
      </c>
      <c r="B251" s="1">
        <v>1.0</v>
      </c>
      <c r="C251" s="1">
        <v>96.0</v>
      </c>
      <c r="D251" s="1">
        <v>1.8014416E7</v>
      </c>
      <c r="E251" s="1" t="s">
        <v>25</v>
      </c>
      <c r="F251" s="1" t="s">
        <v>25</v>
      </c>
      <c r="G251" s="1" t="s">
        <v>25</v>
      </c>
      <c r="H251" s="1" t="s">
        <v>25</v>
      </c>
      <c r="I251" s="1" t="s">
        <v>25</v>
      </c>
      <c r="J251" s="1" t="s">
        <v>25</v>
      </c>
      <c r="K251" s="1" t="s">
        <v>25</v>
      </c>
      <c r="L251" s="1" t="s">
        <v>25</v>
      </c>
      <c r="M251" s="1">
        <v>3.51541723E9</v>
      </c>
      <c r="N251" s="1" t="s">
        <v>25</v>
      </c>
      <c r="O251" s="1" t="s">
        <v>25</v>
      </c>
      <c r="P251" s="1" t="s">
        <v>25</v>
      </c>
      <c r="Q251" s="1" t="s">
        <v>25</v>
      </c>
      <c r="R251" s="1" t="s">
        <v>25</v>
      </c>
      <c r="S251" s="2">
        <v>45899.46197916667</v>
      </c>
      <c r="T251" s="2">
        <v>45899.46197916667</v>
      </c>
    </row>
    <row r="252">
      <c r="A252" s="1" t="s">
        <v>380</v>
      </c>
      <c r="B252" s="1">
        <v>1.0</v>
      </c>
      <c r="C252" s="1">
        <v>96.0</v>
      </c>
      <c r="D252" s="1">
        <v>3.1288011E7</v>
      </c>
      <c r="E252" s="1" t="s">
        <v>25</v>
      </c>
      <c r="F252" s="1" t="s">
        <v>25</v>
      </c>
      <c r="G252" s="1" t="s">
        <v>25</v>
      </c>
      <c r="H252" s="1" t="s">
        <v>25</v>
      </c>
      <c r="I252" s="1" t="s">
        <v>25</v>
      </c>
      <c r="J252" s="1" t="s">
        <v>25</v>
      </c>
      <c r="K252" s="1" t="s">
        <v>25</v>
      </c>
      <c r="L252" s="1" t="s">
        <v>25</v>
      </c>
      <c r="M252" s="1">
        <v>3.516974453E9</v>
      </c>
      <c r="N252" s="1" t="s">
        <v>25</v>
      </c>
      <c r="O252" s="1" t="s">
        <v>25</v>
      </c>
      <c r="P252" s="1" t="s">
        <v>25</v>
      </c>
      <c r="Q252" s="1" t="s">
        <v>25</v>
      </c>
      <c r="R252" s="1" t="s">
        <v>25</v>
      </c>
      <c r="S252" s="2">
        <v>45901.869988425926</v>
      </c>
      <c r="T252" s="2">
        <v>45901.869988425926</v>
      </c>
    </row>
    <row r="253">
      <c r="A253" s="1" t="s">
        <v>381</v>
      </c>
      <c r="B253" s="1">
        <v>2.0</v>
      </c>
      <c r="C253" s="1">
        <v>96.0</v>
      </c>
      <c r="D253" s="1">
        <v>0.0</v>
      </c>
      <c r="E253" s="1" t="s">
        <v>25</v>
      </c>
      <c r="F253" s="1" t="s">
        <v>25</v>
      </c>
      <c r="G253" s="1" t="s">
        <v>25</v>
      </c>
      <c r="H253" s="1" t="s">
        <v>25</v>
      </c>
      <c r="I253" s="1" t="s">
        <v>25</v>
      </c>
      <c r="J253" s="1" t="s">
        <v>25</v>
      </c>
      <c r="K253" s="1" t="s">
        <v>25</v>
      </c>
      <c r="L253" s="1" t="s">
        <v>25</v>
      </c>
      <c r="M253" s="1">
        <v>3.516974453E9</v>
      </c>
      <c r="N253" s="1" t="s">
        <v>25</v>
      </c>
      <c r="O253" s="1" t="s">
        <v>25</v>
      </c>
      <c r="P253" s="1" t="s">
        <v>25</v>
      </c>
      <c r="Q253" s="1" t="s">
        <v>25</v>
      </c>
      <c r="R253" s="1" t="s">
        <v>25</v>
      </c>
      <c r="S253" s="2">
        <v>45901.872395833336</v>
      </c>
      <c r="T253" s="2">
        <v>45901.872395833336</v>
      </c>
    </row>
    <row r="254">
      <c r="A254" s="1" t="s">
        <v>383</v>
      </c>
      <c r="B254" s="1">
        <v>1.0</v>
      </c>
      <c r="C254" s="1">
        <v>96.0</v>
      </c>
      <c r="D254" s="1">
        <v>2.5608859E7</v>
      </c>
      <c r="E254" s="1" t="s">
        <v>25</v>
      </c>
      <c r="F254" s="1" t="s">
        <v>25</v>
      </c>
      <c r="G254" s="1" t="s">
        <v>25</v>
      </c>
      <c r="H254" s="1" t="s">
        <v>25</v>
      </c>
      <c r="I254" s="1" t="s">
        <v>25</v>
      </c>
      <c r="J254" s="1" t="s">
        <v>25</v>
      </c>
      <c r="K254" s="1" t="s">
        <v>25</v>
      </c>
      <c r="L254" s="1" t="s">
        <v>25</v>
      </c>
      <c r="M254" s="1">
        <v>3.513262906E9</v>
      </c>
      <c r="N254" s="1" t="s">
        <v>1225</v>
      </c>
      <c r="O254" s="1" t="s">
        <v>25</v>
      </c>
      <c r="P254" s="1" t="s">
        <v>25</v>
      </c>
      <c r="Q254" s="1">
        <v>7.0</v>
      </c>
      <c r="R254" s="1" t="s">
        <v>25</v>
      </c>
      <c r="S254" s="2">
        <v>45902.77395833333</v>
      </c>
      <c r="T254" s="2">
        <v>45902.77395833333</v>
      </c>
    </row>
    <row r="255">
      <c r="A255" s="1" t="s">
        <v>382</v>
      </c>
      <c r="B255" s="1">
        <v>1.0</v>
      </c>
      <c r="C255" s="1">
        <v>96.0</v>
      </c>
      <c r="D255" s="1">
        <v>3395232.0</v>
      </c>
      <c r="E255" s="1" t="s">
        <v>25</v>
      </c>
      <c r="F255" s="1" t="s">
        <v>25</v>
      </c>
      <c r="G255" s="1" t="s">
        <v>25</v>
      </c>
      <c r="H255" s="1" t="s">
        <v>25</v>
      </c>
      <c r="I255" s="1" t="s">
        <v>25</v>
      </c>
      <c r="J255" s="1" t="s">
        <v>25</v>
      </c>
      <c r="K255" s="1" t="s">
        <v>25</v>
      </c>
      <c r="L255" s="1" t="s">
        <v>25</v>
      </c>
      <c r="M255" s="1">
        <v>3.518103865E9</v>
      </c>
      <c r="N255" s="1" t="s">
        <v>25</v>
      </c>
      <c r="O255" s="1" t="s">
        <v>25</v>
      </c>
      <c r="P255" s="1" t="s">
        <v>25</v>
      </c>
      <c r="Q255" s="1" t="s">
        <v>25</v>
      </c>
      <c r="R255" s="1" t="s">
        <v>25</v>
      </c>
      <c r="S255" s="2">
        <v>45903.734351851854</v>
      </c>
      <c r="T255" s="2">
        <v>45903.734351851854</v>
      </c>
    </row>
    <row r="256">
      <c r="A256" s="1" t="s">
        <v>384</v>
      </c>
      <c r="B256" s="1">
        <v>1.0</v>
      </c>
      <c r="C256" s="1">
        <v>96.0</v>
      </c>
      <c r="D256" s="1">
        <v>2.8118432E7</v>
      </c>
      <c r="E256" s="1" t="s">
        <v>25</v>
      </c>
      <c r="F256" s="1" t="s">
        <v>25</v>
      </c>
      <c r="G256" s="1" t="s">
        <v>25</v>
      </c>
      <c r="H256" s="1" t="s">
        <v>25</v>
      </c>
      <c r="I256" s="1" t="s">
        <v>25</v>
      </c>
      <c r="J256" s="1" t="s">
        <v>25</v>
      </c>
      <c r="K256" s="1" t="s">
        <v>25</v>
      </c>
      <c r="L256" s="1" t="s">
        <v>25</v>
      </c>
      <c r="M256" s="1">
        <v>3.516201327E9</v>
      </c>
      <c r="N256" s="1" t="s">
        <v>25</v>
      </c>
      <c r="O256" s="1" t="s">
        <v>25</v>
      </c>
      <c r="P256" s="1" t="s">
        <v>25</v>
      </c>
      <c r="Q256" s="1" t="s">
        <v>25</v>
      </c>
      <c r="R256" s="1" t="s">
        <v>25</v>
      </c>
      <c r="S256" s="2">
        <v>45903.740625</v>
      </c>
      <c r="T256" s="2">
        <v>45903.740625</v>
      </c>
    </row>
    <row r="257">
      <c r="A257" s="1" t="s">
        <v>385</v>
      </c>
      <c r="B257" s="1">
        <v>1.0</v>
      </c>
      <c r="C257" s="1" t="s">
        <v>25</v>
      </c>
      <c r="D257" s="1">
        <v>4120814.0</v>
      </c>
      <c r="E257" s="1" t="s">
        <v>25</v>
      </c>
      <c r="F257" s="1" t="s">
        <v>25</v>
      </c>
      <c r="G257" s="1" t="s">
        <v>25</v>
      </c>
      <c r="H257" s="1" t="s">
        <v>25</v>
      </c>
      <c r="I257" s="1" t="s">
        <v>25</v>
      </c>
      <c r="J257" s="1" t="s">
        <v>25</v>
      </c>
      <c r="K257" s="1" t="s">
        <v>25</v>
      </c>
      <c r="L257" s="1" t="s">
        <v>25</v>
      </c>
      <c r="M257" s="1" t="s">
        <v>1226</v>
      </c>
      <c r="N257" s="1" t="s">
        <v>25</v>
      </c>
      <c r="O257" s="1" t="s">
        <v>25</v>
      </c>
      <c r="P257" s="1" t="s">
        <v>25</v>
      </c>
      <c r="Q257" s="1" t="s">
        <v>25</v>
      </c>
      <c r="R257" s="1" t="s">
        <v>25</v>
      </c>
      <c r="S257" s="2">
        <v>45903.799108796295</v>
      </c>
      <c r="T257" s="2">
        <v>45903.799108796295</v>
      </c>
    </row>
    <row r="258">
      <c r="A258" s="1" t="s">
        <v>386</v>
      </c>
      <c r="B258" s="1">
        <v>1.0</v>
      </c>
      <c r="C258" s="1">
        <v>96.0</v>
      </c>
      <c r="D258" s="1">
        <v>2.0784737E7</v>
      </c>
      <c r="E258" s="1" t="s">
        <v>25</v>
      </c>
      <c r="F258" s="1" t="s">
        <v>25</v>
      </c>
      <c r="G258" s="1" t="s">
        <v>25</v>
      </c>
      <c r="H258" s="1" t="s">
        <v>25</v>
      </c>
      <c r="I258" s="1" t="s">
        <v>25</v>
      </c>
      <c r="J258" s="1" t="s">
        <v>25</v>
      </c>
      <c r="K258" s="1" t="s">
        <v>25</v>
      </c>
      <c r="L258" s="1" t="s">
        <v>25</v>
      </c>
      <c r="M258" s="1">
        <v>3.515310606E9</v>
      </c>
      <c r="N258" s="1" t="s">
        <v>25</v>
      </c>
      <c r="O258" s="1" t="s">
        <v>25</v>
      </c>
      <c r="P258" s="1" t="s">
        <v>25</v>
      </c>
      <c r="Q258" s="1" t="s">
        <v>25</v>
      </c>
      <c r="R258" s="1" t="s">
        <v>25</v>
      </c>
      <c r="S258" s="2">
        <v>45903.80725694444</v>
      </c>
      <c r="T258" s="2">
        <v>45903.80725694444</v>
      </c>
    </row>
    <row r="259">
      <c r="A259" s="1" t="s">
        <v>387</v>
      </c>
      <c r="B259" s="1" t="s">
        <v>25</v>
      </c>
      <c r="C259" s="1">
        <v>96.0</v>
      </c>
      <c r="D259" s="4">
        <v>2.1902143E7</v>
      </c>
      <c r="E259" s="1" t="s">
        <v>25</v>
      </c>
      <c r="F259" s="1" t="s">
        <v>25</v>
      </c>
      <c r="G259" s="1" t="s">
        <v>25</v>
      </c>
      <c r="H259" s="1" t="s">
        <v>25</v>
      </c>
      <c r="I259" s="1" t="s">
        <v>25</v>
      </c>
      <c r="J259" s="1" t="s">
        <v>25</v>
      </c>
      <c r="K259" s="1" t="s">
        <v>25</v>
      </c>
      <c r="L259" s="1" t="s">
        <v>25</v>
      </c>
      <c r="M259" s="1">
        <v>3.515294633E9</v>
      </c>
      <c r="N259" s="1" t="s">
        <v>25</v>
      </c>
      <c r="O259" s="1" t="s">
        <v>25</v>
      </c>
      <c r="P259" s="1" t="s">
        <v>25</v>
      </c>
      <c r="Q259" s="1" t="s">
        <v>25</v>
      </c>
      <c r="R259" s="1" t="s">
        <v>25</v>
      </c>
      <c r="S259" s="2">
        <v>45903.82481481481</v>
      </c>
      <c r="T259" s="2">
        <v>45903.82481481481</v>
      </c>
    </row>
    <row r="260">
      <c r="A260" s="1" t="s">
        <v>388</v>
      </c>
      <c r="B260" s="1">
        <v>2.0</v>
      </c>
      <c r="C260" s="1">
        <v>96.0</v>
      </c>
      <c r="D260" s="1">
        <v>1.4835924E7</v>
      </c>
      <c r="E260" s="1" t="s">
        <v>25</v>
      </c>
      <c r="F260" s="1" t="s">
        <v>25</v>
      </c>
      <c r="G260" s="1" t="s">
        <v>25</v>
      </c>
      <c r="H260" s="1" t="s">
        <v>25</v>
      </c>
      <c r="I260" s="1" t="s">
        <v>25</v>
      </c>
      <c r="J260" s="1" t="s">
        <v>25</v>
      </c>
      <c r="K260" s="1" t="s">
        <v>25</v>
      </c>
      <c r="L260" s="1" t="s">
        <v>25</v>
      </c>
      <c r="M260" s="1">
        <v>3.512676444E9</v>
      </c>
      <c r="N260" s="1" t="s">
        <v>25</v>
      </c>
      <c r="O260" s="1" t="s">
        <v>25</v>
      </c>
      <c r="P260" s="1" t="s">
        <v>25</v>
      </c>
      <c r="Q260" s="1" t="s">
        <v>25</v>
      </c>
      <c r="R260" s="1" t="s">
        <v>25</v>
      </c>
      <c r="S260" s="2">
        <v>45904.50534722222</v>
      </c>
      <c r="T260" s="2">
        <v>45904.50534722222</v>
      </c>
    </row>
    <row r="261">
      <c r="A261" s="1" t="s">
        <v>389</v>
      </c>
      <c r="B261" s="1">
        <v>1.0</v>
      </c>
      <c r="C261" s="1">
        <v>96.0</v>
      </c>
      <c r="D261" s="1">
        <v>1.7843749E7</v>
      </c>
      <c r="E261" s="1" t="s">
        <v>25</v>
      </c>
      <c r="F261" s="1" t="s">
        <v>25</v>
      </c>
      <c r="G261" s="1" t="s">
        <v>25</v>
      </c>
      <c r="H261" s="5">
        <v>24256.0</v>
      </c>
      <c r="I261" s="1" t="s">
        <v>25</v>
      </c>
      <c r="J261" s="1" t="s">
        <v>25</v>
      </c>
      <c r="K261" s="1" t="s">
        <v>25</v>
      </c>
      <c r="L261" s="1" t="s">
        <v>25</v>
      </c>
      <c r="M261" s="1">
        <v>3.515211001E9</v>
      </c>
      <c r="N261" s="1" t="s">
        <v>1227</v>
      </c>
      <c r="O261" s="1" t="s">
        <v>25</v>
      </c>
      <c r="P261" s="1" t="s">
        <v>25</v>
      </c>
      <c r="Q261" s="1" t="s">
        <v>25</v>
      </c>
      <c r="R261" s="1" t="s">
        <v>25</v>
      </c>
      <c r="S261" s="2">
        <v>45904.72493055555</v>
      </c>
      <c r="T261" s="2">
        <v>45904.72493055555</v>
      </c>
    </row>
    <row r="262">
      <c r="A262" s="1" t="s">
        <v>393</v>
      </c>
      <c r="B262" s="1">
        <v>2.0</v>
      </c>
      <c r="C262" s="1">
        <v>96.0</v>
      </c>
      <c r="D262" s="1">
        <v>2.5203342E7</v>
      </c>
      <c r="E262" s="1" t="s">
        <v>25</v>
      </c>
      <c r="F262" s="1" t="s">
        <v>25</v>
      </c>
      <c r="G262" s="1" t="s">
        <v>25</v>
      </c>
      <c r="H262" s="1" t="s">
        <v>25</v>
      </c>
      <c r="I262" s="1" t="s">
        <v>25</v>
      </c>
      <c r="J262" s="1" t="s">
        <v>25</v>
      </c>
      <c r="K262" s="1" t="s">
        <v>25</v>
      </c>
      <c r="L262" s="1" t="s">
        <v>25</v>
      </c>
      <c r="M262" s="1">
        <v>3.512362872E9</v>
      </c>
      <c r="N262" s="1" t="s">
        <v>25</v>
      </c>
      <c r="O262" s="1" t="s">
        <v>25</v>
      </c>
      <c r="P262" s="1" t="s">
        <v>25</v>
      </c>
      <c r="Q262" s="1" t="s">
        <v>25</v>
      </c>
      <c r="R262" s="1" t="s">
        <v>25</v>
      </c>
      <c r="S262" s="2">
        <v>45908.530335648145</v>
      </c>
      <c r="T262" s="2">
        <v>45908.530335648145</v>
      </c>
    </row>
    <row r="263">
      <c r="A263" s="1" t="s">
        <v>391</v>
      </c>
      <c r="B263" s="1">
        <v>1.0</v>
      </c>
      <c r="C263" s="1">
        <v>96.0</v>
      </c>
      <c r="D263" s="1">
        <v>1.6744963E7</v>
      </c>
      <c r="E263" s="1" t="s">
        <v>25</v>
      </c>
      <c r="F263" s="1" t="s">
        <v>25</v>
      </c>
      <c r="G263" s="1" t="s">
        <v>25</v>
      </c>
      <c r="H263" s="1" t="s">
        <v>25</v>
      </c>
      <c r="I263" s="1" t="s">
        <v>25</v>
      </c>
      <c r="J263" s="1" t="s">
        <v>25</v>
      </c>
      <c r="K263" s="1" t="s">
        <v>25</v>
      </c>
      <c r="L263" s="1" t="s">
        <v>25</v>
      </c>
      <c r="M263" s="1">
        <v>3.513207772E9</v>
      </c>
      <c r="N263" s="1" t="s">
        <v>25</v>
      </c>
      <c r="O263" s="1" t="s">
        <v>25</v>
      </c>
      <c r="P263" s="1" t="s">
        <v>25</v>
      </c>
      <c r="Q263" s="1" t="s">
        <v>25</v>
      </c>
      <c r="R263" s="1" t="s">
        <v>25</v>
      </c>
      <c r="S263" s="2">
        <v>45908.54148148148</v>
      </c>
      <c r="T263" s="2">
        <v>45908.54148148148</v>
      </c>
    </row>
    <row r="264">
      <c r="A264" s="1" t="s">
        <v>392</v>
      </c>
      <c r="B264" s="1">
        <v>2.0</v>
      </c>
      <c r="C264" s="1">
        <v>96.0</v>
      </c>
      <c r="D264" s="1">
        <v>3.4162649E7</v>
      </c>
      <c r="E264" s="1" t="s">
        <v>25</v>
      </c>
      <c r="F264" s="1" t="s">
        <v>25</v>
      </c>
      <c r="G264" s="1" t="s">
        <v>25</v>
      </c>
      <c r="H264" s="1" t="s">
        <v>25</v>
      </c>
      <c r="I264" s="1" t="s">
        <v>25</v>
      </c>
      <c r="J264" s="1" t="s">
        <v>25</v>
      </c>
      <c r="K264" s="1" t="s">
        <v>25</v>
      </c>
      <c r="L264" s="1" t="s">
        <v>25</v>
      </c>
      <c r="M264" s="1">
        <v>3.513971515E9</v>
      </c>
      <c r="N264" s="1" t="s">
        <v>25</v>
      </c>
      <c r="O264" s="1" t="s">
        <v>25</v>
      </c>
      <c r="P264" s="1" t="s">
        <v>25</v>
      </c>
      <c r="Q264" s="1" t="s">
        <v>25</v>
      </c>
      <c r="R264" s="1" t="s">
        <v>25</v>
      </c>
      <c r="S264" s="2">
        <v>45908.80832175926</v>
      </c>
      <c r="T264" s="2">
        <v>45908.80832175926</v>
      </c>
    </row>
    <row r="265">
      <c r="A265" s="1" t="s">
        <v>414</v>
      </c>
      <c r="B265" s="1">
        <v>1.0</v>
      </c>
      <c r="C265" s="1">
        <v>96.0</v>
      </c>
      <c r="D265" s="1">
        <v>3.2907118E7</v>
      </c>
      <c r="E265" s="1" t="s">
        <v>25</v>
      </c>
      <c r="F265" s="1" t="s">
        <v>25</v>
      </c>
      <c r="G265" s="1" t="s">
        <v>25</v>
      </c>
      <c r="H265" s="1" t="s">
        <v>25</v>
      </c>
      <c r="I265" s="1" t="s">
        <v>1228</v>
      </c>
      <c r="J265" s="1" t="s">
        <v>25</v>
      </c>
      <c r="K265" s="1">
        <v>81.0</v>
      </c>
      <c r="L265" s="1">
        <v>2.0</v>
      </c>
      <c r="M265" s="3">
        <f>+542236002602</f>
        <v>542236002602</v>
      </c>
      <c r="N265" s="1" t="s">
        <v>1229</v>
      </c>
      <c r="O265" s="1" t="s">
        <v>25</v>
      </c>
      <c r="P265" s="1" t="s">
        <v>25</v>
      </c>
      <c r="Q265" s="1" t="s">
        <v>25</v>
      </c>
      <c r="R265" s="1" t="s">
        <v>25</v>
      </c>
      <c r="S265" s="2">
        <v>45909.43146990741</v>
      </c>
      <c r="T265" s="2">
        <v>45917.40054398148</v>
      </c>
    </row>
    <row r="266">
      <c r="A266" s="1" t="s">
        <v>396</v>
      </c>
      <c r="B266" s="1">
        <v>2.0</v>
      </c>
      <c r="C266" s="1">
        <v>96.0</v>
      </c>
      <c r="D266" s="1">
        <v>0.0</v>
      </c>
      <c r="E266" s="1" t="s">
        <v>25</v>
      </c>
      <c r="F266" s="1" t="s">
        <v>25</v>
      </c>
      <c r="G266" s="1" t="s">
        <v>25</v>
      </c>
      <c r="H266" s="1" t="s">
        <v>25</v>
      </c>
      <c r="I266" s="1" t="s">
        <v>25</v>
      </c>
      <c r="J266" s="1" t="s">
        <v>25</v>
      </c>
      <c r="K266" s="1" t="s">
        <v>25</v>
      </c>
      <c r="L266" s="1" t="s">
        <v>25</v>
      </c>
      <c r="M266" s="1">
        <v>0.0</v>
      </c>
      <c r="N266" s="1" t="s">
        <v>25</v>
      </c>
      <c r="O266" s="1" t="s">
        <v>25</v>
      </c>
      <c r="P266" s="1" t="s">
        <v>25</v>
      </c>
      <c r="Q266" s="1" t="s">
        <v>25</v>
      </c>
      <c r="R266" s="1" t="s">
        <v>25</v>
      </c>
      <c r="S266" s="2">
        <v>45909.46335648148</v>
      </c>
      <c r="T266" s="2">
        <v>45909.46335648148</v>
      </c>
    </row>
    <row r="267">
      <c r="A267" s="1" t="s">
        <v>398</v>
      </c>
      <c r="B267" s="1">
        <v>2.0</v>
      </c>
      <c r="C267" s="1">
        <v>96.0</v>
      </c>
      <c r="D267" s="1">
        <v>4.1879057E7</v>
      </c>
      <c r="E267" s="1" t="s">
        <v>25</v>
      </c>
      <c r="F267" s="1" t="s">
        <v>25</v>
      </c>
      <c r="G267" s="1" t="s">
        <v>25</v>
      </c>
      <c r="H267" s="1" t="s">
        <v>25</v>
      </c>
      <c r="I267" s="1" t="s">
        <v>25</v>
      </c>
      <c r="J267" s="1" t="s">
        <v>25</v>
      </c>
      <c r="K267" s="1" t="s">
        <v>25</v>
      </c>
      <c r="L267" s="1" t="s">
        <v>25</v>
      </c>
      <c r="M267" s="1">
        <v>3.517520925E9</v>
      </c>
      <c r="N267" s="1" t="s">
        <v>25</v>
      </c>
      <c r="O267" s="1" t="s">
        <v>25</v>
      </c>
      <c r="P267" s="1" t="s">
        <v>1230</v>
      </c>
      <c r="Q267" s="1" t="s">
        <v>25</v>
      </c>
      <c r="R267" s="1" t="s">
        <v>25</v>
      </c>
      <c r="S267" s="2">
        <v>45910.50512731481</v>
      </c>
      <c r="T267" s="2">
        <v>45910.50512731481</v>
      </c>
    </row>
    <row r="268">
      <c r="A268" s="1" t="s">
        <v>399</v>
      </c>
      <c r="B268" s="1">
        <v>1.0</v>
      </c>
      <c r="C268" s="1">
        <v>96.0</v>
      </c>
      <c r="D268" s="1">
        <v>3.4015014E7</v>
      </c>
      <c r="E268" s="1" t="s">
        <v>25</v>
      </c>
      <c r="F268" s="1" t="s">
        <v>25</v>
      </c>
      <c r="G268" s="1" t="s">
        <v>25</v>
      </c>
      <c r="H268" s="5">
        <v>45918.0</v>
      </c>
      <c r="I268" s="1" t="s">
        <v>1231</v>
      </c>
      <c r="J268" s="1" t="s">
        <v>25</v>
      </c>
      <c r="K268" s="1" t="s">
        <v>25</v>
      </c>
      <c r="L268" s="1">
        <v>6.0</v>
      </c>
      <c r="M268" s="1">
        <v>3.456523944E9</v>
      </c>
      <c r="N268" s="1" t="s">
        <v>1232</v>
      </c>
      <c r="O268" s="1" t="s">
        <v>25</v>
      </c>
      <c r="P268" s="1" t="s">
        <v>25</v>
      </c>
      <c r="Q268" s="1" t="s">
        <v>25</v>
      </c>
      <c r="R268" s="1" t="s">
        <v>25</v>
      </c>
      <c r="S268" s="2">
        <v>45911.5103125</v>
      </c>
      <c r="T268" s="2">
        <v>45911.5103125</v>
      </c>
    </row>
    <row r="269">
      <c r="A269" s="1" t="s">
        <v>401</v>
      </c>
      <c r="B269" s="1">
        <v>2.0</v>
      </c>
      <c r="C269" s="1">
        <v>96.0</v>
      </c>
      <c r="D269" s="1">
        <v>2.8854534E7</v>
      </c>
      <c r="E269" s="1" t="s">
        <v>25</v>
      </c>
      <c r="F269" s="1" t="s">
        <v>25</v>
      </c>
      <c r="G269" s="1" t="s">
        <v>25</v>
      </c>
      <c r="H269" s="1" t="s">
        <v>25</v>
      </c>
      <c r="I269" s="1" t="s">
        <v>25</v>
      </c>
      <c r="J269" s="1" t="s">
        <v>25</v>
      </c>
      <c r="K269" s="1" t="s">
        <v>25</v>
      </c>
      <c r="L269" s="1" t="s">
        <v>25</v>
      </c>
      <c r="M269" s="1">
        <v>3.512437815E9</v>
      </c>
      <c r="N269" s="1" t="s">
        <v>1233</v>
      </c>
      <c r="O269" s="1" t="s">
        <v>25</v>
      </c>
      <c r="P269" s="1" t="s">
        <v>25</v>
      </c>
      <c r="Q269" s="1" t="s">
        <v>25</v>
      </c>
      <c r="R269" s="1" t="s">
        <v>25</v>
      </c>
      <c r="S269" s="2">
        <v>45911.720972222225</v>
      </c>
      <c r="T269" s="2">
        <v>45911.720972222225</v>
      </c>
    </row>
    <row r="270">
      <c r="A270" s="1" t="s">
        <v>403</v>
      </c>
      <c r="B270" s="1">
        <v>1.0</v>
      </c>
      <c r="C270" s="1">
        <v>96.0</v>
      </c>
      <c r="D270" s="1">
        <v>2.6391528E7</v>
      </c>
      <c r="E270" s="1" t="s">
        <v>25</v>
      </c>
      <c r="F270" s="1" t="s">
        <v>25</v>
      </c>
      <c r="G270" s="1" t="s">
        <v>25</v>
      </c>
      <c r="H270" s="1" t="s">
        <v>25</v>
      </c>
      <c r="I270" s="1" t="s">
        <v>25</v>
      </c>
      <c r="J270" s="1" t="s">
        <v>25</v>
      </c>
      <c r="K270" s="1" t="s">
        <v>25</v>
      </c>
      <c r="L270" s="1" t="s">
        <v>25</v>
      </c>
      <c r="M270" s="1">
        <v>3.515104752E9</v>
      </c>
      <c r="N270" s="1" t="s">
        <v>25</v>
      </c>
      <c r="O270" s="1" t="s">
        <v>25</v>
      </c>
      <c r="P270" s="1" t="s">
        <v>25</v>
      </c>
      <c r="Q270" s="1" t="s">
        <v>25</v>
      </c>
      <c r="R270" s="1" t="s">
        <v>25</v>
      </c>
      <c r="S270" s="2">
        <v>45913.43736111111</v>
      </c>
      <c r="T270" s="2">
        <v>45913.43736111111</v>
      </c>
    </row>
    <row r="271">
      <c r="A271" s="1" t="s">
        <v>404</v>
      </c>
      <c r="B271" s="1">
        <v>2.0</v>
      </c>
      <c r="C271" s="1" t="s">
        <v>25</v>
      </c>
      <c r="D271" s="1" t="s">
        <v>1234</v>
      </c>
      <c r="E271" s="1" t="s">
        <v>25</v>
      </c>
      <c r="F271" s="1" t="s">
        <v>25</v>
      </c>
      <c r="G271" s="1" t="s">
        <v>25</v>
      </c>
      <c r="H271" s="1" t="s">
        <v>25</v>
      </c>
      <c r="I271" s="1" t="s">
        <v>1235</v>
      </c>
      <c r="J271" s="1" t="s">
        <v>25</v>
      </c>
      <c r="K271" s="1">
        <v>168.0</v>
      </c>
      <c r="L271" s="1">
        <v>4.0</v>
      </c>
      <c r="M271" s="1" t="s">
        <v>1234</v>
      </c>
      <c r="N271" s="1" t="s">
        <v>1236</v>
      </c>
      <c r="O271" s="1" t="s">
        <v>25</v>
      </c>
      <c r="P271" s="1" t="s">
        <v>25</v>
      </c>
      <c r="Q271" s="1" t="s">
        <v>25</v>
      </c>
      <c r="R271" s="1" t="s">
        <v>25</v>
      </c>
      <c r="S271" s="2">
        <v>45913.50646990741</v>
      </c>
      <c r="T271" s="2">
        <v>45913.50677083333</v>
      </c>
    </row>
    <row r="272">
      <c r="A272" s="1" t="s">
        <v>407</v>
      </c>
      <c r="B272" s="1">
        <v>1.0</v>
      </c>
      <c r="C272" s="1">
        <v>96.0</v>
      </c>
      <c r="D272" s="1">
        <v>4.4370097E7</v>
      </c>
      <c r="E272" s="1" t="s">
        <v>25</v>
      </c>
      <c r="F272" s="1" t="s">
        <v>25</v>
      </c>
      <c r="G272" s="1" t="s">
        <v>25</v>
      </c>
      <c r="H272" s="1" t="s">
        <v>25</v>
      </c>
      <c r="I272" s="1" t="s">
        <v>25</v>
      </c>
      <c r="J272" s="1" t="s">
        <v>25</v>
      </c>
      <c r="K272" s="1" t="s">
        <v>25</v>
      </c>
      <c r="L272" s="1" t="s">
        <v>25</v>
      </c>
      <c r="M272" s="1">
        <v>3.515182889E9</v>
      </c>
      <c r="N272" s="1" t="s">
        <v>25</v>
      </c>
      <c r="O272" s="1" t="s">
        <v>25</v>
      </c>
      <c r="P272" s="1" t="s">
        <v>25</v>
      </c>
      <c r="Q272" s="1" t="s">
        <v>25</v>
      </c>
      <c r="R272" s="1" t="s">
        <v>25</v>
      </c>
      <c r="S272" s="2">
        <v>45913.52924768518</v>
      </c>
      <c r="T272" s="2">
        <v>45913.52924768518</v>
      </c>
    </row>
    <row r="273">
      <c r="A273" s="1" t="s">
        <v>408</v>
      </c>
      <c r="B273" s="1">
        <v>1.0</v>
      </c>
      <c r="C273" s="1">
        <v>96.0</v>
      </c>
      <c r="D273" s="1">
        <v>2.0651788E7</v>
      </c>
      <c r="E273" s="1" t="s">
        <v>25</v>
      </c>
      <c r="F273" s="1" t="s">
        <v>25</v>
      </c>
      <c r="G273" s="1" t="s">
        <v>25</v>
      </c>
      <c r="H273" s="5">
        <v>25544.0</v>
      </c>
      <c r="I273" s="1" t="s">
        <v>1237</v>
      </c>
      <c r="J273" s="1" t="s">
        <v>25</v>
      </c>
      <c r="K273" s="1" t="s">
        <v>25</v>
      </c>
      <c r="L273" s="1">
        <v>4.0</v>
      </c>
      <c r="M273" s="1">
        <v>3.52151385E9</v>
      </c>
      <c r="N273" s="1" t="s">
        <v>25</v>
      </c>
      <c r="O273" s="1" t="s">
        <v>25</v>
      </c>
      <c r="P273" s="1" t="s">
        <v>25</v>
      </c>
      <c r="Q273" s="1" t="s">
        <v>25</v>
      </c>
      <c r="R273" s="1" t="s">
        <v>1238</v>
      </c>
      <c r="S273" s="2">
        <v>45913.54332175926</v>
      </c>
      <c r="T273" s="2">
        <v>45913.54366898148</v>
      </c>
    </row>
    <row r="274">
      <c r="A274" s="1" t="s">
        <v>412</v>
      </c>
      <c r="B274" s="1">
        <v>1.0</v>
      </c>
      <c r="C274" s="1">
        <v>96.0</v>
      </c>
      <c r="D274" s="1">
        <v>2447332.0</v>
      </c>
      <c r="E274" s="1" t="s">
        <v>25</v>
      </c>
      <c r="F274" s="1" t="s">
        <v>25</v>
      </c>
      <c r="G274" s="1" t="s">
        <v>25</v>
      </c>
      <c r="H274" s="1" t="s">
        <v>25</v>
      </c>
      <c r="I274" s="1" t="s">
        <v>25</v>
      </c>
      <c r="J274" s="1" t="s">
        <v>25</v>
      </c>
      <c r="K274" s="1" t="s">
        <v>25</v>
      </c>
      <c r="L274" s="1" t="s">
        <v>25</v>
      </c>
      <c r="M274" s="1">
        <v>3.513854883E9</v>
      </c>
      <c r="N274" s="1" t="s">
        <v>25</v>
      </c>
      <c r="O274" s="1" t="s">
        <v>25</v>
      </c>
      <c r="P274" s="1" t="s">
        <v>25</v>
      </c>
      <c r="Q274" s="1" t="s">
        <v>25</v>
      </c>
      <c r="R274" s="1" t="s">
        <v>25</v>
      </c>
      <c r="S274" s="2">
        <v>45913.55934027778</v>
      </c>
      <c r="T274" s="2">
        <v>45913.55934027778</v>
      </c>
    </row>
    <row r="275">
      <c r="A275" s="1" t="s">
        <v>410</v>
      </c>
      <c r="B275" s="1">
        <v>1.0</v>
      </c>
      <c r="C275" s="1">
        <v>96.0</v>
      </c>
      <c r="D275" s="1">
        <v>2.2051946E7</v>
      </c>
      <c r="E275" s="1" t="s">
        <v>25</v>
      </c>
      <c r="F275" s="1" t="s">
        <v>25</v>
      </c>
      <c r="G275" s="1" t="s">
        <v>25</v>
      </c>
      <c r="H275" s="1" t="s">
        <v>25</v>
      </c>
      <c r="I275" s="1" t="s">
        <v>25</v>
      </c>
      <c r="J275" s="1" t="s">
        <v>25</v>
      </c>
      <c r="K275" s="1" t="s">
        <v>25</v>
      </c>
      <c r="L275" s="1" t="s">
        <v>25</v>
      </c>
      <c r="M275" s="1">
        <v>3.516714437E9</v>
      </c>
      <c r="N275" s="1" t="s">
        <v>25</v>
      </c>
      <c r="O275" s="1" t="s">
        <v>25</v>
      </c>
      <c r="P275" s="1" t="s">
        <v>25</v>
      </c>
      <c r="Q275" s="1" t="s">
        <v>25</v>
      </c>
      <c r="R275" s="1" t="s">
        <v>25</v>
      </c>
      <c r="S275" s="2">
        <v>45913.58672453704</v>
      </c>
      <c r="T275" s="2">
        <v>45913.58672453704</v>
      </c>
    </row>
    <row r="276">
      <c r="A276" s="1" t="s">
        <v>411</v>
      </c>
      <c r="B276" s="1" t="s">
        <v>25</v>
      </c>
      <c r="C276" s="1" t="s">
        <v>25</v>
      </c>
      <c r="D276" s="1">
        <v>2.8117948E7</v>
      </c>
      <c r="E276" s="1" t="s">
        <v>25</v>
      </c>
      <c r="F276" s="1" t="s">
        <v>25</v>
      </c>
      <c r="G276" s="1" t="s">
        <v>25</v>
      </c>
      <c r="H276" s="1" t="s">
        <v>25</v>
      </c>
      <c r="I276" s="1" t="s">
        <v>25</v>
      </c>
      <c r="J276" s="1" t="s">
        <v>25</v>
      </c>
      <c r="K276" s="1" t="s">
        <v>25</v>
      </c>
      <c r="L276" s="1" t="s">
        <v>25</v>
      </c>
      <c r="M276" s="1">
        <v>3.515098892E9</v>
      </c>
      <c r="N276" s="1" t="s">
        <v>25</v>
      </c>
      <c r="O276" s="1" t="s">
        <v>25</v>
      </c>
      <c r="P276" s="1" t="s">
        <v>25</v>
      </c>
      <c r="Q276" s="1" t="s">
        <v>25</v>
      </c>
      <c r="R276" s="1" t="s">
        <v>25</v>
      </c>
      <c r="S276" s="2">
        <v>45913.58799768519</v>
      </c>
      <c r="T276" s="2">
        <v>45913.58799768519</v>
      </c>
    </row>
    <row r="277">
      <c r="A277" s="1" t="s">
        <v>413</v>
      </c>
      <c r="B277" s="1">
        <v>1.0</v>
      </c>
      <c r="C277" s="1">
        <v>96.0</v>
      </c>
      <c r="D277" s="1">
        <v>2.4703284E7</v>
      </c>
      <c r="E277" s="1" t="s">
        <v>25</v>
      </c>
      <c r="F277" s="1" t="s">
        <v>25</v>
      </c>
      <c r="G277" s="1" t="s">
        <v>25</v>
      </c>
      <c r="H277" s="1" t="s">
        <v>25</v>
      </c>
      <c r="I277" s="1" t="s">
        <v>25</v>
      </c>
      <c r="J277" s="1" t="s">
        <v>25</v>
      </c>
      <c r="K277" s="1" t="s">
        <v>25</v>
      </c>
      <c r="L277" s="1" t="s">
        <v>25</v>
      </c>
      <c r="M277" s="1">
        <v>3.516797211E9</v>
      </c>
      <c r="N277" s="1" t="s">
        <v>25</v>
      </c>
      <c r="O277" s="1" t="s">
        <v>25</v>
      </c>
      <c r="P277" s="1" t="s">
        <v>25</v>
      </c>
      <c r="Q277" s="1" t="s">
        <v>25</v>
      </c>
      <c r="R277" s="1" t="s">
        <v>25</v>
      </c>
      <c r="S277" s="2">
        <v>45913.596921296295</v>
      </c>
      <c r="T277" s="2">
        <v>46058.540138888886</v>
      </c>
    </row>
    <row r="278">
      <c r="A278" s="1" t="s">
        <v>605</v>
      </c>
      <c r="B278" s="1">
        <v>1.0</v>
      </c>
      <c r="C278" s="1">
        <v>96.0</v>
      </c>
      <c r="D278" s="1">
        <v>2.4847414E7</v>
      </c>
      <c r="E278" s="1" t="s">
        <v>25</v>
      </c>
      <c r="F278" s="1" t="s">
        <v>25</v>
      </c>
      <c r="G278" s="1" t="s">
        <v>25</v>
      </c>
      <c r="H278" s="1" t="s">
        <v>25</v>
      </c>
      <c r="I278" s="1" t="s">
        <v>25</v>
      </c>
      <c r="J278" s="1" t="s">
        <v>25</v>
      </c>
      <c r="K278" s="1" t="s">
        <v>25</v>
      </c>
      <c r="L278" s="1" t="s">
        <v>25</v>
      </c>
      <c r="M278" s="1">
        <v>3.51636378E9</v>
      </c>
      <c r="N278" s="1" t="s">
        <v>25</v>
      </c>
      <c r="O278" s="1" t="s">
        <v>25</v>
      </c>
      <c r="P278" s="1" t="s">
        <v>25</v>
      </c>
      <c r="Q278" s="1" t="s">
        <v>25</v>
      </c>
      <c r="R278" s="1" t="s">
        <v>25</v>
      </c>
      <c r="S278" s="2">
        <v>45915.73494212963</v>
      </c>
      <c r="T278" s="2">
        <v>45915.73494212963</v>
      </c>
    </row>
    <row r="279">
      <c r="A279" s="1" t="s">
        <v>415</v>
      </c>
      <c r="B279" s="1">
        <v>2.0</v>
      </c>
      <c r="C279" s="1">
        <v>96.0</v>
      </c>
      <c r="D279" s="1">
        <v>0.0</v>
      </c>
      <c r="E279" s="1" t="s">
        <v>25</v>
      </c>
      <c r="F279" s="1" t="s">
        <v>25</v>
      </c>
      <c r="G279" s="1" t="s">
        <v>25</v>
      </c>
      <c r="H279" s="1" t="s">
        <v>25</v>
      </c>
      <c r="I279" s="1" t="s">
        <v>25</v>
      </c>
      <c r="J279" s="1" t="s">
        <v>25</v>
      </c>
      <c r="K279" s="1" t="s">
        <v>25</v>
      </c>
      <c r="L279" s="1" t="s">
        <v>25</v>
      </c>
      <c r="M279" s="1">
        <v>3.515505816E9</v>
      </c>
      <c r="N279" s="1" t="s">
        <v>25</v>
      </c>
      <c r="O279" s="1" t="s">
        <v>25</v>
      </c>
      <c r="P279" s="1" t="s">
        <v>25</v>
      </c>
      <c r="Q279" s="1" t="s">
        <v>25</v>
      </c>
      <c r="R279" s="1" t="s">
        <v>25</v>
      </c>
      <c r="S279" s="2">
        <v>45915.79415509259</v>
      </c>
      <c r="T279" s="2">
        <v>45915.79415509259</v>
      </c>
    </row>
    <row r="280">
      <c r="A280" s="1" t="s">
        <v>417</v>
      </c>
      <c r="B280" s="1">
        <v>2.0</v>
      </c>
      <c r="C280" s="1">
        <v>96.0</v>
      </c>
      <c r="D280" s="1">
        <v>3.8412783E7</v>
      </c>
      <c r="E280" s="1" t="s">
        <v>25</v>
      </c>
      <c r="F280" s="1" t="s">
        <v>25</v>
      </c>
      <c r="G280" s="1" t="s">
        <v>25</v>
      </c>
      <c r="H280" s="1" t="s">
        <v>25</v>
      </c>
      <c r="I280" s="1" t="s">
        <v>25</v>
      </c>
      <c r="J280" s="1" t="s">
        <v>25</v>
      </c>
      <c r="K280" s="1" t="s">
        <v>25</v>
      </c>
      <c r="L280" s="1" t="s">
        <v>25</v>
      </c>
      <c r="M280" s="1">
        <v>3.516342975E9</v>
      </c>
      <c r="N280" s="1" t="s">
        <v>25</v>
      </c>
      <c r="O280" s="1" t="s">
        <v>25</v>
      </c>
      <c r="P280" s="1" t="s">
        <v>25</v>
      </c>
      <c r="Q280" s="1" t="s">
        <v>25</v>
      </c>
      <c r="R280" s="1" t="s">
        <v>25</v>
      </c>
      <c r="S280" s="2">
        <v>45916.55428240741</v>
      </c>
      <c r="T280" s="2">
        <v>45916.55428240741</v>
      </c>
    </row>
    <row r="281">
      <c r="A281" s="1" t="s">
        <v>418</v>
      </c>
      <c r="B281" s="1">
        <v>1.0</v>
      </c>
      <c r="C281" s="1">
        <v>96.0</v>
      </c>
      <c r="D281" s="4">
        <v>3.5055889E7</v>
      </c>
      <c r="E281" s="1" t="s">
        <v>25</v>
      </c>
      <c r="F281" s="1" t="s">
        <v>25</v>
      </c>
      <c r="G281" s="1" t="s">
        <v>25</v>
      </c>
      <c r="H281" s="1" t="s">
        <v>25</v>
      </c>
      <c r="I281" s="1" t="s">
        <v>25</v>
      </c>
      <c r="J281" s="1" t="s">
        <v>25</v>
      </c>
      <c r="K281" s="1" t="s">
        <v>25</v>
      </c>
      <c r="L281" s="1" t="s">
        <v>25</v>
      </c>
      <c r="M281" s="1">
        <v>3.5244311E9</v>
      </c>
      <c r="N281" s="1" t="s">
        <v>25</v>
      </c>
      <c r="O281" s="1" t="s">
        <v>25</v>
      </c>
      <c r="P281" s="1" t="s">
        <v>25</v>
      </c>
      <c r="Q281" s="1" t="s">
        <v>25</v>
      </c>
      <c r="R281" s="1" t="s">
        <v>25</v>
      </c>
      <c r="S281" s="2">
        <v>45917.46525462963</v>
      </c>
      <c r="T281" s="2">
        <v>45917.46525462963</v>
      </c>
    </row>
    <row r="282">
      <c r="A282" s="1" t="s">
        <v>419</v>
      </c>
      <c r="B282" s="1">
        <v>1.0</v>
      </c>
      <c r="C282" s="1">
        <v>96.0</v>
      </c>
      <c r="D282" s="1">
        <v>3.9085978E7</v>
      </c>
      <c r="E282" s="1" t="s">
        <v>25</v>
      </c>
      <c r="F282" s="1" t="s">
        <v>25</v>
      </c>
      <c r="G282" s="1" t="s">
        <v>25</v>
      </c>
      <c r="H282" s="1" t="s">
        <v>25</v>
      </c>
      <c r="I282" s="1" t="s">
        <v>25</v>
      </c>
      <c r="J282" s="1" t="s">
        <v>25</v>
      </c>
      <c r="K282" s="1" t="s">
        <v>25</v>
      </c>
      <c r="L282" s="1" t="s">
        <v>25</v>
      </c>
      <c r="M282" s="1">
        <v>3.512475442E9</v>
      </c>
      <c r="N282" s="1" t="s">
        <v>25</v>
      </c>
      <c r="O282" s="1" t="s">
        <v>25</v>
      </c>
      <c r="P282" s="1" t="s">
        <v>1239</v>
      </c>
      <c r="Q282" s="1" t="s">
        <v>25</v>
      </c>
      <c r="R282" s="1" t="s">
        <v>25</v>
      </c>
      <c r="S282" s="2">
        <v>45917.781851851854</v>
      </c>
      <c r="T282" s="2">
        <v>45917.781851851854</v>
      </c>
    </row>
    <row r="283">
      <c r="A283" s="1" t="s">
        <v>420</v>
      </c>
      <c r="B283" s="1">
        <v>1.0</v>
      </c>
      <c r="C283" s="1">
        <v>96.0</v>
      </c>
      <c r="D283" s="1">
        <v>2.6162679E7</v>
      </c>
      <c r="E283" s="1" t="s">
        <v>25</v>
      </c>
      <c r="F283" s="1" t="s">
        <v>25</v>
      </c>
      <c r="G283" s="1" t="s">
        <v>25</v>
      </c>
      <c r="H283" s="5">
        <v>28443.0</v>
      </c>
      <c r="I283" s="1" t="s">
        <v>1240</v>
      </c>
      <c r="J283" s="1" t="s">
        <v>25</v>
      </c>
      <c r="K283" s="1" t="s">
        <v>25</v>
      </c>
      <c r="L283" s="1">
        <v>4.0</v>
      </c>
      <c r="M283" s="1">
        <v>3.544589594E9</v>
      </c>
      <c r="N283" s="1" t="s">
        <v>1241</v>
      </c>
      <c r="O283" s="1" t="s">
        <v>25</v>
      </c>
      <c r="P283" s="1" t="s">
        <v>25</v>
      </c>
      <c r="Q283" s="1" t="s">
        <v>25</v>
      </c>
      <c r="R283" s="1" t="s">
        <v>25</v>
      </c>
      <c r="S283" s="2">
        <v>45918.50471064815</v>
      </c>
      <c r="T283" s="2">
        <v>45918.50471064815</v>
      </c>
    </row>
    <row r="284">
      <c r="A284" s="1" t="s">
        <v>421</v>
      </c>
      <c r="B284" s="1">
        <v>2.0</v>
      </c>
      <c r="C284" s="1">
        <v>96.0</v>
      </c>
      <c r="D284" s="1">
        <v>2.8971374E7</v>
      </c>
      <c r="E284" s="1" t="s">
        <v>25</v>
      </c>
      <c r="F284" s="1" t="s">
        <v>25</v>
      </c>
      <c r="G284" s="1" t="s">
        <v>25</v>
      </c>
      <c r="H284" s="1" t="s">
        <v>25</v>
      </c>
      <c r="I284" s="1" t="s">
        <v>25</v>
      </c>
      <c r="J284" s="1" t="s">
        <v>25</v>
      </c>
      <c r="K284" s="1" t="s">
        <v>25</v>
      </c>
      <c r="L284" s="1" t="s">
        <v>25</v>
      </c>
      <c r="M284" s="1">
        <v>2.25753634E9</v>
      </c>
      <c r="N284" s="1" t="s">
        <v>1242</v>
      </c>
      <c r="O284" s="1" t="s">
        <v>25</v>
      </c>
      <c r="P284" s="1" t="s">
        <v>25</v>
      </c>
      <c r="Q284" s="1" t="s">
        <v>25</v>
      </c>
      <c r="R284" s="1" t="s">
        <v>25</v>
      </c>
      <c r="S284" s="2">
        <v>45918.694548611114</v>
      </c>
      <c r="T284" s="2">
        <v>45918.694548611114</v>
      </c>
    </row>
    <row r="285">
      <c r="A285" s="1" t="s">
        <v>422</v>
      </c>
      <c r="B285" s="1">
        <v>2.0</v>
      </c>
      <c r="C285" s="1">
        <v>96.0</v>
      </c>
      <c r="D285" s="1">
        <v>4.0927239E7</v>
      </c>
      <c r="E285" s="1" t="s">
        <v>25</v>
      </c>
      <c r="F285" s="1" t="s">
        <v>25</v>
      </c>
      <c r="G285" s="1" t="s">
        <v>25</v>
      </c>
      <c r="H285" s="1" t="s">
        <v>25</v>
      </c>
      <c r="I285" s="1" t="s">
        <v>25</v>
      </c>
      <c r="J285" s="1" t="s">
        <v>25</v>
      </c>
      <c r="K285" s="1" t="s">
        <v>25</v>
      </c>
      <c r="L285" s="1" t="s">
        <v>25</v>
      </c>
      <c r="M285" s="1">
        <v>2.99509612E9</v>
      </c>
      <c r="N285" s="1" t="s">
        <v>25</v>
      </c>
      <c r="O285" s="1" t="s">
        <v>25</v>
      </c>
      <c r="P285" s="1" t="s">
        <v>25</v>
      </c>
      <c r="Q285" s="1" t="s">
        <v>25</v>
      </c>
      <c r="R285" s="1" t="s">
        <v>25</v>
      </c>
      <c r="S285" s="2">
        <v>45918.75210648148</v>
      </c>
      <c r="T285" s="2">
        <v>45918.75210648148</v>
      </c>
    </row>
    <row r="286">
      <c r="A286" s="1" t="s">
        <v>423</v>
      </c>
      <c r="B286" s="1">
        <v>1.0</v>
      </c>
      <c r="C286" s="1">
        <v>96.0</v>
      </c>
      <c r="D286" s="1">
        <v>4.1962788E7</v>
      </c>
      <c r="E286" s="1" t="s">
        <v>25</v>
      </c>
      <c r="F286" s="1" t="s">
        <v>25</v>
      </c>
      <c r="G286" s="1" t="s">
        <v>25</v>
      </c>
      <c r="H286" s="1" t="s">
        <v>25</v>
      </c>
      <c r="I286" s="1" t="s">
        <v>25</v>
      </c>
      <c r="J286" s="1" t="s">
        <v>25</v>
      </c>
      <c r="K286" s="1" t="s">
        <v>25</v>
      </c>
      <c r="L286" s="1" t="s">
        <v>25</v>
      </c>
      <c r="M286" s="1">
        <v>3.51341778E9</v>
      </c>
      <c r="N286" s="1" t="s">
        <v>25</v>
      </c>
      <c r="O286" s="1">
        <v>10.0</v>
      </c>
      <c r="P286" s="1" t="s">
        <v>25</v>
      </c>
      <c r="Q286" s="1" t="s">
        <v>25</v>
      </c>
      <c r="R286" s="1" t="s">
        <v>25</v>
      </c>
      <c r="S286" s="2">
        <v>45918.775555555556</v>
      </c>
      <c r="T286" s="2">
        <v>45918.775555555556</v>
      </c>
    </row>
    <row r="287">
      <c r="A287" s="1" t="s">
        <v>425</v>
      </c>
      <c r="B287" s="1">
        <v>1.0</v>
      </c>
      <c r="C287" s="1">
        <v>96.0</v>
      </c>
      <c r="D287" s="1">
        <v>3.8740608E7</v>
      </c>
      <c r="E287" s="1" t="s">
        <v>25</v>
      </c>
      <c r="F287" s="1" t="s">
        <v>25</v>
      </c>
      <c r="G287" s="1" t="s">
        <v>25</v>
      </c>
      <c r="H287" s="1" t="s">
        <v>25</v>
      </c>
      <c r="I287" s="1" t="s">
        <v>25</v>
      </c>
      <c r="J287" s="1" t="s">
        <v>25</v>
      </c>
      <c r="K287" s="1" t="s">
        <v>25</v>
      </c>
      <c r="L287" s="1" t="s">
        <v>25</v>
      </c>
      <c r="M287" s="1">
        <v>3.517651997E9</v>
      </c>
      <c r="N287" s="1" t="s">
        <v>25</v>
      </c>
      <c r="O287" s="1" t="s">
        <v>25</v>
      </c>
      <c r="P287" s="1" t="s">
        <v>25</v>
      </c>
      <c r="Q287" s="1" t="s">
        <v>25</v>
      </c>
      <c r="R287" s="1" t="s">
        <v>25</v>
      </c>
      <c r="S287" s="2">
        <v>45919.452152777776</v>
      </c>
      <c r="T287" s="2">
        <v>45919.452152777776</v>
      </c>
    </row>
    <row r="288">
      <c r="A288" s="1" t="s">
        <v>1243</v>
      </c>
      <c r="B288" s="1">
        <v>1.0</v>
      </c>
      <c r="C288" s="1">
        <v>96.0</v>
      </c>
      <c r="D288" s="1">
        <v>4.3601738E7</v>
      </c>
      <c r="E288" s="1" t="s">
        <v>25</v>
      </c>
      <c r="F288" s="1" t="s">
        <v>25</v>
      </c>
      <c r="G288" s="1" t="s">
        <v>25</v>
      </c>
      <c r="H288" s="1" t="s">
        <v>25</v>
      </c>
      <c r="I288" s="1" t="s">
        <v>25</v>
      </c>
      <c r="J288" s="1" t="s">
        <v>25</v>
      </c>
      <c r="K288" s="1" t="s">
        <v>25</v>
      </c>
      <c r="L288" s="1" t="s">
        <v>25</v>
      </c>
      <c r="M288" s="1">
        <v>3.571623141E9</v>
      </c>
      <c r="N288" s="1" t="s">
        <v>25</v>
      </c>
      <c r="O288" s="1" t="s">
        <v>25</v>
      </c>
      <c r="P288" s="1" t="s">
        <v>25</v>
      </c>
      <c r="Q288" s="1" t="s">
        <v>25</v>
      </c>
      <c r="R288" s="1" t="s">
        <v>25</v>
      </c>
      <c r="S288" s="2">
        <v>45919.68744212963</v>
      </c>
      <c r="T288" s="2">
        <v>45919.68744212963</v>
      </c>
    </row>
    <row r="289">
      <c r="A289" s="1" t="s">
        <v>426</v>
      </c>
      <c r="B289" s="1">
        <v>1.0</v>
      </c>
      <c r="C289" s="1">
        <v>96.0</v>
      </c>
      <c r="D289" s="1">
        <v>0.0</v>
      </c>
      <c r="E289" s="1" t="s">
        <v>25</v>
      </c>
      <c r="F289" s="1" t="s">
        <v>25</v>
      </c>
      <c r="G289" s="1" t="s">
        <v>25</v>
      </c>
      <c r="H289" s="1" t="s">
        <v>25</v>
      </c>
      <c r="I289" s="1" t="s">
        <v>25</v>
      </c>
      <c r="J289" s="1" t="s">
        <v>25</v>
      </c>
      <c r="K289" s="1" t="s">
        <v>25</v>
      </c>
      <c r="L289" s="1" t="s">
        <v>25</v>
      </c>
      <c r="M289" s="1">
        <v>3.51637573E9</v>
      </c>
      <c r="N289" s="1" t="s">
        <v>25</v>
      </c>
      <c r="O289" s="1" t="s">
        <v>25</v>
      </c>
      <c r="P289" s="1" t="s">
        <v>25</v>
      </c>
      <c r="Q289" s="1" t="s">
        <v>25</v>
      </c>
      <c r="R289" s="1" t="s">
        <v>25</v>
      </c>
      <c r="S289" s="2">
        <v>45922.49055555555</v>
      </c>
      <c r="T289" s="2">
        <v>45922.49055555555</v>
      </c>
    </row>
    <row r="290">
      <c r="A290" s="1" t="s">
        <v>427</v>
      </c>
      <c r="B290" s="1">
        <v>2.0</v>
      </c>
      <c r="C290" s="1">
        <v>96.0</v>
      </c>
      <c r="D290" s="1">
        <v>2.8431914E7</v>
      </c>
      <c r="E290" s="1" t="s">
        <v>25</v>
      </c>
      <c r="F290" s="1" t="s">
        <v>25</v>
      </c>
      <c r="G290" s="1" t="s">
        <v>25</v>
      </c>
      <c r="H290" s="1" t="s">
        <v>25</v>
      </c>
      <c r="I290" s="1" t="s">
        <v>25</v>
      </c>
      <c r="J290" s="1" t="s">
        <v>25</v>
      </c>
      <c r="K290" s="1" t="s">
        <v>25</v>
      </c>
      <c r="L290" s="1" t="s">
        <v>25</v>
      </c>
      <c r="M290" s="1">
        <v>3.516802757E9</v>
      </c>
      <c r="N290" s="1" t="s">
        <v>25</v>
      </c>
      <c r="O290" s="1" t="s">
        <v>25</v>
      </c>
      <c r="P290" s="1" t="s">
        <v>25</v>
      </c>
      <c r="Q290" s="1" t="s">
        <v>25</v>
      </c>
      <c r="R290" s="1" t="s">
        <v>25</v>
      </c>
      <c r="S290" s="2">
        <v>45922.677395833336</v>
      </c>
      <c r="T290" s="2">
        <v>45922.677395833336</v>
      </c>
    </row>
    <row r="291">
      <c r="A291" s="1" t="s">
        <v>428</v>
      </c>
      <c r="B291" s="1">
        <v>2.0</v>
      </c>
      <c r="C291" s="1">
        <v>96.0</v>
      </c>
      <c r="D291" s="1">
        <v>4.0686211E7</v>
      </c>
      <c r="E291" s="1" t="s">
        <v>25</v>
      </c>
      <c r="F291" s="1" t="s">
        <v>25</v>
      </c>
      <c r="G291" s="1" t="s">
        <v>25</v>
      </c>
      <c r="H291" s="1" t="s">
        <v>25</v>
      </c>
      <c r="I291" s="1" t="s">
        <v>25</v>
      </c>
      <c r="J291" s="1" t="s">
        <v>25</v>
      </c>
      <c r="K291" s="1" t="s">
        <v>25</v>
      </c>
      <c r="L291" s="1" t="s">
        <v>25</v>
      </c>
      <c r="M291" s="1">
        <v>3.513938456E9</v>
      </c>
      <c r="N291" s="1" t="s">
        <v>25</v>
      </c>
      <c r="O291" s="1" t="s">
        <v>25</v>
      </c>
      <c r="P291" s="1" t="s">
        <v>25</v>
      </c>
      <c r="Q291" s="1" t="s">
        <v>25</v>
      </c>
      <c r="R291" s="1" t="s">
        <v>25</v>
      </c>
      <c r="S291" s="2">
        <v>45922.71574074074</v>
      </c>
      <c r="T291" s="2">
        <v>45922.71574074074</v>
      </c>
    </row>
    <row r="292">
      <c r="A292" s="1" t="s">
        <v>433</v>
      </c>
      <c r="B292" s="1" t="s">
        <v>25</v>
      </c>
      <c r="C292" s="1">
        <v>96.0</v>
      </c>
      <c r="D292" s="1">
        <v>2.4473783E7</v>
      </c>
      <c r="E292" s="1" t="s">
        <v>25</v>
      </c>
      <c r="F292" s="1" t="s">
        <v>25</v>
      </c>
      <c r="G292" s="1" t="s">
        <v>25</v>
      </c>
      <c r="H292" s="1" t="s">
        <v>25</v>
      </c>
      <c r="I292" s="1" t="s">
        <v>25</v>
      </c>
      <c r="J292" s="1" t="s">
        <v>25</v>
      </c>
      <c r="K292" s="1" t="s">
        <v>25</v>
      </c>
      <c r="L292" s="1" t="s">
        <v>25</v>
      </c>
      <c r="M292" s="1">
        <v>3.513092709E9</v>
      </c>
      <c r="N292" s="1" t="s">
        <v>25</v>
      </c>
      <c r="O292" s="1" t="s">
        <v>25</v>
      </c>
      <c r="P292" s="1" t="s">
        <v>25</v>
      </c>
      <c r="Q292" s="1" t="s">
        <v>25</v>
      </c>
      <c r="R292" s="1" t="s">
        <v>25</v>
      </c>
      <c r="S292" s="2">
        <v>45923.511400462965</v>
      </c>
      <c r="T292" s="2">
        <v>45923.511400462965</v>
      </c>
    </row>
    <row r="293">
      <c r="A293" s="1" t="s">
        <v>430</v>
      </c>
      <c r="B293" s="1">
        <v>1.0</v>
      </c>
      <c r="C293" s="1">
        <v>96.0</v>
      </c>
      <c r="D293" s="1">
        <v>4.6890196E7</v>
      </c>
      <c r="E293" s="1" t="s">
        <v>25</v>
      </c>
      <c r="F293" s="1" t="s">
        <v>25</v>
      </c>
      <c r="G293" s="1" t="s">
        <v>25</v>
      </c>
      <c r="H293" s="1" t="s">
        <v>25</v>
      </c>
      <c r="I293" s="1" t="s">
        <v>25</v>
      </c>
      <c r="J293" s="1" t="s">
        <v>25</v>
      </c>
      <c r="K293" s="1" t="s">
        <v>25</v>
      </c>
      <c r="L293" s="1" t="s">
        <v>25</v>
      </c>
      <c r="M293" s="1">
        <v>3.512224731E9</v>
      </c>
      <c r="N293" s="1" t="s">
        <v>1244</v>
      </c>
      <c r="O293" s="1" t="s">
        <v>25</v>
      </c>
      <c r="P293" s="1" t="s">
        <v>25</v>
      </c>
      <c r="Q293" s="1" t="s">
        <v>25</v>
      </c>
      <c r="R293" s="1" t="s">
        <v>25</v>
      </c>
      <c r="S293" s="2">
        <v>45923.68366898148</v>
      </c>
      <c r="T293" s="2">
        <v>45923.68366898148</v>
      </c>
    </row>
    <row r="294">
      <c r="A294" s="1" t="s">
        <v>431</v>
      </c>
      <c r="B294" s="1">
        <v>1.0</v>
      </c>
      <c r="C294" s="1">
        <v>96.0</v>
      </c>
      <c r="D294" s="1">
        <v>4.812355E7</v>
      </c>
      <c r="E294" s="1" t="s">
        <v>25</v>
      </c>
      <c r="F294" s="1" t="s">
        <v>25</v>
      </c>
      <c r="G294" s="1" t="s">
        <v>25</v>
      </c>
      <c r="H294" s="1" t="s">
        <v>25</v>
      </c>
      <c r="I294" s="1" t="s">
        <v>25</v>
      </c>
      <c r="J294" s="1" t="s">
        <v>25</v>
      </c>
      <c r="K294" s="1" t="s">
        <v>25</v>
      </c>
      <c r="L294" s="1" t="s">
        <v>25</v>
      </c>
      <c r="M294" s="1">
        <v>3.51201189E9</v>
      </c>
      <c r="N294" s="1" t="s">
        <v>25</v>
      </c>
      <c r="O294" s="1" t="s">
        <v>25</v>
      </c>
      <c r="P294" s="1" t="s">
        <v>25</v>
      </c>
      <c r="Q294" s="1" t="s">
        <v>25</v>
      </c>
      <c r="R294" s="1" t="s">
        <v>25</v>
      </c>
      <c r="S294" s="2">
        <v>45924.74288194445</v>
      </c>
      <c r="T294" s="2">
        <v>45924.74288194445</v>
      </c>
    </row>
    <row r="295">
      <c r="A295" s="1" t="s">
        <v>432</v>
      </c>
      <c r="B295" s="1">
        <v>2.0</v>
      </c>
      <c r="C295" s="1">
        <v>96.0</v>
      </c>
      <c r="D295" s="1">
        <v>4.3813096E7</v>
      </c>
      <c r="E295" s="1" t="s">
        <v>25</v>
      </c>
      <c r="F295" s="1" t="s">
        <v>25</v>
      </c>
      <c r="G295" s="1" t="s">
        <v>25</v>
      </c>
      <c r="H295" s="1" t="s">
        <v>25</v>
      </c>
      <c r="I295" s="1" t="s">
        <v>25</v>
      </c>
      <c r="J295" s="1" t="s">
        <v>25</v>
      </c>
      <c r="K295" s="1" t="s">
        <v>25</v>
      </c>
      <c r="L295" s="1" t="s">
        <v>25</v>
      </c>
      <c r="M295" s="1">
        <v>3.513491372E9</v>
      </c>
      <c r="N295" s="1" t="s">
        <v>25</v>
      </c>
      <c r="O295" s="1" t="s">
        <v>25</v>
      </c>
      <c r="P295" s="1" t="s">
        <v>1245</v>
      </c>
      <c r="Q295" s="1" t="s">
        <v>25</v>
      </c>
      <c r="R295" s="1" t="s">
        <v>25</v>
      </c>
      <c r="S295" s="2">
        <v>45924.78797453704</v>
      </c>
      <c r="T295" s="2">
        <v>45924.78797453704</v>
      </c>
    </row>
    <row r="296">
      <c r="A296" s="1" t="s">
        <v>434</v>
      </c>
      <c r="B296" s="1">
        <v>2.0</v>
      </c>
      <c r="C296" s="1">
        <v>96.0</v>
      </c>
      <c r="D296" s="1">
        <v>4.074995E7</v>
      </c>
      <c r="E296" s="1" t="s">
        <v>25</v>
      </c>
      <c r="F296" s="1" t="s">
        <v>25</v>
      </c>
      <c r="G296" s="1" t="s">
        <v>25</v>
      </c>
      <c r="H296" s="1" t="s">
        <v>25</v>
      </c>
      <c r="I296" s="1" t="s">
        <v>25</v>
      </c>
      <c r="J296" s="1" t="s">
        <v>25</v>
      </c>
      <c r="K296" s="1" t="s">
        <v>25</v>
      </c>
      <c r="L296" s="1" t="s">
        <v>25</v>
      </c>
      <c r="M296" s="1">
        <v>3.517572849E9</v>
      </c>
      <c r="N296" s="1" t="s">
        <v>25</v>
      </c>
      <c r="O296" s="1" t="s">
        <v>25</v>
      </c>
      <c r="P296" s="1" t="s">
        <v>25</v>
      </c>
      <c r="Q296" s="1" t="s">
        <v>25</v>
      </c>
      <c r="R296" s="1" t="s">
        <v>25</v>
      </c>
      <c r="S296" s="2">
        <v>45926.78821759259</v>
      </c>
      <c r="T296" s="2">
        <v>45926.78821759259</v>
      </c>
    </row>
    <row r="297">
      <c r="A297" s="1" t="s">
        <v>437</v>
      </c>
      <c r="B297" s="1" t="s">
        <v>25</v>
      </c>
      <c r="C297" s="1">
        <v>96.0</v>
      </c>
      <c r="D297" s="1">
        <v>4.4273707E7</v>
      </c>
      <c r="E297" s="1" t="s">
        <v>25</v>
      </c>
      <c r="F297" s="1" t="s">
        <v>25</v>
      </c>
      <c r="G297" s="1" t="s">
        <v>25</v>
      </c>
      <c r="H297" s="1" t="s">
        <v>25</v>
      </c>
      <c r="I297" s="1" t="s">
        <v>25</v>
      </c>
      <c r="J297" s="1" t="s">
        <v>25</v>
      </c>
      <c r="K297" s="1" t="s">
        <v>25</v>
      </c>
      <c r="L297" s="1" t="s">
        <v>25</v>
      </c>
      <c r="M297" s="1">
        <v>3.51255631E9</v>
      </c>
      <c r="N297" s="1" t="s">
        <v>1246</v>
      </c>
      <c r="O297" s="1" t="s">
        <v>25</v>
      </c>
      <c r="P297" s="1" t="s">
        <v>25</v>
      </c>
      <c r="Q297" s="1" t="s">
        <v>25</v>
      </c>
      <c r="R297" s="1" t="s">
        <v>25</v>
      </c>
      <c r="S297" s="2">
        <v>45927.50729166667</v>
      </c>
      <c r="T297" s="2">
        <v>45927.50729166667</v>
      </c>
    </row>
    <row r="298">
      <c r="A298" s="1" t="s">
        <v>435</v>
      </c>
      <c r="B298" s="1">
        <v>1.0</v>
      </c>
      <c r="C298" s="1">
        <v>96.0</v>
      </c>
      <c r="D298" s="1">
        <v>3.4062369E7</v>
      </c>
      <c r="E298" s="1" t="s">
        <v>25</v>
      </c>
      <c r="F298" s="1" t="s">
        <v>25</v>
      </c>
      <c r="G298" s="1" t="s">
        <v>25</v>
      </c>
      <c r="H298" s="1" t="s">
        <v>25</v>
      </c>
      <c r="I298" s="1" t="s">
        <v>25</v>
      </c>
      <c r="J298" s="1" t="s">
        <v>25</v>
      </c>
      <c r="K298" s="1" t="s">
        <v>25</v>
      </c>
      <c r="L298" s="1" t="s">
        <v>25</v>
      </c>
      <c r="M298" s="1">
        <v>3.512255163E9</v>
      </c>
      <c r="N298" s="1" t="s">
        <v>25</v>
      </c>
      <c r="O298" s="1" t="s">
        <v>25</v>
      </c>
      <c r="P298" s="1" t="s">
        <v>25</v>
      </c>
      <c r="Q298" s="1" t="s">
        <v>25</v>
      </c>
      <c r="R298" s="1" t="s">
        <v>25</v>
      </c>
      <c r="S298" s="2">
        <v>45930.51123842593</v>
      </c>
      <c r="T298" s="2">
        <v>45930.51123842593</v>
      </c>
    </row>
    <row r="299">
      <c r="A299" s="1" t="s">
        <v>439</v>
      </c>
      <c r="B299" s="1">
        <v>2.0</v>
      </c>
      <c r="C299" s="1" t="s">
        <v>25</v>
      </c>
      <c r="D299" s="1">
        <v>9.4227161E7</v>
      </c>
      <c r="E299" s="1" t="s">
        <v>25</v>
      </c>
      <c r="F299" s="1" t="s">
        <v>25</v>
      </c>
      <c r="G299" s="1" t="s">
        <v>25</v>
      </c>
      <c r="H299" s="1" t="s">
        <v>25</v>
      </c>
      <c r="I299" s="1" t="s">
        <v>1247</v>
      </c>
      <c r="J299" s="1" t="s">
        <v>25</v>
      </c>
      <c r="K299" s="1">
        <v>251.0</v>
      </c>
      <c r="L299" s="1">
        <v>8.0</v>
      </c>
      <c r="M299" s="1">
        <v>3.472621161E9</v>
      </c>
      <c r="N299" s="1" t="s">
        <v>1248</v>
      </c>
      <c r="O299" s="1" t="s">
        <v>25</v>
      </c>
      <c r="P299" s="1" t="s">
        <v>25</v>
      </c>
      <c r="Q299" s="1" t="s">
        <v>25</v>
      </c>
      <c r="R299" s="1" t="s">
        <v>25</v>
      </c>
      <c r="S299" s="2">
        <v>45930.781493055554</v>
      </c>
      <c r="T299" s="2">
        <v>45930.781493055554</v>
      </c>
    </row>
    <row r="300">
      <c r="A300" s="1" t="s">
        <v>441</v>
      </c>
      <c r="B300" s="1">
        <v>1.0</v>
      </c>
      <c r="C300" s="1">
        <v>96.0</v>
      </c>
      <c r="D300" s="1">
        <v>4.1769595E7</v>
      </c>
      <c r="E300" s="1" t="s">
        <v>25</v>
      </c>
      <c r="F300" s="1" t="s">
        <v>25</v>
      </c>
      <c r="G300" s="1" t="s">
        <v>25</v>
      </c>
      <c r="H300" s="1" t="s">
        <v>25</v>
      </c>
      <c r="I300" s="1" t="s">
        <v>25</v>
      </c>
      <c r="J300" s="1" t="s">
        <v>25</v>
      </c>
      <c r="K300" s="1" t="s">
        <v>25</v>
      </c>
      <c r="L300" s="1" t="s">
        <v>25</v>
      </c>
      <c r="M300" s="1">
        <v>5.43547658854E11</v>
      </c>
      <c r="N300" s="1" t="s">
        <v>1249</v>
      </c>
      <c r="O300" s="1" t="s">
        <v>25</v>
      </c>
      <c r="P300" s="1" t="s">
        <v>25</v>
      </c>
      <c r="Q300" s="1" t="s">
        <v>25</v>
      </c>
      <c r="R300" s="1" t="s">
        <v>25</v>
      </c>
      <c r="S300" s="2">
        <v>45931.49748842593</v>
      </c>
      <c r="T300" s="2">
        <v>45931.49748842593</v>
      </c>
    </row>
    <row r="301">
      <c r="A301" s="1" t="s">
        <v>442</v>
      </c>
      <c r="B301" s="1" t="s">
        <v>25</v>
      </c>
      <c r="C301" s="1">
        <v>96.0</v>
      </c>
      <c r="D301" s="1">
        <v>2.3796784E7</v>
      </c>
      <c r="E301" s="1" t="s">
        <v>25</v>
      </c>
      <c r="F301" s="1" t="s">
        <v>25</v>
      </c>
      <c r="G301" s="1" t="s">
        <v>25</v>
      </c>
      <c r="H301" s="1" t="s">
        <v>25</v>
      </c>
      <c r="I301" s="1" t="s">
        <v>1250</v>
      </c>
      <c r="J301" s="1" t="s">
        <v>1251</v>
      </c>
      <c r="K301" s="1" t="s">
        <v>25</v>
      </c>
      <c r="L301" s="1" t="s">
        <v>25</v>
      </c>
      <c r="M301" s="1" t="s">
        <v>1252</v>
      </c>
      <c r="N301" s="1" t="s">
        <v>1253</v>
      </c>
      <c r="O301" s="1" t="s">
        <v>25</v>
      </c>
      <c r="P301" s="1" t="s">
        <v>25</v>
      </c>
      <c r="Q301" s="1" t="s">
        <v>25</v>
      </c>
      <c r="R301" s="1" t="s">
        <v>25</v>
      </c>
      <c r="S301" s="2">
        <v>45931.68246527778</v>
      </c>
      <c r="T301" s="2">
        <v>45931.68246527778</v>
      </c>
    </row>
    <row r="302">
      <c r="A302" s="1" t="s">
        <v>491</v>
      </c>
      <c r="B302" s="1" t="s">
        <v>25</v>
      </c>
      <c r="C302" s="1">
        <v>96.0</v>
      </c>
      <c r="D302" s="1">
        <v>4.8325232E7</v>
      </c>
      <c r="E302" s="1" t="s">
        <v>25</v>
      </c>
      <c r="F302" s="1" t="s">
        <v>25</v>
      </c>
      <c r="G302" s="1" t="s">
        <v>25</v>
      </c>
      <c r="H302" s="1" t="s">
        <v>25</v>
      </c>
      <c r="I302" s="1" t="s">
        <v>25</v>
      </c>
      <c r="J302" s="1" t="s">
        <v>25</v>
      </c>
      <c r="K302" s="1" t="s">
        <v>25</v>
      </c>
      <c r="L302" s="1" t="s">
        <v>25</v>
      </c>
      <c r="M302" s="1">
        <v>3.513917507E9</v>
      </c>
      <c r="N302" s="1" t="s">
        <v>1254</v>
      </c>
      <c r="O302" s="1" t="s">
        <v>25</v>
      </c>
      <c r="P302" s="1" t="s">
        <v>25</v>
      </c>
      <c r="Q302" s="1" t="s">
        <v>25</v>
      </c>
      <c r="R302" s="1" t="s">
        <v>25</v>
      </c>
      <c r="S302" s="2">
        <v>45931.81565972222</v>
      </c>
      <c r="T302" s="2">
        <v>45931.81565972222</v>
      </c>
    </row>
    <row r="303">
      <c r="A303" s="1" t="s">
        <v>490</v>
      </c>
      <c r="B303" s="1" t="s">
        <v>25</v>
      </c>
      <c r="C303" s="1">
        <v>96.0</v>
      </c>
      <c r="D303" s="1">
        <v>5.6610462E7</v>
      </c>
      <c r="E303" s="1" t="s">
        <v>25</v>
      </c>
      <c r="F303" s="1" t="s">
        <v>25</v>
      </c>
      <c r="G303" s="1" t="s">
        <v>25</v>
      </c>
      <c r="H303" s="1" t="s">
        <v>25</v>
      </c>
      <c r="I303" s="1" t="s">
        <v>25</v>
      </c>
      <c r="J303" s="1" t="s">
        <v>25</v>
      </c>
      <c r="K303" s="1" t="s">
        <v>25</v>
      </c>
      <c r="L303" s="1" t="s">
        <v>25</v>
      </c>
      <c r="M303" s="1">
        <v>3.513917507E9</v>
      </c>
      <c r="N303" s="1" t="s">
        <v>25</v>
      </c>
      <c r="O303" s="1" t="s">
        <v>25</v>
      </c>
      <c r="P303" s="1" t="s">
        <v>25</v>
      </c>
      <c r="Q303" s="1" t="s">
        <v>25</v>
      </c>
      <c r="R303" s="1" t="s">
        <v>25</v>
      </c>
      <c r="S303" s="2">
        <v>45931.81611111111</v>
      </c>
      <c r="T303" s="2">
        <v>45931.81611111111</v>
      </c>
    </row>
    <row r="304">
      <c r="A304" s="1" t="s">
        <v>443</v>
      </c>
      <c r="B304" s="1">
        <v>1.0</v>
      </c>
      <c r="C304" s="1">
        <v>96.0</v>
      </c>
      <c r="D304" s="1">
        <v>4.569257E7</v>
      </c>
      <c r="E304" s="1" t="s">
        <v>25</v>
      </c>
      <c r="F304" s="1" t="s">
        <v>25</v>
      </c>
      <c r="G304" s="1" t="s">
        <v>25</v>
      </c>
      <c r="H304" s="1" t="s">
        <v>25</v>
      </c>
      <c r="I304" s="1" t="s">
        <v>25</v>
      </c>
      <c r="J304" s="1" t="s">
        <v>25</v>
      </c>
      <c r="K304" s="1" t="s">
        <v>25</v>
      </c>
      <c r="L304" s="1" t="s">
        <v>25</v>
      </c>
      <c r="M304" s="1">
        <v>3.51266999E9</v>
      </c>
      <c r="N304" s="1" t="s">
        <v>1255</v>
      </c>
      <c r="O304" s="1" t="s">
        <v>25</v>
      </c>
      <c r="P304" s="1" t="s">
        <v>25</v>
      </c>
      <c r="Q304" s="1" t="s">
        <v>25</v>
      </c>
      <c r="R304" s="1" t="s">
        <v>25</v>
      </c>
      <c r="S304" s="2">
        <v>45932.40023148148</v>
      </c>
      <c r="T304" s="2">
        <v>45932.40023148148</v>
      </c>
    </row>
    <row r="305">
      <c r="A305" s="1" t="s">
        <v>444</v>
      </c>
      <c r="B305" s="1">
        <v>2.0</v>
      </c>
      <c r="C305" s="1">
        <v>96.0</v>
      </c>
      <c r="D305" s="1">
        <v>1.0542233E7</v>
      </c>
      <c r="E305" s="1" t="s">
        <v>25</v>
      </c>
      <c r="F305" s="1" t="s">
        <v>25</v>
      </c>
      <c r="G305" s="1" t="s">
        <v>25</v>
      </c>
      <c r="H305" s="1" t="s">
        <v>25</v>
      </c>
      <c r="I305" s="1" t="s">
        <v>25</v>
      </c>
      <c r="J305" s="1" t="s">
        <v>25</v>
      </c>
      <c r="K305" s="1" t="s">
        <v>25</v>
      </c>
      <c r="L305" s="1" t="s">
        <v>25</v>
      </c>
      <c r="M305" s="1">
        <v>3.512249697E9</v>
      </c>
      <c r="N305" s="1" t="s">
        <v>25</v>
      </c>
      <c r="O305" s="1" t="s">
        <v>25</v>
      </c>
      <c r="P305" s="1" t="s">
        <v>25</v>
      </c>
      <c r="Q305" s="1" t="s">
        <v>25</v>
      </c>
      <c r="R305" s="1" t="s">
        <v>25</v>
      </c>
      <c r="S305" s="2">
        <v>45932.43215277778</v>
      </c>
      <c r="T305" s="2">
        <v>45932.43215277778</v>
      </c>
    </row>
    <row r="306">
      <c r="A306" s="1" t="s">
        <v>461</v>
      </c>
      <c r="B306" s="1" t="s">
        <v>25</v>
      </c>
      <c r="C306" s="1">
        <v>96.0</v>
      </c>
      <c r="D306" s="1">
        <v>1.4548941E7</v>
      </c>
      <c r="E306" s="1" t="s">
        <v>25</v>
      </c>
      <c r="F306" s="1" t="s">
        <v>25</v>
      </c>
      <c r="G306" s="1" t="s">
        <v>25</v>
      </c>
      <c r="H306" s="1" t="s">
        <v>25</v>
      </c>
      <c r="I306" s="1" t="s">
        <v>25</v>
      </c>
      <c r="J306" s="1" t="s">
        <v>25</v>
      </c>
      <c r="K306" s="1" t="s">
        <v>25</v>
      </c>
      <c r="L306" s="1" t="s">
        <v>25</v>
      </c>
      <c r="M306" s="1">
        <v>3.516357008E9</v>
      </c>
      <c r="N306" s="1" t="s">
        <v>1256</v>
      </c>
      <c r="O306" s="1" t="s">
        <v>25</v>
      </c>
      <c r="P306" s="1" t="s">
        <v>25</v>
      </c>
      <c r="Q306" s="1" t="s">
        <v>25</v>
      </c>
      <c r="R306" s="1" t="s">
        <v>25</v>
      </c>
      <c r="S306" s="2">
        <v>45932.71371527778</v>
      </c>
      <c r="T306" s="2">
        <v>45932.71371527778</v>
      </c>
    </row>
    <row r="307">
      <c r="A307" s="1" t="s">
        <v>445</v>
      </c>
      <c r="B307" s="1">
        <v>1.0</v>
      </c>
      <c r="C307" s="1">
        <v>96.0</v>
      </c>
      <c r="D307" s="1">
        <v>1.7281429E7</v>
      </c>
      <c r="E307" s="1" t="s">
        <v>25</v>
      </c>
      <c r="F307" s="1" t="s">
        <v>25</v>
      </c>
      <c r="G307" s="1" t="s">
        <v>25</v>
      </c>
      <c r="H307" s="1" t="s">
        <v>25</v>
      </c>
      <c r="I307" s="1" t="s">
        <v>25</v>
      </c>
      <c r="J307" s="1" t="s">
        <v>25</v>
      </c>
      <c r="K307" s="1" t="s">
        <v>25</v>
      </c>
      <c r="L307" s="1" t="s">
        <v>25</v>
      </c>
      <c r="M307" s="1">
        <v>2.966419954E9</v>
      </c>
      <c r="N307" s="1" t="s">
        <v>25</v>
      </c>
      <c r="O307" s="1" t="s">
        <v>25</v>
      </c>
      <c r="P307" s="1" t="s">
        <v>25</v>
      </c>
      <c r="Q307" s="1" t="s">
        <v>25</v>
      </c>
      <c r="R307" s="1" t="s">
        <v>25</v>
      </c>
      <c r="S307" s="2">
        <v>45932.749375</v>
      </c>
      <c r="T307" s="2">
        <v>45932.749375</v>
      </c>
    </row>
    <row r="308">
      <c r="A308" s="1" t="s">
        <v>446</v>
      </c>
      <c r="B308" s="1">
        <v>2.0</v>
      </c>
      <c r="C308" s="1">
        <v>96.0</v>
      </c>
      <c r="D308" s="1">
        <v>2.635032E7</v>
      </c>
      <c r="E308" s="1" t="s">
        <v>25</v>
      </c>
      <c r="F308" s="1" t="s">
        <v>25</v>
      </c>
      <c r="G308" s="1" t="s">
        <v>25</v>
      </c>
      <c r="H308" s="1" t="s">
        <v>25</v>
      </c>
      <c r="I308" s="1" t="s">
        <v>25</v>
      </c>
      <c r="J308" s="1" t="s">
        <v>25</v>
      </c>
      <c r="K308" s="1" t="s">
        <v>25</v>
      </c>
      <c r="L308" s="1" t="s">
        <v>25</v>
      </c>
      <c r="M308" s="1">
        <v>3.51236538E9</v>
      </c>
      <c r="N308" s="1" t="s">
        <v>1257</v>
      </c>
      <c r="O308" s="1" t="s">
        <v>25</v>
      </c>
      <c r="P308" s="1" t="s">
        <v>25</v>
      </c>
      <c r="Q308" s="1" t="s">
        <v>25</v>
      </c>
      <c r="R308" s="1" t="s">
        <v>25</v>
      </c>
      <c r="S308" s="2">
        <v>45933.52658564815</v>
      </c>
      <c r="T308" s="2">
        <v>45933.52658564815</v>
      </c>
    </row>
    <row r="309">
      <c r="A309" s="1" t="s">
        <v>447</v>
      </c>
      <c r="B309" s="1">
        <v>1.0</v>
      </c>
      <c r="C309" s="1">
        <v>96.0</v>
      </c>
      <c r="D309" s="1">
        <v>2.1967368E7</v>
      </c>
      <c r="E309" s="1" t="s">
        <v>25</v>
      </c>
      <c r="F309" s="1" t="s">
        <v>25</v>
      </c>
      <c r="G309" s="1" t="s">
        <v>25</v>
      </c>
      <c r="H309" s="1" t="s">
        <v>25</v>
      </c>
      <c r="I309" s="1" t="s">
        <v>25</v>
      </c>
      <c r="J309" s="1" t="s">
        <v>25</v>
      </c>
      <c r="K309" s="1" t="s">
        <v>25</v>
      </c>
      <c r="L309" s="1" t="s">
        <v>25</v>
      </c>
      <c r="M309" s="1">
        <v>1.52037625E8</v>
      </c>
      <c r="N309" s="1" t="s">
        <v>1258</v>
      </c>
      <c r="O309" s="1" t="s">
        <v>25</v>
      </c>
      <c r="P309" s="1" t="s">
        <v>25</v>
      </c>
      <c r="Q309" s="1" t="s">
        <v>25</v>
      </c>
      <c r="R309" s="1" t="s">
        <v>25</v>
      </c>
      <c r="S309" s="2">
        <v>45934.52018518518</v>
      </c>
      <c r="T309" s="2">
        <v>45934.52018518518</v>
      </c>
    </row>
    <row r="310">
      <c r="A310" s="1" t="s">
        <v>449</v>
      </c>
      <c r="B310" s="1">
        <v>1.0</v>
      </c>
      <c r="C310" s="1">
        <v>96.0</v>
      </c>
      <c r="D310" s="1">
        <v>2.5759374E7</v>
      </c>
      <c r="E310" s="1" t="s">
        <v>25</v>
      </c>
      <c r="F310" s="1" t="s">
        <v>25</v>
      </c>
      <c r="G310" s="1" t="s">
        <v>25</v>
      </c>
      <c r="H310" s="1" t="s">
        <v>25</v>
      </c>
      <c r="I310" s="1" t="s">
        <v>25</v>
      </c>
      <c r="J310" s="1" t="s">
        <v>25</v>
      </c>
      <c r="K310" s="1" t="s">
        <v>25</v>
      </c>
      <c r="L310" s="1" t="s">
        <v>25</v>
      </c>
      <c r="M310" s="1">
        <v>3.517869422E9</v>
      </c>
      <c r="N310" s="1" t="s">
        <v>1259</v>
      </c>
      <c r="O310" s="1" t="s">
        <v>25</v>
      </c>
      <c r="P310" s="1" t="s">
        <v>25</v>
      </c>
      <c r="Q310" s="1" t="s">
        <v>25</v>
      </c>
      <c r="R310" s="1" t="s">
        <v>25</v>
      </c>
      <c r="S310" s="2">
        <v>45936.77488425926</v>
      </c>
      <c r="T310" s="2">
        <v>45936.77488425926</v>
      </c>
    </row>
    <row r="311">
      <c r="A311" s="1" t="s">
        <v>450</v>
      </c>
      <c r="B311" s="1">
        <v>1.0</v>
      </c>
      <c r="C311" s="1" t="s">
        <v>25</v>
      </c>
      <c r="D311" s="1">
        <v>4.6708413E7</v>
      </c>
      <c r="E311" s="1" t="s">
        <v>25</v>
      </c>
      <c r="F311" s="1" t="s">
        <v>25</v>
      </c>
      <c r="G311" s="1" t="s">
        <v>25</v>
      </c>
      <c r="H311" s="1" t="s">
        <v>25</v>
      </c>
      <c r="I311" s="1" t="s">
        <v>25</v>
      </c>
      <c r="J311" s="1" t="s">
        <v>25</v>
      </c>
      <c r="K311" s="1" t="s">
        <v>25</v>
      </c>
      <c r="L311" s="1" t="s">
        <v>25</v>
      </c>
      <c r="M311" s="1">
        <v>3.543698405E9</v>
      </c>
      <c r="N311" s="1" t="s">
        <v>1260</v>
      </c>
      <c r="O311" s="1" t="s">
        <v>25</v>
      </c>
      <c r="P311" s="1" t="s">
        <v>25</v>
      </c>
      <c r="Q311" s="1" t="s">
        <v>25</v>
      </c>
      <c r="R311" s="1" t="s">
        <v>25</v>
      </c>
      <c r="S311" s="2">
        <v>45936.79258101852</v>
      </c>
      <c r="T311" s="2">
        <v>45936.79258101852</v>
      </c>
    </row>
    <row r="312">
      <c r="A312" s="1" t="s">
        <v>451</v>
      </c>
      <c r="B312" s="1">
        <v>1.0</v>
      </c>
      <c r="C312" s="1">
        <v>96.0</v>
      </c>
      <c r="D312" s="1">
        <v>4.0109242E7</v>
      </c>
      <c r="E312" s="1" t="s">
        <v>25</v>
      </c>
      <c r="F312" s="1" t="s">
        <v>25</v>
      </c>
      <c r="G312" s="1" t="s">
        <v>25</v>
      </c>
      <c r="H312" s="1" t="s">
        <v>25</v>
      </c>
      <c r="I312" s="1" t="s">
        <v>25</v>
      </c>
      <c r="J312" s="1" t="s">
        <v>25</v>
      </c>
      <c r="K312" s="1" t="s">
        <v>25</v>
      </c>
      <c r="L312" s="1" t="s">
        <v>25</v>
      </c>
      <c r="M312" s="1">
        <v>3.516518745E9</v>
      </c>
      <c r="N312" s="1" t="s">
        <v>25</v>
      </c>
      <c r="O312" s="1" t="s">
        <v>25</v>
      </c>
      <c r="P312" s="1" t="s">
        <v>25</v>
      </c>
      <c r="Q312" s="1" t="s">
        <v>25</v>
      </c>
      <c r="R312" s="1" t="s">
        <v>25</v>
      </c>
      <c r="S312" s="2">
        <v>45937.66811342593</v>
      </c>
      <c r="T312" s="2">
        <v>45937.66811342593</v>
      </c>
    </row>
    <row r="313">
      <c r="A313" s="1" t="s">
        <v>452</v>
      </c>
      <c r="B313" s="1">
        <v>1.0</v>
      </c>
      <c r="C313" s="1">
        <v>96.0</v>
      </c>
      <c r="D313" s="1">
        <v>2.5752447E7</v>
      </c>
      <c r="E313" s="1" t="s">
        <v>25</v>
      </c>
      <c r="F313" s="1" t="s">
        <v>25</v>
      </c>
      <c r="G313" s="1" t="s">
        <v>25</v>
      </c>
      <c r="H313" s="1" t="s">
        <v>25</v>
      </c>
      <c r="I313" s="1" t="s">
        <v>25</v>
      </c>
      <c r="J313" s="1" t="s">
        <v>25</v>
      </c>
      <c r="K313" s="1" t="s">
        <v>25</v>
      </c>
      <c r="L313" s="1" t="s">
        <v>25</v>
      </c>
      <c r="M313" s="1">
        <v>3.513156166E9</v>
      </c>
      <c r="N313" s="1" t="s">
        <v>25</v>
      </c>
      <c r="O313" s="1" t="s">
        <v>25</v>
      </c>
      <c r="P313" s="1" t="s">
        <v>25</v>
      </c>
      <c r="Q313" s="1" t="s">
        <v>25</v>
      </c>
      <c r="R313" s="1" t="s">
        <v>25</v>
      </c>
      <c r="S313" s="2">
        <v>45937.68822916667</v>
      </c>
      <c r="T313" s="2">
        <v>45937.68822916667</v>
      </c>
    </row>
    <row r="314">
      <c r="A314" s="1" t="s">
        <v>453</v>
      </c>
      <c r="B314" s="1">
        <v>1.0</v>
      </c>
      <c r="C314" s="1">
        <v>96.0</v>
      </c>
      <c r="D314" s="1">
        <v>3.8417901E7</v>
      </c>
      <c r="E314" s="1" t="s">
        <v>25</v>
      </c>
      <c r="F314" s="1" t="s">
        <v>25</v>
      </c>
      <c r="G314" s="1" t="s">
        <v>25</v>
      </c>
      <c r="H314" s="1" t="s">
        <v>25</v>
      </c>
      <c r="I314" s="1" t="s">
        <v>25</v>
      </c>
      <c r="J314" s="1" t="s">
        <v>25</v>
      </c>
      <c r="K314" s="1" t="s">
        <v>25</v>
      </c>
      <c r="L314" s="1" t="s">
        <v>25</v>
      </c>
      <c r="M314" s="1">
        <v>3.515172137E9</v>
      </c>
      <c r="N314" s="1" t="s">
        <v>1261</v>
      </c>
      <c r="O314" s="1" t="s">
        <v>25</v>
      </c>
      <c r="P314" s="1" t="s">
        <v>25</v>
      </c>
      <c r="Q314" s="1" t="s">
        <v>25</v>
      </c>
      <c r="R314" s="1" t="s">
        <v>25</v>
      </c>
      <c r="S314" s="2">
        <v>45937.780277777776</v>
      </c>
      <c r="T314" s="2">
        <v>45937.780277777776</v>
      </c>
    </row>
    <row r="315">
      <c r="A315" s="1" t="s">
        <v>454</v>
      </c>
      <c r="B315" s="1">
        <v>1.0</v>
      </c>
      <c r="C315" s="1">
        <v>96.0</v>
      </c>
      <c r="D315" s="1">
        <v>4.3143559E7</v>
      </c>
      <c r="E315" s="1" t="s">
        <v>25</v>
      </c>
      <c r="F315" s="1" t="s">
        <v>25</v>
      </c>
      <c r="G315" s="1" t="s">
        <v>25</v>
      </c>
      <c r="H315" s="1" t="s">
        <v>25</v>
      </c>
      <c r="I315" s="1" t="s">
        <v>25</v>
      </c>
      <c r="J315" s="1" t="s">
        <v>25</v>
      </c>
      <c r="K315" s="1" t="s">
        <v>25</v>
      </c>
      <c r="L315" s="1" t="s">
        <v>25</v>
      </c>
      <c r="M315" s="1">
        <v>3.516831089E9</v>
      </c>
      <c r="N315" s="1" t="s">
        <v>1262</v>
      </c>
      <c r="O315" s="1" t="s">
        <v>25</v>
      </c>
      <c r="P315" s="1" t="s">
        <v>25</v>
      </c>
      <c r="Q315" s="1" t="s">
        <v>25</v>
      </c>
      <c r="R315" s="1" t="s">
        <v>1263</v>
      </c>
      <c r="S315" s="2">
        <v>45938.49684027778</v>
      </c>
      <c r="T315" s="2">
        <v>45938.49684027778</v>
      </c>
    </row>
    <row r="316">
      <c r="A316" s="1" t="s">
        <v>464</v>
      </c>
      <c r="B316" s="1" t="s">
        <v>25</v>
      </c>
      <c r="C316" s="1">
        <v>96.0</v>
      </c>
      <c r="D316" s="1">
        <v>4.07511913E8</v>
      </c>
      <c r="E316" s="1" t="s">
        <v>25</v>
      </c>
      <c r="F316" s="1" t="s">
        <v>25</v>
      </c>
      <c r="G316" s="1" t="s">
        <v>25</v>
      </c>
      <c r="H316" s="1" t="s">
        <v>25</v>
      </c>
      <c r="I316" s="1" t="s">
        <v>25</v>
      </c>
      <c r="J316" s="1" t="s">
        <v>25</v>
      </c>
      <c r="K316" s="1" t="s">
        <v>25</v>
      </c>
      <c r="L316" s="1" t="s">
        <v>25</v>
      </c>
      <c r="M316" s="1">
        <v>3.541571444E9</v>
      </c>
      <c r="N316" s="1" t="s">
        <v>25</v>
      </c>
      <c r="O316" s="1" t="s">
        <v>25</v>
      </c>
      <c r="P316" s="1" t="s">
        <v>25</v>
      </c>
      <c r="Q316" s="1" t="s">
        <v>25</v>
      </c>
      <c r="R316" s="1" t="s">
        <v>25</v>
      </c>
      <c r="S316" s="2">
        <v>45938.705</v>
      </c>
      <c r="T316" s="2">
        <v>45938.705</v>
      </c>
    </row>
    <row r="317">
      <c r="A317" s="1" t="s">
        <v>456</v>
      </c>
      <c r="B317" s="1">
        <v>2.0</v>
      </c>
      <c r="C317" s="1">
        <v>96.0</v>
      </c>
      <c r="D317" s="1">
        <v>2.0997059E7</v>
      </c>
      <c r="E317" s="1" t="s">
        <v>25</v>
      </c>
      <c r="F317" s="1" t="s">
        <v>25</v>
      </c>
      <c r="G317" s="1" t="s">
        <v>25</v>
      </c>
      <c r="H317" s="1" t="s">
        <v>25</v>
      </c>
      <c r="I317" s="1" t="s">
        <v>25</v>
      </c>
      <c r="J317" s="1" t="s">
        <v>25</v>
      </c>
      <c r="K317" s="1" t="s">
        <v>25</v>
      </c>
      <c r="L317" s="1" t="s">
        <v>25</v>
      </c>
      <c r="M317" s="1">
        <v>3.516454173E9</v>
      </c>
      <c r="N317" s="1" t="s">
        <v>1264</v>
      </c>
      <c r="O317" s="1" t="s">
        <v>25</v>
      </c>
      <c r="P317" s="1" t="s">
        <v>25</v>
      </c>
      <c r="Q317" s="1" t="s">
        <v>25</v>
      </c>
      <c r="R317" s="1" t="s">
        <v>25</v>
      </c>
      <c r="S317" s="2">
        <v>45939.42078703704</v>
      </c>
      <c r="T317" s="2">
        <v>45939.42078703704</v>
      </c>
    </row>
    <row r="318">
      <c r="A318" s="1" t="s">
        <v>463</v>
      </c>
      <c r="B318" s="1" t="s">
        <v>25</v>
      </c>
      <c r="C318" s="1">
        <v>96.0</v>
      </c>
      <c r="D318" s="1">
        <v>4.6067657E7</v>
      </c>
      <c r="E318" s="1" t="s">
        <v>25</v>
      </c>
      <c r="F318" s="1" t="s">
        <v>25</v>
      </c>
      <c r="G318" s="1" t="s">
        <v>25</v>
      </c>
      <c r="H318" s="1" t="s">
        <v>25</v>
      </c>
      <c r="I318" s="1" t="s">
        <v>25</v>
      </c>
      <c r="J318" s="1" t="s">
        <v>25</v>
      </c>
      <c r="K318" s="1" t="s">
        <v>25</v>
      </c>
      <c r="L318" s="1" t="s">
        <v>25</v>
      </c>
      <c r="M318" s="1">
        <v>3.51679134E9</v>
      </c>
      <c r="N318" s="1" t="s">
        <v>25</v>
      </c>
      <c r="O318" s="1" t="s">
        <v>25</v>
      </c>
      <c r="P318" s="1" t="s">
        <v>25</v>
      </c>
      <c r="Q318" s="1" t="s">
        <v>25</v>
      </c>
      <c r="R318" s="1" t="s">
        <v>25</v>
      </c>
      <c r="S318" s="2">
        <v>45939.68005787037</v>
      </c>
      <c r="T318" s="2">
        <v>45939.68005787037</v>
      </c>
    </row>
    <row r="319">
      <c r="A319" s="1" t="s">
        <v>457</v>
      </c>
      <c r="B319" s="1">
        <v>1.0</v>
      </c>
      <c r="C319" s="1">
        <v>96.0</v>
      </c>
      <c r="D319" s="1">
        <v>4.7212623E7</v>
      </c>
      <c r="E319" s="1" t="s">
        <v>25</v>
      </c>
      <c r="F319" s="1" t="s">
        <v>25</v>
      </c>
      <c r="G319" s="1" t="s">
        <v>25</v>
      </c>
      <c r="H319" s="1" t="s">
        <v>25</v>
      </c>
      <c r="I319" s="1" t="s">
        <v>25</v>
      </c>
      <c r="J319" s="1" t="s">
        <v>25</v>
      </c>
      <c r="K319" s="1" t="s">
        <v>25</v>
      </c>
      <c r="L319" s="1" t="s">
        <v>25</v>
      </c>
      <c r="M319" s="1">
        <v>3.825585014E9</v>
      </c>
      <c r="N319" s="1" t="s">
        <v>1265</v>
      </c>
      <c r="O319" s="1" t="s">
        <v>25</v>
      </c>
      <c r="P319" s="1" t="s">
        <v>25</v>
      </c>
      <c r="Q319" s="1" t="s">
        <v>25</v>
      </c>
      <c r="R319" s="1" t="s">
        <v>25</v>
      </c>
      <c r="S319" s="2">
        <v>45939.761469907404</v>
      </c>
      <c r="T319" s="2">
        <v>45939.761469907404</v>
      </c>
    </row>
    <row r="320">
      <c r="A320" s="1" t="s">
        <v>458</v>
      </c>
      <c r="B320" s="1">
        <v>2.0</v>
      </c>
      <c r="C320" s="1">
        <v>96.0</v>
      </c>
      <c r="D320" s="1">
        <v>9.4355369E7</v>
      </c>
      <c r="E320" s="1" t="s">
        <v>25</v>
      </c>
      <c r="F320" s="1" t="s">
        <v>25</v>
      </c>
      <c r="G320" s="1" t="s">
        <v>25</v>
      </c>
      <c r="H320" s="1" t="s">
        <v>25</v>
      </c>
      <c r="I320" s="1" t="s">
        <v>25</v>
      </c>
      <c r="J320" s="1" t="s">
        <v>25</v>
      </c>
      <c r="K320" s="1" t="s">
        <v>25</v>
      </c>
      <c r="L320" s="1" t="s">
        <v>25</v>
      </c>
      <c r="M320" s="1">
        <v>3.513811481E9</v>
      </c>
      <c r="N320" s="1" t="s">
        <v>1266</v>
      </c>
      <c r="O320" s="1" t="s">
        <v>25</v>
      </c>
      <c r="P320" s="1" t="s">
        <v>25</v>
      </c>
      <c r="Q320" s="1" t="s">
        <v>25</v>
      </c>
      <c r="R320" s="1" t="s">
        <v>25</v>
      </c>
      <c r="S320" s="2">
        <v>45939.772511574076</v>
      </c>
      <c r="T320" s="2">
        <v>45939.772511574076</v>
      </c>
    </row>
    <row r="321">
      <c r="A321" s="1" t="s">
        <v>459</v>
      </c>
      <c r="B321" s="1">
        <v>2.0</v>
      </c>
      <c r="C321" s="1">
        <v>96.0</v>
      </c>
      <c r="D321" s="1">
        <v>3.495973E7</v>
      </c>
      <c r="E321" s="1" t="s">
        <v>25</v>
      </c>
      <c r="F321" s="1" t="s">
        <v>25</v>
      </c>
      <c r="G321" s="1" t="s">
        <v>25</v>
      </c>
      <c r="H321" s="1" t="s">
        <v>25</v>
      </c>
      <c r="I321" s="1" t="s">
        <v>25</v>
      </c>
      <c r="J321" s="1" t="s">
        <v>25</v>
      </c>
      <c r="K321" s="1" t="s">
        <v>25</v>
      </c>
      <c r="L321" s="1" t="s">
        <v>25</v>
      </c>
      <c r="M321" s="1">
        <v>3.512687531E9</v>
      </c>
      <c r="N321" s="1" t="s">
        <v>1267</v>
      </c>
      <c r="O321" s="1" t="s">
        <v>25</v>
      </c>
      <c r="P321" s="1" t="s">
        <v>25</v>
      </c>
      <c r="Q321" s="1" t="s">
        <v>25</v>
      </c>
      <c r="R321" s="1" t="s">
        <v>25</v>
      </c>
      <c r="S321" s="2">
        <v>45940.388865740744</v>
      </c>
      <c r="T321" s="2">
        <v>45940.388865740744</v>
      </c>
    </row>
    <row r="322">
      <c r="A322" s="1" t="s">
        <v>460</v>
      </c>
      <c r="B322" s="1">
        <v>2.0</v>
      </c>
      <c r="C322" s="1">
        <v>96.0</v>
      </c>
      <c r="D322" s="1">
        <v>1.391958432E9</v>
      </c>
      <c r="E322" s="1" t="s">
        <v>25</v>
      </c>
      <c r="F322" s="1" t="s">
        <v>25</v>
      </c>
      <c r="G322" s="1" t="s">
        <v>25</v>
      </c>
      <c r="H322" s="1" t="s">
        <v>25</v>
      </c>
      <c r="I322" s="1" t="s">
        <v>25</v>
      </c>
      <c r="J322" s="1" t="s">
        <v>25</v>
      </c>
      <c r="K322" s="1" t="s">
        <v>25</v>
      </c>
      <c r="L322" s="1" t="s">
        <v>25</v>
      </c>
      <c r="M322" s="1" t="s">
        <v>1268</v>
      </c>
      <c r="N322" s="1" t="s">
        <v>1269</v>
      </c>
      <c r="O322" s="1" t="s">
        <v>25</v>
      </c>
      <c r="P322" s="1" t="s">
        <v>25</v>
      </c>
      <c r="Q322" s="1" t="s">
        <v>25</v>
      </c>
      <c r="R322" s="1" t="s">
        <v>1270</v>
      </c>
      <c r="S322" s="2">
        <v>45940.392384259256</v>
      </c>
      <c r="T322" s="2">
        <v>45940.392384259256</v>
      </c>
    </row>
    <row r="323">
      <c r="A323" s="1" t="s">
        <v>462</v>
      </c>
      <c r="B323" s="1">
        <v>1.0</v>
      </c>
      <c r="C323" s="1">
        <v>96.0</v>
      </c>
      <c r="D323" s="1">
        <v>1.6650452E7</v>
      </c>
      <c r="E323" s="1" t="s">
        <v>25</v>
      </c>
      <c r="F323" s="1" t="s">
        <v>25</v>
      </c>
      <c r="G323" s="1" t="s">
        <v>25</v>
      </c>
      <c r="H323" s="1" t="s">
        <v>25</v>
      </c>
      <c r="I323" s="1" t="s">
        <v>25</v>
      </c>
      <c r="J323" s="1" t="s">
        <v>25</v>
      </c>
      <c r="K323" s="1" t="s">
        <v>25</v>
      </c>
      <c r="L323" s="1" t="s">
        <v>25</v>
      </c>
      <c r="M323" s="1">
        <v>3.516357008E9</v>
      </c>
      <c r="N323" s="1" t="s">
        <v>25</v>
      </c>
      <c r="O323" s="1" t="s">
        <v>25</v>
      </c>
      <c r="P323" s="1" t="s">
        <v>25</v>
      </c>
      <c r="Q323" s="1" t="s">
        <v>25</v>
      </c>
      <c r="R323" s="1" t="s">
        <v>25</v>
      </c>
      <c r="S323" s="2">
        <v>45940.39877314815</v>
      </c>
      <c r="T323" s="2">
        <v>45940.39877314815</v>
      </c>
    </row>
    <row r="324">
      <c r="A324" s="1" t="s">
        <v>1271</v>
      </c>
      <c r="B324" s="1">
        <v>1.0</v>
      </c>
      <c r="C324" s="1">
        <v>96.0</v>
      </c>
      <c r="D324" s="1">
        <v>0.0</v>
      </c>
      <c r="E324" s="1" t="s">
        <v>25</v>
      </c>
      <c r="F324" s="1" t="s">
        <v>25</v>
      </c>
      <c r="G324" s="1" t="s">
        <v>25</v>
      </c>
      <c r="H324" s="1" t="s">
        <v>25</v>
      </c>
      <c r="I324" s="1" t="s">
        <v>25</v>
      </c>
      <c r="J324" s="1" t="s">
        <v>25</v>
      </c>
      <c r="K324" s="1" t="s">
        <v>25</v>
      </c>
      <c r="L324" s="1" t="s">
        <v>25</v>
      </c>
      <c r="M324" s="1">
        <v>3.541571444E9</v>
      </c>
      <c r="N324" s="1" t="s">
        <v>25</v>
      </c>
      <c r="O324" s="1" t="s">
        <v>25</v>
      </c>
      <c r="P324" s="1" t="s">
        <v>25</v>
      </c>
      <c r="Q324" s="1" t="s">
        <v>25</v>
      </c>
      <c r="R324" s="1" t="s">
        <v>25</v>
      </c>
      <c r="S324" s="2">
        <v>45940.40456018518</v>
      </c>
      <c r="T324" s="2">
        <v>45940.40456018518</v>
      </c>
    </row>
    <row r="325">
      <c r="A325" s="1" t="s">
        <v>465</v>
      </c>
      <c r="B325" s="1">
        <v>2.0</v>
      </c>
      <c r="C325" s="1">
        <v>96.0</v>
      </c>
      <c r="D325" s="1">
        <v>5.552398E7</v>
      </c>
      <c r="E325" s="1" t="s">
        <v>25</v>
      </c>
      <c r="F325" s="1" t="s">
        <v>25</v>
      </c>
      <c r="G325" s="1" t="s">
        <v>25</v>
      </c>
      <c r="H325" s="5">
        <v>42556.0</v>
      </c>
      <c r="I325" s="1" t="s">
        <v>25</v>
      </c>
      <c r="J325" s="1" t="s">
        <v>25</v>
      </c>
      <c r="K325" s="1" t="s">
        <v>25</v>
      </c>
      <c r="L325" s="1" t="s">
        <v>25</v>
      </c>
      <c r="M325" s="1">
        <v>3.51157659136E11</v>
      </c>
      <c r="N325" s="1" t="s">
        <v>1272</v>
      </c>
      <c r="O325" s="1" t="s">
        <v>25</v>
      </c>
      <c r="P325" s="1" t="s">
        <v>25</v>
      </c>
      <c r="Q325" s="1" t="s">
        <v>25</v>
      </c>
      <c r="R325" s="1" t="s">
        <v>25</v>
      </c>
      <c r="S325" s="2">
        <v>45940.435219907406</v>
      </c>
      <c r="T325" s="2">
        <v>45940.435219907406</v>
      </c>
    </row>
    <row r="326">
      <c r="A326" s="1" t="s">
        <v>466</v>
      </c>
      <c r="B326" s="1">
        <v>1.0</v>
      </c>
      <c r="C326" s="1">
        <v>96.0</v>
      </c>
      <c r="D326" s="1">
        <v>4.0844418E7</v>
      </c>
      <c r="E326" s="1" t="s">
        <v>25</v>
      </c>
      <c r="F326" s="1" t="s">
        <v>25</v>
      </c>
      <c r="G326" s="1" t="s">
        <v>25</v>
      </c>
      <c r="H326" s="1" t="s">
        <v>25</v>
      </c>
      <c r="I326" s="1" t="s">
        <v>25</v>
      </c>
      <c r="J326" s="1" t="s">
        <v>25</v>
      </c>
      <c r="K326" s="1" t="s">
        <v>25</v>
      </c>
      <c r="L326" s="1" t="s">
        <v>25</v>
      </c>
      <c r="M326" s="1">
        <v>2.901540306E9</v>
      </c>
      <c r="N326" s="1" t="s">
        <v>1273</v>
      </c>
      <c r="O326" s="1" t="s">
        <v>25</v>
      </c>
      <c r="P326" s="1" t="s">
        <v>25</v>
      </c>
      <c r="Q326" s="1" t="s">
        <v>25</v>
      </c>
      <c r="R326" s="1" t="s">
        <v>25</v>
      </c>
      <c r="S326" s="2">
        <v>45940.509363425925</v>
      </c>
      <c r="T326" s="2">
        <v>45940.509363425925</v>
      </c>
    </row>
    <row r="327">
      <c r="A327" s="1" t="s">
        <v>467</v>
      </c>
      <c r="B327" s="1">
        <v>1.0</v>
      </c>
      <c r="C327" s="1">
        <v>96.0</v>
      </c>
      <c r="D327" s="1">
        <v>3.4599073E7</v>
      </c>
      <c r="E327" s="1" t="s">
        <v>25</v>
      </c>
      <c r="F327" s="1" t="s">
        <v>25</v>
      </c>
      <c r="G327" s="1" t="s">
        <v>25</v>
      </c>
      <c r="H327" s="1" t="s">
        <v>25</v>
      </c>
      <c r="I327" s="1" t="s">
        <v>25</v>
      </c>
      <c r="J327" s="1" t="s">
        <v>25</v>
      </c>
      <c r="K327" s="1" t="s">
        <v>25</v>
      </c>
      <c r="L327" s="1" t="s">
        <v>25</v>
      </c>
      <c r="M327" s="1">
        <v>3.517523613E9</v>
      </c>
      <c r="N327" s="1" t="s">
        <v>25</v>
      </c>
      <c r="O327" s="1" t="s">
        <v>25</v>
      </c>
      <c r="P327" s="1" t="s">
        <v>25</v>
      </c>
      <c r="Q327" s="1" t="s">
        <v>25</v>
      </c>
      <c r="R327" s="1" t="s">
        <v>25</v>
      </c>
      <c r="S327" s="2">
        <v>45940.69063657407</v>
      </c>
      <c r="T327" s="2">
        <v>45940.69063657407</v>
      </c>
    </row>
    <row r="328">
      <c r="A328" s="1" t="s">
        <v>468</v>
      </c>
      <c r="B328" s="1">
        <v>1.0</v>
      </c>
      <c r="C328" s="1">
        <v>96.0</v>
      </c>
      <c r="D328" s="1">
        <v>3.7166725E7</v>
      </c>
      <c r="E328" s="1" t="s">
        <v>25</v>
      </c>
      <c r="F328" s="1" t="s">
        <v>25</v>
      </c>
      <c r="G328" s="1" t="s">
        <v>25</v>
      </c>
      <c r="H328" s="1" t="s">
        <v>25</v>
      </c>
      <c r="I328" s="1" t="s">
        <v>25</v>
      </c>
      <c r="J328" s="1" t="s">
        <v>25</v>
      </c>
      <c r="K328" s="1" t="s">
        <v>25</v>
      </c>
      <c r="L328" s="1" t="s">
        <v>25</v>
      </c>
      <c r="M328" s="1">
        <v>3.57419964E8</v>
      </c>
      <c r="N328" s="1" t="s">
        <v>25</v>
      </c>
      <c r="O328" s="1" t="s">
        <v>25</v>
      </c>
      <c r="P328" s="1" t="s">
        <v>25</v>
      </c>
      <c r="Q328" s="1" t="s">
        <v>25</v>
      </c>
      <c r="R328" s="1" t="s">
        <v>25</v>
      </c>
      <c r="S328" s="2">
        <v>45940.72623842592</v>
      </c>
      <c r="T328" s="2">
        <v>45940.72623842592</v>
      </c>
    </row>
    <row r="329">
      <c r="A329" s="1" t="s">
        <v>470</v>
      </c>
      <c r="B329" s="1">
        <v>1.0</v>
      </c>
      <c r="C329" s="1">
        <v>96.0</v>
      </c>
      <c r="D329" s="1">
        <v>3.1768043E7</v>
      </c>
      <c r="E329" s="1" t="s">
        <v>25</v>
      </c>
      <c r="F329" s="1" t="s">
        <v>25</v>
      </c>
      <c r="G329" s="1" t="s">
        <v>25</v>
      </c>
      <c r="H329" s="1" t="s">
        <v>25</v>
      </c>
      <c r="I329" s="1" t="s">
        <v>25</v>
      </c>
      <c r="J329" s="1" t="s">
        <v>25</v>
      </c>
      <c r="K329" s="1" t="s">
        <v>25</v>
      </c>
      <c r="L329" s="1" t="s">
        <v>25</v>
      </c>
      <c r="M329" s="1">
        <v>1.5210701E8</v>
      </c>
      <c r="N329" s="1" t="s">
        <v>25</v>
      </c>
      <c r="O329" s="1" t="s">
        <v>25</v>
      </c>
      <c r="P329" s="1" t="s">
        <v>25</v>
      </c>
      <c r="Q329" s="1" t="s">
        <v>25</v>
      </c>
      <c r="R329" s="1" t="s">
        <v>25</v>
      </c>
      <c r="S329" s="2">
        <v>45943.448900462965</v>
      </c>
      <c r="T329" s="2">
        <v>45943.448900462965</v>
      </c>
    </row>
    <row r="330">
      <c r="A330" s="1" t="s">
        <v>471</v>
      </c>
      <c r="B330" s="1">
        <v>1.0</v>
      </c>
      <c r="C330" s="1">
        <v>96.0</v>
      </c>
      <c r="D330" s="1">
        <v>1.4892567E7</v>
      </c>
      <c r="E330" s="1" t="s">
        <v>25</v>
      </c>
      <c r="F330" s="1" t="s">
        <v>25</v>
      </c>
      <c r="G330" s="1" t="s">
        <v>25</v>
      </c>
      <c r="H330" s="1" t="s">
        <v>25</v>
      </c>
      <c r="I330" s="1" t="s">
        <v>25</v>
      </c>
      <c r="J330" s="1" t="s">
        <v>25</v>
      </c>
      <c r="K330" s="1" t="s">
        <v>25</v>
      </c>
      <c r="L330" s="1" t="s">
        <v>25</v>
      </c>
      <c r="M330" s="1">
        <v>3.512586659E9</v>
      </c>
      <c r="N330" s="1" t="s">
        <v>25</v>
      </c>
      <c r="O330" s="1" t="s">
        <v>25</v>
      </c>
      <c r="P330" s="1" t="s">
        <v>25</v>
      </c>
      <c r="Q330" s="1" t="s">
        <v>25</v>
      </c>
      <c r="R330" s="1" t="s">
        <v>25</v>
      </c>
      <c r="S330" s="2">
        <v>45943.46472222222</v>
      </c>
      <c r="T330" s="2">
        <v>45943.46472222222</v>
      </c>
    </row>
    <row r="331">
      <c r="A331" s="1" t="s">
        <v>472</v>
      </c>
      <c r="B331" s="1">
        <v>1.0</v>
      </c>
      <c r="C331" s="1">
        <v>96.0</v>
      </c>
      <c r="D331" s="1">
        <v>1.6904118E7</v>
      </c>
      <c r="E331" s="1" t="s">
        <v>25</v>
      </c>
      <c r="F331" s="1" t="s">
        <v>25</v>
      </c>
      <c r="G331" s="1" t="s">
        <v>25</v>
      </c>
      <c r="H331" s="5">
        <v>23543.0</v>
      </c>
      <c r="I331" s="1" t="s">
        <v>25</v>
      </c>
      <c r="J331" s="1" t="s">
        <v>25</v>
      </c>
      <c r="K331" s="1" t="s">
        <v>25</v>
      </c>
      <c r="L331" s="1" t="s">
        <v>25</v>
      </c>
      <c r="M331" s="1">
        <v>3.513497605E9</v>
      </c>
      <c r="N331" s="1" t="s">
        <v>1274</v>
      </c>
      <c r="O331" s="1" t="s">
        <v>25</v>
      </c>
      <c r="P331" s="1" t="s">
        <v>25</v>
      </c>
      <c r="Q331" s="1" t="s">
        <v>25</v>
      </c>
      <c r="R331" s="1" t="s">
        <v>25</v>
      </c>
      <c r="S331" s="2">
        <v>45943.54509259259</v>
      </c>
      <c r="T331" s="2">
        <v>45947.67581018519</v>
      </c>
    </row>
    <row r="332">
      <c r="A332" s="1" t="s">
        <v>473</v>
      </c>
      <c r="B332" s="1">
        <v>1.0</v>
      </c>
      <c r="C332" s="1">
        <v>96.0</v>
      </c>
      <c r="D332" s="1">
        <v>4.50808E7</v>
      </c>
      <c r="E332" s="1" t="s">
        <v>25</v>
      </c>
      <c r="F332" s="1" t="s">
        <v>25</v>
      </c>
      <c r="G332" s="1" t="s">
        <v>25</v>
      </c>
      <c r="H332" s="1" t="s">
        <v>25</v>
      </c>
      <c r="I332" s="1" t="s">
        <v>25</v>
      </c>
      <c r="J332" s="1" t="s">
        <v>25</v>
      </c>
      <c r="K332" s="1" t="s">
        <v>25</v>
      </c>
      <c r="L332" s="1" t="s">
        <v>25</v>
      </c>
      <c r="M332" s="1">
        <v>3.543516485E9</v>
      </c>
      <c r="N332" s="1" t="s">
        <v>1275</v>
      </c>
      <c r="O332" s="1" t="s">
        <v>25</v>
      </c>
      <c r="P332" s="1" t="s">
        <v>25</v>
      </c>
      <c r="Q332" s="1" t="s">
        <v>25</v>
      </c>
      <c r="R332" s="1" t="s">
        <v>25</v>
      </c>
      <c r="S332" s="2">
        <v>45944.683020833334</v>
      </c>
      <c r="T332" s="2">
        <v>45944.683020833334</v>
      </c>
    </row>
    <row r="333">
      <c r="A333" s="1" t="s">
        <v>474</v>
      </c>
      <c r="B333" s="1">
        <v>1.0</v>
      </c>
      <c r="C333" s="1">
        <v>96.0</v>
      </c>
      <c r="D333" s="1">
        <v>4.6022705E7</v>
      </c>
      <c r="E333" s="1" t="s">
        <v>25</v>
      </c>
      <c r="F333" s="1" t="s">
        <v>25</v>
      </c>
      <c r="G333" s="1" t="s">
        <v>25</v>
      </c>
      <c r="H333" s="1" t="s">
        <v>25</v>
      </c>
      <c r="I333" s="1" t="s">
        <v>25</v>
      </c>
      <c r="J333" s="1" t="s">
        <v>25</v>
      </c>
      <c r="K333" s="1" t="s">
        <v>25</v>
      </c>
      <c r="L333" s="1" t="s">
        <v>25</v>
      </c>
      <c r="M333" s="1">
        <v>3.515077233E9</v>
      </c>
      <c r="N333" s="1" t="s">
        <v>25</v>
      </c>
      <c r="O333" s="1" t="s">
        <v>25</v>
      </c>
      <c r="P333" s="1">
        <v>6.1646022705E10</v>
      </c>
      <c r="Q333" s="1" t="s">
        <v>25</v>
      </c>
      <c r="R333" s="1" t="s">
        <v>25</v>
      </c>
      <c r="S333" s="2">
        <v>45944.70103009259</v>
      </c>
      <c r="T333" s="2">
        <v>45944.70103009259</v>
      </c>
    </row>
    <row r="334">
      <c r="A334" s="1" t="s">
        <v>475</v>
      </c>
      <c r="B334" s="1">
        <v>1.0</v>
      </c>
      <c r="C334" s="1">
        <v>96.0</v>
      </c>
      <c r="D334" s="1">
        <v>4.4898024E7</v>
      </c>
      <c r="E334" s="1" t="s">
        <v>25</v>
      </c>
      <c r="F334" s="1" t="s">
        <v>25</v>
      </c>
      <c r="G334" s="1" t="s">
        <v>25</v>
      </c>
      <c r="H334" s="1" t="s">
        <v>25</v>
      </c>
      <c r="I334" s="1" t="s">
        <v>25</v>
      </c>
      <c r="J334" s="1" t="s">
        <v>25</v>
      </c>
      <c r="K334" s="1" t="s">
        <v>25</v>
      </c>
      <c r="L334" s="1" t="s">
        <v>25</v>
      </c>
      <c r="M334" s="1">
        <v>3.512311284E9</v>
      </c>
      <c r="N334" s="1" t="s">
        <v>25</v>
      </c>
      <c r="O334" s="1" t="s">
        <v>25</v>
      </c>
      <c r="P334" s="1" t="s">
        <v>25</v>
      </c>
      <c r="Q334" s="1" t="s">
        <v>25</v>
      </c>
      <c r="R334" s="1" t="s">
        <v>25</v>
      </c>
      <c r="S334" s="2">
        <v>45945.56180555555</v>
      </c>
      <c r="T334" s="2">
        <v>45945.56180555555</v>
      </c>
    </row>
    <row r="335">
      <c r="A335" s="1" t="s">
        <v>478</v>
      </c>
      <c r="B335" s="1">
        <v>1.0</v>
      </c>
      <c r="C335" s="1">
        <v>96.0</v>
      </c>
      <c r="D335" s="1">
        <v>2.90879E7</v>
      </c>
      <c r="E335" s="1" t="s">
        <v>25</v>
      </c>
      <c r="F335" s="1" t="s">
        <v>25</v>
      </c>
      <c r="G335" s="1" t="s">
        <v>25</v>
      </c>
      <c r="H335" s="1" t="s">
        <v>25</v>
      </c>
      <c r="I335" s="1" t="s">
        <v>25</v>
      </c>
      <c r="J335" s="1" t="s">
        <v>25</v>
      </c>
      <c r="K335" s="1" t="s">
        <v>25</v>
      </c>
      <c r="L335" s="1" t="s">
        <v>25</v>
      </c>
      <c r="M335" s="1">
        <v>3.515172683E9</v>
      </c>
      <c r="N335" s="1" t="s">
        <v>1276</v>
      </c>
      <c r="O335" s="1" t="s">
        <v>25</v>
      </c>
      <c r="P335" s="1" t="s">
        <v>25</v>
      </c>
      <c r="Q335" s="1" t="s">
        <v>25</v>
      </c>
      <c r="R335" s="1" t="s">
        <v>25</v>
      </c>
      <c r="S335" s="2">
        <v>45945.753587962965</v>
      </c>
      <c r="T335" s="2">
        <v>45992.48653935185</v>
      </c>
    </row>
    <row r="336">
      <c r="A336" s="1" t="s">
        <v>494</v>
      </c>
      <c r="B336" s="1" t="s">
        <v>25</v>
      </c>
      <c r="C336" s="1">
        <v>96.0</v>
      </c>
      <c r="D336" s="1">
        <v>1.2738404E7</v>
      </c>
      <c r="E336" s="1" t="s">
        <v>25</v>
      </c>
      <c r="F336" s="1" t="s">
        <v>25</v>
      </c>
      <c r="G336" s="1" t="s">
        <v>25</v>
      </c>
      <c r="H336" s="1" t="s">
        <v>25</v>
      </c>
      <c r="I336" s="1" t="s">
        <v>25</v>
      </c>
      <c r="J336" s="1" t="s">
        <v>25</v>
      </c>
      <c r="K336" s="1" t="s">
        <v>25</v>
      </c>
      <c r="L336" s="1" t="s">
        <v>25</v>
      </c>
      <c r="M336" s="1">
        <v>3.515630129E9</v>
      </c>
      <c r="N336" s="1" t="s">
        <v>25</v>
      </c>
      <c r="O336" s="1" t="s">
        <v>25</v>
      </c>
      <c r="P336" s="1" t="s">
        <v>25</v>
      </c>
      <c r="Q336" s="1" t="s">
        <v>25</v>
      </c>
      <c r="R336" s="1" t="s">
        <v>25</v>
      </c>
      <c r="S336" s="2">
        <v>45945.778391203705</v>
      </c>
      <c r="T336" s="2">
        <v>45945.778391203705</v>
      </c>
    </row>
    <row r="337">
      <c r="A337" s="1" t="s">
        <v>476</v>
      </c>
      <c r="B337" s="1">
        <v>1.0</v>
      </c>
      <c r="C337" s="1">
        <v>96.0</v>
      </c>
      <c r="D337" s="1">
        <v>4.6224161E7</v>
      </c>
      <c r="E337" s="1" t="s">
        <v>25</v>
      </c>
      <c r="F337" s="1" t="s">
        <v>25</v>
      </c>
      <c r="G337" s="1" t="s">
        <v>25</v>
      </c>
      <c r="H337" s="1" t="s">
        <v>25</v>
      </c>
      <c r="I337" s="1" t="s">
        <v>25</v>
      </c>
      <c r="J337" s="1" t="s">
        <v>25</v>
      </c>
      <c r="K337" s="1" t="s">
        <v>25</v>
      </c>
      <c r="L337" s="1" t="s">
        <v>25</v>
      </c>
      <c r="M337" s="1">
        <v>3.51302119E9</v>
      </c>
      <c r="N337" s="1" t="s">
        <v>1277</v>
      </c>
      <c r="O337" s="1" t="s">
        <v>25</v>
      </c>
      <c r="P337" s="1" t="s">
        <v>1278</v>
      </c>
      <c r="Q337" s="1" t="s">
        <v>25</v>
      </c>
      <c r="R337" s="1" t="s">
        <v>25</v>
      </c>
      <c r="S337" s="2">
        <v>45946.556666666664</v>
      </c>
      <c r="T337" s="2">
        <v>45946.556666666664</v>
      </c>
    </row>
    <row r="338">
      <c r="A338" s="1" t="s">
        <v>477</v>
      </c>
      <c r="B338" s="1">
        <v>1.0</v>
      </c>
      <c r="C338" s="1">
        <v>96.0</v>
      </c>
      <c r="D338" s="1">
        <v>2.6482221E7</v>
      </c>
      <c r="E338" s="1" t="s">
        <v>25</v>
      </c>
      <c r="F338" s="1" t="s">
        <v>25</v>
      </c>
      <c r="G338" s="1" t="s">
        <v>25</v>
      </c>
      <c r="H338" s="1" t="s">
        <v>25</v>
      </c>
      <c r="I338" s="1" t="s">
        <v>25</v>
      </c>
      <c r="J338" s="1" t="s">
        <v>25</v>
      </c>
      <c r="K338" s="1" t="s">
        <v>25</v>
      </c>
      <c r="L338" s="1" t="s">
        <v>25</v>
      </c>
      <c r="M338" s="1">
        <v>3.51341338E9</v>
      </c>
      <c r="N338" s="1" t="s">
        <v>1279</v>
      </c>
      <c r="O338" s="1" t="s">
        <v>25</v>
      </c>
      <c r="P338" s="1" t="s">
        <v>25</v>
      </c>
      <c r="Q338" s="1" t="s">
        <v>25</v>
      </c>
      <c r="R338" s="1" t="s">
        <v>25</v>
      </c>
      <c r="S338" s="2">
        <v>45946.71627314815</v>
      </c>
      <c r="T338" s="2">
        <v>45946.71627314815</v>
      </c>
    </row>
    <row r="339">
      <c r="A339" s="1" t="s">
        <v>479</v>
      </c>
      <c r="B339" s="1">
        <v>1.0</v>
      </c>
      <c r="C339" s="1">
        <v>96.0</v>
      </c>
      <c r="D339" s="1">
        <v>2.7171684E7</v>
      </c>
      <c r="E339" s="1" t="s">
        <v>25</v>
      </c>
      <c r="F339" s="1" t="s">
        <v>25</v>
      </c>
      <c r="G339" s="1" t="s">
        <v>25</v>
      </c>
      <c r="H339" s="1" t="s">
        <v>25</v>
      </c>
      <c r="I339" s="1" t="s">
        <v>25</v>
      </c>
      <c r="J339" s="1" t="s">
        <v>25</v>
      </c>
      <c r="K339" s="1" t="s">
        <v>25</v>
      </c>
      <c r="L339" s="1" t="s">
        <v>25</v>
      </c>
      <c r="M339" s="1">
        <v>3.512303925E9</v>
      </c>
      <c r="N339" s="1" t="s">
        <v>1280</v>
      </c>
      <c r="O339" s="1" t="s">
        <v>25</v>
      </c>
      <c r="P339" s="1" t="s">
        <v>25</v>
      </c>
      <c r="Q339" s="1" t="s">
        <v>25</v>
      </c>
      <c r="R339" s="1" t="s">
        <v>25</v>
      </c>
      <c r="S339" s="2">
        <v>45948.4555787037</v>
      </c>
      <c r="T339" s="2">
        <v>45948.4555787037</v>
      </c>
    </row>
    <row r="340">
      <c r="A340" s="1" t="s">
        <v>481</v>
      </c>
      <c r="B340" s="1" t="s">
        <v>25</v>
      </c>
      <c r="C340" s="1">
        <v>96.0</v>
      </c>
      <c r="D340" s="1">
        <v>4.0835785E7</v>
      </c>
      <c r="E340" s="1" t="s">
        <v>25</v>
      </c>
      <c r="F340" s="1" t="s">
        <v>25</v>
      </c>
      <c r="G340" s="1" t="s">
        <v>25</v>
      </c>
      <c r="H340" s="1" t="s">
        <v>25</v>
      </c>
      <c r="I340" s="1" t="s">
        <v>25</v>
      </c>
      <c r="J340" s="1" t="s">
        <v>25</v>
      </c>
      <c r="K340" s="1" t="s">
        <v>25</v>
      </c>
      <c r="L340" s="1" t="s">
        <v>25</v>
      </c>
      <c r="M340" s="1">
        <v>3.512068905E9</v>
      </c>
      <c r="N340" s="1" t="s">
        <v>25</v>
      </c>
      <c r="O340" s="1" t="s">
        <v>25</v>
      </c>
      <c r="P340" s="1" t="s">
        <v>25</v>
      </c>
      <c r="Q340" s="1" t="s">
        <v>25</v>
      </c>
      <c r="R340" s="1" t="s">
        <v>25</v>
      </c>
      <c r="S340" s="2">
        <v>45948.4787037037</v>
      </c>
      <c r="T340" s="2">
        <v>45948.4787037037</v>
      </c>
    </row>
    <row r="341">
      <c r="A341" s="1" t="s">
        <v>480</v>
      </c>
      <c r="B341" s="1">
        <v>2.0</v>
      </c>
      <c r="C341" s="1">
        <v>96.0</v>
      </c>
      <c r="D341" s="1">
        <v>3.0124857E7</v>
      </c>
      <c r="E341" s="1" t="s">
        <v>25</v>
      </c>
      <c r="F341" s="1" t="s">
        <v>25</v>
      </c>
      <c r="G341" s="1" t="s">
        <v>25</v>
      </c>
      <c r="H341" s="1" t="s">
        <v>25</v>
      </c>
      <c r="I341" s="1" t="s">
        <v>25</v>
      </c>
      <c r="J341" s="1" t="s">
        <v>25</v>
      </c>
      <c r="K341" s="1" t="s">
        <v>25</v>
      </c>
      <c r="L341" s="1" t="s">
        <v>25</v>
      </c>
      <c r="M341" s="1">
        <v>3.516819562E9</v>
      </c>
      <c r="N341" s="1" t="s">
        <v>1281</v>
      </c>
      <c r="O341" s="1" t="s">
        <v>25</v>
      </c>
      <c r="P341" s="1" t="s">
        <v>25</v>
      </c>
      <c r="Q341" s="1" t="s">
        <v>25</v>
      </c>
      <c r="R341" s="1" t="s">
        <v>25</v>
      </c>
      <c r="S341" s="2">
        <v>45948.507731481484</v>
      </c>
      <c r="T341" s="2">
        <v>45948.507731481484</v>
      </c>
    </row>
    <row r="342">
      <c r="A342" s="1" t="s">
        <v>483</v>
      </c>
      <c r="B342" s="1">
        <v>1.0</v>
      </c>
      <c r="C342" s="1">
        <v>96.0</v>
      </c>
      <c r="D342" s="1">
        <v>2.8621682E7</v>
      </c>
      <c r="E342" s="1" t="s">
        <v>25</v>
      </c>
      <c r="F342" s="1" t="s">
        <v>25</v>
      </c>
      <c r="G342" s="1" t="s">
        <v>25</v>
      </c>
      <c r="H342" s="1" t="s">
        <v>25</v>
      </c>
      <c r="I342" s="1" t="s">
        <v>25</v>
      </c>
      <c r="J342" s="1" t="s">
        <v>25</v>
      </c>
      <c r="K342" s="1" t="s">
        <v>25</v>
      </c>
      <c r="L342" s="1" t="s">
        <v>25</v>
      </c>
      <c r="M342" s="1">
        <v>0.0</v>
      </c>
      <c r="N342" s="1" t="s">
        <v>25</v>
      </c>
      <c r="O342" s="1" t="s">
        <v>25</v>
      </c>
      <c r="P342" s="1" t="s">
        <v>25</v>
      </c>
      <c r="Q342" s="1" t="s">
        <v>25</v>
      </c>
      <c r="R342" s="1" t="s">
        <v>25</v>
      </c>
      <c r="S342" s="2">
        <v>45948.59877314815</v>
      </c>
      <c r="T342" s="2">
        <v>45948.59877314815</v>
      </c>
    </row>
    <row r="343">
      <c r="A343" s="1" t="s">
        <v>482</v>
      </c>
      <c r="B343" s="1">
        <v>2.0</v>
      </c>
      <c r="C343" s="1">
        <v>96.0</v>
      </c>
      <c r="D343" s="1">
        <v>2.1320415E7</v>
      </c>
      <c r="E343" s="1" t="s">
        <v>25</v>
      </c>
      <c r="F343" s="1" t="s">
        <v>25</v>
      </c>
      <c r="G343" s="1" t="s">
        <v>25</v>
      </c>
      <c r="H343" s="1" t="s">
        <v>25</v>
      </c>
      <c r="I343" s="1" t="s">
        <v>25</v>
      </c>
      <c r="J343" s="1" t="s">
        <v>25</v>
      </c>
      <c r="K343" s="1" t="s">
        <v>25</v>
      </c>
      <c r="L343" s="1" t="s">
        <v>25</v>
      </c>
      <c r="M343" s="1">
        <v>0.0</v>
      </c>
      <c r="N343" s="1" t="s">
        <v>25</v>
      </c>
      <c r="O343" s="1" t="s">
        <v>25</v>
      </c>
      <c r="P343" s="1" t="s">
        <v>25</v>
      </c>
      <c r="Q343" s="1" t="s">
        <v>25</v>
      </c>
      <c r="R343" s="1" t="s">
        <v>25</v>
      </c>
      <c r="S343" s="2">
        <v>45948.599074074074</v>
      </c>
      <c r="T343" s="2">
        <v>45948.599074074074</v>
      </c>
    </row>
    <row r="344">
      <c r="A344" s="1" t="s">
        <v>484</v>
      </c>
      <c r="B344" s="1">
        <v>2.0</v>
      </c>
      <c r="C344" s="1">
        <v>96.0</v>
      </c>
      <c r="D344" s="1">
        <v>2.9029018E7</v>
      </c>
      <c r="E344" s="1" t="s">
        <v>25</v>
      </c>
      <c r="F344" s="1" t="s">
        <v>25</v>
      </c>
      <c r="G344" s="1" t="s">
        <v>25</v>
      </c>
      <c r="H344" s="1" t="s">
        <v>25</v>
      </c>
      <c r="I344" s="1" t="s">
        <v>25</v>
      </c>
      <c r="J344" s="1" t="s">
        <v>25</v>
      </c>
      <c r="K344" s="1" t="s">
        <v>25</v>
      </c>
      <c r="L344" s="1" t="s">
        <v>25</v>
      </c>
      <c r="M344" s="1">
        <v>3.512466872E9</v>
      </c>
      <c r="N344" s="1" t="s">
        <v>1282</v>
      </c>
      <c r="O344" s="1" t="s">
        <v>25</v>
      </c>
      <c r="P344" s="1" t="s">
        <v>25</v>
      </c>
      <c r="Q344" s="1" t="s">
        <v>25</v>
      </c>
      <c r="R344" s="1" t="s">
        <v>25</v>
      </c>
      <c r="S344" s="2">
        <v>45950.431076388886</v>
      </c>
      <c r="T344" s="2">
        <v>45950.431076388886</v>
      </c>
    </row>
    <row r="345">
      <c r="A345" s="1" t="s">
        <v>1283</v>
      </c>
      <c r="B345" s="1">
        <v>1.0</v>
      </c>
      <c r="C345" s="1">
        <v>96.0</v>
      </c>
      <c r="D345" s="1">
        <v>4.3712588E7</v>
      </c>
      <c r="E345" s="1" t="s">
        <v>25</v>
      </c>
      <c r="F345" s="1" t="s">
        <v>25</v>
      </c>
      <c r="G345" s="1" t="s">
        <v>25</v>
      </c>
      <c r="H345" s="1" t="s">
        <v>25</v>
      </c>
      <c r="I345" s="1" t="s">
        <v>25</v>
      </c>
      <c r="J345" s="1" t="s">
        <v>25</v>
      </c>
      <c r="K345" s="1" t="s">
        <v>25</v>
      </c>
      <c r="L345" s="1" t="s">
        <v>25</v>
      </c>
      <c r="M345" s="1">
        <v>3.85524577E8</v>
      </c>
      <c r="N345" s="1" t="s">
        <v>1284</v>
      </c>
      <c r="O345" s="1" t="s">
        <v>25</v>
      </c>
      <c r="P345" s="1" t="s">
        <v>25</v>
      </c>
      <c r="Q345" s="1" t="s">
        <v>25</v>
      </c>
      <c r="R345" s="1" t="s">
        <v>25</v>
      </c>
      <c r="S345" s="2">
        <v>45951.409212962964</v>
      </c>
      <c r="T345" s="2">
        <v>45951.409212962964</v>
      </c>
    </row>
    <row r="346">
      <c r="A346" s="1" t="s">
        <v>485</v>
      </c>
      <c r="B346" s="1" t="s">
        <v>25</v>
      </c>
      <c r="C346" s="1">
        <v>96.0</v>
      </c>
      <c r="D346" s="1" t="s">
        <v>1285</v>
      </c>
      <c r="E346" s="1" t="s">
        <v>25</v>
      </c>
      <c r="F346" s="1" t="s">
        <v>25</v>
      </c>
      <c r="G346" s="1" t="s">
        <v>25</v>
      </c>
      <c r="H346" s="1" t="s">
        <v>25</v>
      </c>
      <c r="I346" s="1" t="s">
        <v>25</v>
      </c>
      <c r="J346" s="1" t="s">
        <v>25</v>
      </c>
      <c r="K346" s="1" t="s">
        <v>25</v>
      </c>
      <c r="L346" s="1" t="s">
        <v>25</v>
      </c>
      <c r="M346" s="1">
        <v>0.0</v>
      </c>
      <c r="N346" s="1" t="s">
        <v>1284</v>
      </c>
      <c r="O346" s="1" t="s">
        <v>25</v>
      </c>
      <c r="P346" s="1" t="s">
        <v>1286</v>
      </c>
      <c r="Q346" s="1" t="s">
        <v>25</v>
      </c>
      <c r="R346" s="1" t="s">
        <v>25</v>
      </c>
      <c r="S346" s="2">
        <v>45951.412569444445</v>
      </c>
      <c r="T346" s="2">
        <v>45951.412569444445</v>
      </c>
    </row>
    <row r="347">
      <c r="A347" s="1" t="s">
        <v>486</v>
      </c>
      <c r="B347" s="1">
        <v>2.0</v>
      </c>
      <c r="C347" s="1">
        <v>96.0</v>
      </c>
      <c r="D347" s="1">
        <v>5.7740358E7</v>
      </c>
      <c r="E347" s="1" t="s">
        <v>25</v>
      </c>
      <c r="F347" s="1" t="s">
        <v>25</v>
      </c>
      <c r="G347" s="1" t="s">
        <v>25</v>
      </c>
      <c r="H347" s="1" t="s">
        <v>25</v>
      </c>
      <c r="I347" s="1" t="s">
        <v>25</v>
      </c>
      <c r="J347" s="1" t="s">
        <v>25</v>
      </c>
      <c r="K347" s="1" t="s">
        <v>25</v>
      </c>
      <c r="L347" s="1" t="s">
        <v>25</v>
      </c>
      <c r="M347" s="1">
        <v>3.517602029E9</v>
      </c>
      <c r="N347" s="1" t="s">
        <v>1287</v>
      </c>
      <c r="O347" s="1" t="s">
        <v>25</v>
      </c>
      <c r="P347" s="1" t="s">
        <v>25</v>
      </c>
      <c r="Q347" s="1" t="s">
        <v>25</v>
      </c>
      <c r="R347" s="1" t="s">
        <v>25</v>
      </c>
      <c r="S347" s="2">
        <v>45951.809907407405</v>
      </c>
      <c r="T347" s="2">
        <v>45951.809907407405</v>
      </c>
    </row>
    <row r="348">
      <c r="A348" s="1" t="s">
        <v>487</v>
      </c>
      <c r="B348" s="1">
        <v>1.0</v>
      </c>
      <c r="C348" s="1">
        <v>96.0</v>
      </c>
      <c r="D348" s="1">
        <v>4.5937499E7</v>
      </c>
      <c r="E348" s="1" t="s">
        <v>25</v>
      </c>
      <c r="F348" s="1" t="s">
        <v>25</v>
      </c>
      <c r="G348" s="1" t="s">
        <v>25</v>
      </c>
      <c r="H348" s="1" t="s">
        <v>25</v>
      </c>
      <c r="I348" s="1" t="s">
        <v>25</v>
      </c>
      <c r="J348" s="1" t="s">
        <v>25</v>
      </c>
      <c r="K348" s="1" t="s">
        <v>25</v>
      </c>
      <c r="L348" s="1" t="s">
        <v>25</v>
      </c>
      <c r="M348" s="1">
        <v>3.512008711E9</v>
      </c>
      <c r="N348" s="1" t="s">
        <v>1288</v>
      </c>
      <c r="O348" s="1" t="s">
        <v>25</v>
      </c>
      <c r="P348" s="1" t="s">
        <v>25</v>
      </c>
      <c r="Q348" s="1" t="s">
        <v>25</v>
      </c>
      <c r="R348" s="1" t="s">
        <v>25</v>
      </c>
      <c r="S348" s="2">
        <v>45952.52909722222</v>
      </c>
      <c r="T348" s="2">
        <v>45952.76023148148</v>
      </c>
    </row>
    <row r="349">
      <c r="A349" s="1" t="s">
        <v>488</v>
      </c>
      <c r="B349" s="1">
        <v>1.0</v>
      </c>
      <c r="C349" s="1">
        <v>96.0</v>
      </c>
      <c r="D349" s="1">
        <v>2.40945E7</v>
      </c>
      <c r="E349" s="1" t="s">
        <v>25</v>
      </c>
      <c r="F349" s="1" t="s">
        <v>25</v>
      </c>
      <c r="G349" s="1" t="s">
        <v>25</v>
      </c>
      <c r="H349" s="1" t="s">
        <v>25</v>
      </c>
      <c r="I349" s="1" t="s">
        <v>25</v>
      </c>
      <c r="J349" s="1" t="s">
        <v>25</v>
      </c>
      <c r="K349" s="1" t="s">
        <v>25</v>
      </c>
      <c r="L349" s="1" t="s">
        <v>25</v>
      </c>
      <c r="M349" s="1">
        <v>3.513418277E9</v>
      </c>
      <c r="N349" s="1" t="s">
        <v>1289</v>
      </c>
      <c r="O349" s="1" t="s">
        <v>25</v>
      </c>
      <c r="P349" s="1" t="s">
        <v>25</v>
      </c>
      <c r="Q349" s="1" t="s">
        <v>25</v>
      </c>
      <c r="R349" s="1" t="s">
        <v>25</v>
      </c>
      <c r="S349" s="2">
        <v>45952.72309027778</v>
      </c>
      <c r="T349" s="2">
        <v>45952.72309027778</v>
      </c>
    </row>
    <row r="350">
      <c r="A350" s="1" t="s">
        <v>489</v>
      </c>
      <c r="B350" s="1">
        <v>2.0</v>
      </c>
      <c r="C350" s="1">
        <v>96.0</v>
      </c>
      <c r="D350" s="1">
        <v>2.9254507E7</v>
      </c>
      <c r="E350" s="1" t="s">
        <v>25</v>
      </c>
      <c r="F350" s="1" t="s">
        <v>25</v>
      </c>
      <c r="G350" s="1" t="s">
        <v>25</v>
      </c>
      <c r="H350" s="1" t="s">
        <v>25</v>
      </c>
      <c r="I350" s="1" t="s">
        <v>25</v>
      </c>
      <c r="J350" s="1" t="s">
        <v>25</v>
      </c>
      <c r="K350" s="1" t="s">
        <v>25</v>
      </c>
      <c r="L350" s="1" t="s">
        <v>25</v>
      </c>
      <c r="M350" s="1">
        <v>3.51396385E9</v>
      </c>
      <c r="N350" s="1" t="s">
        <v>1290</v>
      </c>
      <c r="O350" s="1" t="s">
        <v>25</v>
      </c>
      <c r="P350" s="1" t="s">
        <v>25</v>
      </c>
      <c r="Q350" s="1" t="s">
        <v>25</v>
      </c>
      <c r="R350" s="1" t="s">
        <v>25</v>
      </c>
      <c r="S350" s="2">
        <v>45952.72572916667</v>
      </c>
      <c r="T350" s="2">
        <v>45952.72572916667</v>
      </c>
    </row>
    <row r="351">
      <c r="A351" s="1" t="s">
        <v>492</v>
      </c>
      <c r="B351" s="1">
        <v>1.0</v>
      </c>
      <c r="C351" s="1">
        <v>96.0</v>
      </c>
      <c r="D351" s="1">
        <v>4.323148E7</v>
      </c>
      <c r="E351" s="1" t="s">
        <v>25</v>
      </c>
      <c r="F351" s="1" t="s">
        <v>25</v>
      </c>
      <c r="G351" s="1" t="s">
        <v>25</v>
      </c>
      <c r="H351" s="1" t="s">
        <v>25</v>
      </c>
      <c r="I351" s="1" t="s">
        <v>25</v>
      </c>
      <c r="J351" s="1" t="s">
        <v>25</v>
      </c>
      <c r="K351" s="1" t="s">
        <v>25</v>
      </c>
      <c r="L351" s="1" t="s">
        <v>25</v>
      </c>
      <c r="M351" s="1">
        <v>3.518107342E9</v>
      </c>
      <c r="N351" s="1" t="s">
        <v>25</v>
      </c>
      <c r="O351" s="1" t="s">
        <v>25</v>
      </c>
      <c r="P351" s="1" t="s">
        <v>25</v>
      </c>
      <c r="Q351" s="1" t="s">
        <v>25</v>
      </c>
      <c r="R351" s="1" t="s">
        <v>25</v>
      </c>
      <c r="S351" s="2">
        <v>45953.750497685185</v>
      </c>
      <c r="T351" s="2">
        <v>45953.750497685185</v>
      </c>
    </row>
    <row r="352">
      <c r="A352" s="1" t="s">
        <v>493</v>
      </c>
      <c r="B352" s="1">
        <v>1.0</v>
      </c>
      <c r="C352" s="1">
        <v>96.0</v>
      </c>
      <c r="D352" s="1">
        <v>0.0</v>
      </c>
      <c r="E352" s="1" t="s">
        <v>25</v>
      </c>
      <c r="F352" s="1" t="s">
        <v>25</v>
      </c>
      <c r="G352" s="1" t="s">
        <v>25</v>
      </c>
      <c r="H352" s="1" t="s">
        <v>25</v>
      </c>
      <c r="I352" s="1" t="s">
        <v>25</v>
      </c>
      <c r="J352" s="1" t="s">
        <v>25</v>
      </c>
      <c r="K352" s="1" t="s">
        <v>25</v>
      </c>
      <c r="L352" s="1" t="s">
        <v>25</v>
      </c>
      <c r="M352" s="1">
        <v>3.517034597E9</v>
      </c>
      <c r="N352" s="1" t="s">
        <v>1291</v>
      </c>
      <c r="O352" s="1" t="s">
        <v>25</v>
      </c>
      <c r="P352" s="1" t="s">
        <v>25</v>
      </c>
      <c r="Q352" s="1" t="s">
        <v>25</v>
      </c>
      <c r="R352" s="1" t="s">
        <v>25</v>
      </c>
      <c r="S352" s="2">
        <v>45953.75440972222</v>
      </c>
      <c r="T352" s="2">
        <v>45953.75854166667</v>
      </c>
    </row>
    <row r="353">
      <c r="A353" s="1" t="s">
        <v>496</v>
      </c>
      <c r="B353" s="1">
        <v>2.0</v>
      </c>
      <c r="C353" s="1">
        <v>96.0</v>
      </c>
      <c r="D353" s="1">
        <v>3.6045785E7</v>
      </c>
      <c r="E353" s="1" t="s">
        <v>25</v>
      </c>
      <c r="F353" s="1" t="s">
        <v>25</v>
      </c>
      <c r="G353" s="1" t="s">
        <v>25</v>
      </c>
      <c r="H353" s="1" t="s">
        <v>25</v>
      </c>
      <c r="I353" s="1" t="s">
        <v>25</v>
      </c>
      <c r="J353" s="1" t="s">
        <v>25</v>
      </c>
      <c r="K353" s="1" t="s">
        <v>25</v>
      </c>
      <c r="L353" s="1" t="s">
        <v>25</v>
      </c>
      <c r="M353" s="1">
        <v>3.513059353E9</v>
      </c>
      <c r="N353" s="1" t="s">
        <v>1292</v>
      </c>
      <c r="O353" s="1" t="s">
        <v>25</v>
      </c>
      <c r="P353" s="1" t="s">
        <v>25</v>
      </c>
      <c r="Q353" s="1" t="s">
        <v>25</v>
      </c>
      <c r="R353" s="1" t="s">
        <v>25</v>
      </c>
      <c r="S353" s="2">
        <v>45953.76173611111</v>
      </c>
      <c r="T353" s="2">
        <v>45953.76173611111</v>
      </c>
    </row>
    <row r="354">
      <c r="A354" s="1" t="s">
        <v>497</v>
      </c>
      <c r="B354" s="1">
        <v>1.0</v>
      </c>
      <c r="C354" s="1">
        <v>96.0</v>
      </c>
      <c r="D354" s="1">
        <v>2.8655968E7</v>
      </c>
      <c r="E354" s="1" t="s">
        <v>25</v>
      </c>
      <c r="F354" s="1" t="s">
        <v>25</v>
      </c>
      <c r="G354" s="1" t="s">
        <v>25</v>
      </c>
      <c r="H354" s="1" t="s">
        <v>25</v>
      </c>
      <c r="I354" s="1" t="s">
        <v>25</v>
      </c>
      <c r="J354" s="1" t="s">
        <v>25</v>
      </c>
      <c r="K354" s="1" t="s">
        <v>25</v>
      </c>
      <c r="L354" s="1" t="s">
        <v>25</v>
      </c>
      <c r="M354" s="1">
        <v>3.516296463E9</v>
      </c>
      <c r="N354" s="1" t="s">
        <v>1293</v>
      </c>
      <c r="O354" s="1" t="s">
        <v>25</v>
      </c>
      <c r="P354" s="1" t="s">
        <v>25</v>
      </c>
      <c r="Q354" s="1" t="s">
        <v>25</v>
      </c>
      <c r="R354" s="1" t="s">
        <v>25</v>
      </c>
      <c r="S354" s="2">
        <v>45953.764699074076</v>
      </c>
      <c r="T354" s="2">
        <v>45953.764699074076</v>
      </c>
    </row>
    <row r="355">
      <c r="A355" s="1" t="s">
        <v>499</v>
      </c>
      <c r="B355" s="1">
        <v>1.0</v>
      </c>
      <c r="C355" s="1">
        <v>96.0</v>
      </c>
      <c r="D355" s="1">
        <v>1.6158442E7</v>
      </c>
      <c r="E355" s="1" t="s">
        <v>25</v>
      </c>
      <c r="F355" s="1" t="s">
        <v>25</v>
      </c>
      <c r="G355" s="1" t="s">
        <v>25</v>
      </c>
      <c r="H355" s="1" t="s">
        <v>25</v>
      </c>
      <c r="I355" s="1" t="s">
        <v>25</v>
      </c>
      <c r="J355" s="1" t="s">
        <v>25</v>
      </c>
      <c r="K355" s="1" t="s">
        <v>25</v>
      </c>
      <c r="L355" s="1" t="s">
        <v>25</v>
      </c>
      <c r="M355" s="1">
        <v>3.543300645E9</v>
      </c>
      <c r="N355" s="1" t="s">
        <v>1294</v>
      </c>
      <c r="O355" s="1" t="s">
        <v>25</v>
      </c>
      <c r="P355" s="1" t="s">
        <v>25</v>
      </c>
      <c r="Q355" s="1" t="s">
        <v>25</v>
      </c>
      <c r="R355" s="1" t="s">
        <v>25</v>
      </c>
      <c r="S355" s="2">
        <v>45954.407743055555</v>
      </c>
      <c r="T355" s="2">
        <v>45954.407743055555</v>
      </c>
    </row>
    <row r="356">
      <c r="A356" s="1" t="s">
        <v>500</v>
      </c>
      <c r="B356" s="1">
        <v>1.0</v>
      </c>
      <c r="C356" s="1">
        <v>96.0</v>
      </c>
      <c r="D356" s="1">
        <v>1.7626552E7</v>
      </c>
      <c r="E356" s="1" t="s">
        <v>25</v>
      </c>
      <c r="F356" s="1" t="s">
        <v>25</v>
      </c>
      <c r="G356" s="1" t="s">
        <v>25</v>
      </c>
      <c r="H356" s="1" t="s">
        <v>25</v>
      </c>
      <c r="I356" s="1" t="s">
        <v>25</v>
      </c>
      <c r="J356" s="1" t="s">
        <v>25</v>
      </c>
      <c r="K356" s="1" t="s">
        <v>25</v>
      </c>
      <c r="L356" s="1" t="s">
        <v>25</v>
      </c>
      <c r="M356" s="1">
        <v>3.518072581E9</v>
      </c>
      <c r="N356" s="1" t="s">
        <v>1295</v>
      </c>
      <c r="O356" s="1" t="s">
        <v>25</v>
      </c>
      <c r="P356" s="1" t="s">
        <v>25</v>
      </c>
      <c r="Q356" s="1" t="s">
        <v>25</v>
      </c>
      <c r="R356" s="1" t="s">
        <v>25</v>
      </c>
      <c r="S356" s="2">
        <v>45954.52983796296</v>
      </c>
      <c r="T356" s="2">
        <v>45954.52983796296</v>
      </c>
    </row>
    <row r="357">
      <c r="A357" s="1" t="s">
        <v>502</v>
      </c>
      <c r="B357" s="1">
        <v>1.0</v>
      </c>
      <c r="C357" s="1">
        <v>80.0</v>
      </c>
      <c r="D357" s="1">
        <v>2.7169068599E10</v>
      </c>
      <c r="E357" s="1" t="s">
        <v>25</v>
      </c>
      <c r="F357" s="1" t="s">
        <v>25</v>
      </c>
      <c r="G357" s="1" t="s">
        <v>25</v>
      </c>
      <c r="H357" s="1" t="s">
        <v>25</v>
      </c>
      <c r="I357" s="1" t="s">
        <v>25</v>
      </c>
      <c r="J357" s="1" t="s">
        <v>25</v>
      </c>
      <c r="K357" s="1" t="s">
        <v>25</v>
      </c>
      <c r="L357" s="1" t="s">
        <v>25</v>
      </c>
      <c r="M357" s="1">
        <v>3.515176594E9</v>
      </c>
      <c r="N357" s="1" t="s">
        <v>1296</v>
      </c>
      <c r="O357" s="1" t="s">
        <v>25</v>
      </c>
      <c r="P357" s="1" t="s">
        <v>25</v>
      </c>
      <c r="Q357" s="1" t="s">
        <v>25</v>
      </c>
      <c r="R357" s="1" t="s">
        <v>25</v>
      </c>
      <c r="S357" s="2">
        <v>45957.492118055554</v>
      </c>
      <c r="T357" s="2">
        <v>45957.498032407406</v>
      </c>
    </row>
    <row r="358">
      <c r="A358" s="1" t="s">
        <v>504</v>
      </c>
      <c r="B358" s="1">
        <v>1.0</v>
      </c>
      <c r="C358" s="1">
        <v>96.0</v>
      </c>
      <c r="D358" s="1">
        <v>4.6973908E7</v>
      </c>
      <c r="E358" s="1" t="s">
        <v>25</v>
      </c>
      <c r="F358" s="1" t="s">
        <v>25</v>
      </c>
      <c r="G358" s="1" t="s">
        <v>25</v>
      </c>
      <c r="H358" s="1" t="s">
        <v>25</v>
      </c>
      <c r="I358" s="1" t="s">
        <v>25</v>
      </c>
      <c r="J358" s="1" t="s">
        <v>25</v>
      </c>
      <c r="K358" s="1" t="s">
        <v>25</v>
      </c>
      <c r="L358" s="1" t="s">
        <v>25</v>
      </c>
      <c r="M358" s="1">
        <v>3.516810005E9</v>
      </c>
      <c r="N358" s="1" t="s">
        <v>1297</v>
      </c>
      <c r="O358" s="1" t="s">
        <v>25</v>
      </c>
      <c r="P358" s="1" t="s">
        <v>25</v>
      </c>
      <c r="Q358" s="1" t="s">
        <v>25</v>
      </c>
      <c r="R358" s="1" t="s">
        <v>25</v>
      </c>
      <c r="S358" s="2">
        <v>45958.69552083333</v>
      </c>
      <c r="T358" s="2">
        <v>45958.71393518519</v>
      </c>
    </row>
    <row r="359">
      <c r="A359" s="1" t="s">
        <v>1298</v>
      </c>
      <c r="B359" s="1" t="s">
        <v>25</v>
      </c>
      <c r="C359" s="1">
        <v>96.0</v>
      </c>
      <c r="D359" s="1">
        <v>3.993731E7</v>
      </c>
      <c r="E359" s="1" t="s">
        <v>25</v>
      </c>
      <c r="F359" s="1" t="s">
        <v>25</v>
      </c>
      <c r="G359" s="1" t="s">
        <v>25</v>
      </c>
      <c r="H359" s="1" t="s">
        <v>25</v>
      </c>
      <c r="I359" s="1" t="s">
        <v>25</v>
      </c>
      <c r="J359" s="1" t="s">
        <v>25</v>
      </c>
      <c r="K359" s="1" t="s">
        <v>25</v>
      </c>
      <c r="L359" s="1" t="s">
        <v>25</v>
      </c>
      <c r="M359" s="1">
        <v>3.517558247E9</v>
      </c>
      <c r="N359" s="1" t="s">
        <v>1299</v>
      </c>
      <c r="O359" s="1" t="s">
        <v>25</v>
      </c>
      <c r="P359" s="1" t="s">
        <v>25</v>
      </c>
      <c r="Q359" s="1" t="s">
        <v>25</v>
      </c>
      <c r="R359" s="1" t="s">
        <v>25</v>
      </c>
      <c r="S359" s="2">
        <v>45959.453518518516</v>
      </c>
      <c r="T359" s="2">
        <v>45959.453518518516</v>
      </c>
    </row>
    <row r="360">
      <c r="A360" s="1" t="s">
        <v>506</v>
      </c>
      <c r="B360" s="1">
        <v>2.0</v>
      </c>
      <c r="C360" s="1">
        <v>96.0</v>
      </c>
      <c r="D360" s="1">
        <v>3.245761E7</v>
      </c>
      <c r="E360" s="1" t="s">
        <v>25</v>
      </c>
      <c r="F360" s="1" t="s">
        <v>25</v>
      </c>
      <c r="G360" s="1" t="s">
        <v>25</v>
      </c>
      <c r="H360" s="1" t="s">
        <v>25</v>
      </c>
      <c r="I360" s="1" t="s">
        <v>25</v>
      </c>
      <c r="J360" s="1" t="s">
        <v>25</v>
      </c>
      <c r="K360" s="1" t="s">
        <v>25</v>
      </c>
      <c r="L360" s="1" t="s">
        <v>25</v>
      </c>
      <c r="M360" s="1">
        <v>3.51248044E9</v>
      </c>
      <c r="N360" s="1" t="s">
        <v>1300</v>
      </c>
      <c r="O360" s="1" t="s">
        <v>25</v>
      </c>
      <c r="P360" s="1" t="s">
        <v>25</v>
      </c>
      <c r="Q360" s="1" t="s">
        <v>25</v>
      </c>
      <c r="R360" s="1" t="s">
        <v>25</v>
      </c>
      <c r="S360" s="2">
        <v>45959.470925925925</v>
      </c>
      <c r="T360" s="2">
        <v>45959.470925925925</v>
      </c>
    </row>
    <row r="361">
      <c r="A361" s="1" t="s">
        <v>507</v>
      </c>
      <c r="B361" s="1">
        <v>1.0</v>
      </c>
      <c r="C361" s="1">
        <v>96.0</v>
      </c>
      <c r="D361" s="1">
        <v>3.1218513E7</v>
      </c>
      <c r="E361" s="1" t="s">
        <v>25</v>
      </c>
      <c r="F361" s="1" t="s">
        <v>25</v>
      </c>
      <c r="G361" s="1" t="s">
        <v>25</v>
      </c>
      <c r="H361" s="1" t="s">
        <v>25</v>
      </c>
      <c r="I361" s="1" t="s">
        <v>25</v>
      </c>
      <c r="J361" s="1" t="s">
        <v>25</v>
      </c>
      <c r="K361" s="1" t="s">
        <v>25</v>
      </c>
      <c r="L361" s="1" t="s">
        <v>25</v>
      </c>
      <c r="M361" s="1">
        <v>3.51158665893E11</v>
      </c>
      <c r="N361" s="1" t="s">
        <v>1301</v>
      </c>
      <c r="O361" s="1" t="s">
        <v>25</v>
      </c>
      <c r="P361" s="1" t="s">
        <v>25</v>
      </c>
      <c r="Q361" s="1" t="s">
        <v>25</v>
      </c>
      <c r="R361" s="1" t="s">
        <v>25</v>
      </c>
      <c r="S361" s="2">
        <v>45959.47519675926</v>
      </c>
      <c r="T361" s="2">
        <v>45959.47519675926</v>
      </c>
    </row>
    <row r="362">
      <c r="A362" s="1" t="s">
        <v>508</v>
      </c>
      <c r="B362" s="1">
        <v>1.0</v>
      </c>
      <c r="C362" s="1">
        <v>96.0</v>
      </c>
      <c r="D362" s="1">
        <v>4.6707962E7</v>
      </c>
      <c r="E362" s="1" t="s">
        <v>25</v>
      </c>
      <c r="F362" s="1" t="s">
        <v>25</v>
      </c>
      <c r="G362" s="1" t="s">
        <v>25</v>
      </c>
      <c r="H362" s="1" t="s">
        <v>25</v>
      </c>
      <c r="I362" s="1" t="s">
        <v>25</v>
      </c>
      <c r="J362" s="1" t="s">
        <v>25</v>
      </c>
      <c r="K362" s="1" t="s">
        <v>25</v>
      </c>
      <c r="L362" s="1" t="s">
        <v>25</v>
      </c>
      <c r="M362" s="1">
        <v>3.515438728E9</v>
      </c>
      <c r="N362" s="1" t="s">
        <v>25</v>
      </c>
      <c r="O362" s="1" t="s">
        <v>25</v>
      </c>
      <c r="P362" s="1" t="s">
        <v>25</v>
      </c>
      <c r="Q362" s="1" t="s">
        <v>25</v>
      </c>
      <c r="R362" s="1" t="s">
        <v>25</v>
      </c>
      <c r="S362" s="2">
        <v>45959.79292824074</v>
      </c>
      <c r="T362" s="2">
        <v>45959.79292824074</v>
      </c>
    </row>
    <row r="363">
      <c r="A363" s="1" t="s">
        <v>509</v>
      </c>
      <c r="B363" s="1">
        <v>2.0</v>
      </c>
      <c r="C363" s="1">
        <v>96.0</v>
      </c>
      <c r="D363" s="1">
        <v>1.2495546E7</v>
      </c>
      <c r="E363" s="1" t="s">
        <v>25</v>
      </c>
      <c r="F363" s="1" t="s">
        <v>25</v>
      </c>
      <c r="G363" s="1" t="s">
        <v>25</v>
      </c>
      <c r="H363" s="1" t="s">
        <v>25</v>
      </c>
      <c r="I363" s="1" t="s">
        <v>25</v>
      </c>
      <c r="J363" s="1" t="s">
        <v>25</v>
      </c>
      <c r="K363" s="1" t="s">
        <v>25</v>
      </c>
      <c r="L363" s="1" t="s">
        <v>25</v>
      </c>
      <c r="M363" s="1">
        <v>3.512563814E9</v>
      </c>
      <c r="N363" s="1" t="s">
        <v>1302</v>
      </c>
      <c r="O363" s="1" t="s">
        <v>25</v>
      </c>
      <c r="P363" s="1" t="s">
        <v>25</v>
      </c>
      <c r="Q363" s="1" t="s">
        <v>25</v>
      </c>
      <c r="R363" s="1" t="s">
        <v>25</v>
      </c>
      <c r="S363" s="2">
        <v>45961.42726851852</v>
      </c>
      <c r="T363" s="2">
        <v>45961.42726851852</v>
      </c>
    </row>
    <row r="364">
      <c r="A364" s="1" t="s">
        <v>510</v>
      </c>
      <c r="B364" s="1">
        <v>1.0</v>
      </c>
      <c r="C364" s="1">
        <v>96.0</v>
      </c>
      <c r="D364" s="1">
        <v>1.2745021E7</v>
      </c>
      <c r="E364" s="1" t="s">
        <v>25</v>
      </c>
      <c r="F364" s="1" t="s">
        <v>25</v>
      </c>
      <c r="G364" s="1" t="s">
        <v>25</v>
      </c>
      <c r="H364" s="1" t="s">
        <v>25</v>
      </c>
      <c r="I364" s="1" t="s">
        <v>25</v>
      </c>
      <c r="J364" s="1" t="s">
        <v>25</v>
      </c>
      <c r="K364" s="1" t="s">
        <v>25</v>
      </c>
      <c r="L364" s="1" t="s">
        <v>25</v>
      </c>
      <c r="M364" s="1">
        <v>3.515433775E9</v>
      </c>
      <c r="N364" s="1" t="s">
        <v>1303</v>
      </c>
      <c r="O364" s="1" t="s">
        <v>25</v>
      </c>
      <c r="P364" s="1" t="s">
        <v>25</v>
      </c>
      <c r="Q364" s="1" t="s">
        <v>25</v>
      </c>
      <c r="R364" s="1" t="s">
        <v>25</v>
      </c>
      <c r="S364" s="2">
        <v>45962.50582175926</v>
      </c>
      <c r="T364" s="2">
        <v>45962.50582175926</v>
      </c>
    </row>
    <row r="365">
      <c r="A365" s="1" t="s">
        <v>514</v>
      </c>
      <c r="B365" s="1" t="s">
        <v>25</v>
      </c>
      <c r="C365" s="1">
        <v>96.0</v>
      </c>
      <c r="D365" s="1">
        <v>5.9430843E7</v>
      </c>
      <c r="E365" s="1" t="s">
        <v>25</v>
      </c>
      <c r="F365" s="1" t="s">
        <v>25</v>
      </c>
      <c r="G365" s="1" t="s">
        <v>25</v>
      </c>
      <c r="H365" s="1" t="s">
        <v>25</v>
      </c>
      <c r="I365" s="1" t="s">
        <v>25</v>
      </c>
      <c r="J365" s="1" t="s">
        <v>25</v>
      </c>
      <c r="K365" s="1" t="s">
        <v>25</v>
      </c>
      <c r="L365" s="1" t="s">
        <v>25</v>
      </c>
      <c r="M365" s="1">
        <v>3.513340147E9</v>
      </c>
      <c r="N365" s="1" t="s">
        <v>1304</v>
      </c>
      <c r="O365" s="1" t="s">
        <v>25</v>
      </c>
      <c r="P365" s="1" t="s">
        <v>25</v>
      </c>
      <c r="Q365" s="1" t="s">
        <v>25</v>
      </c>
      <c r="R365" s="1" t="s">
        <v>25</v>
      </c>
      <c r="S365" s="2">
        <v>45964.769166666665</v>
      </c>
      <c r="T365" s="2">
        <v>45964.769166666665</v>
      </c>
    </row>
    <row r="366">
      <c r="A366" s="1" t="s">
        <v>512</v>
      </c>
      <c r="B366" s="1">
        <v>1.0</v>
      </c>
      <c r="C366" s="1">
        <v>96.0</v>
      </c>
      <c r="D366" s="1">
        <v>4.5347122E7</v>
      </c>
      <c r="E366" s="1" t="s">
        <v>25</v>
      </c>
      <c r="F366" s="1" t="s">
        <v>25</v>
      </c>
      <c r="G366" s="1" t="s">
        <v>25</v>
      </c>
      <c r="H366" s="1" t="s">
        <v>25</v>
      </c>
      <c r="I366" s="1" t="s">
        <v>25</v>
      </c>
      <c r="J366" s="1" t="s">
        <v>25</v>
      </c>
      <c r="K366" s="1" t="s">
        <v>25</v>
      </c>
      <c r="L366" s="1" t="s">
        <v>25</v>
      </c>
      <c r="M366" s="1">
        <v>3.516842667E9</v>
      </c>
      <c r="N366" s="1" t="s">
        <v>1305</v>
      </c>
      <c r="O366" s="1" t="s">
        <v>25</v>
      </c>
      <c r="P366" s="1" t="s">
        <v>25</v>
      </c>
      <c r="Q366" s="1" t="s">
        <v>25</v>
      </c>
      <c r="R366" s="1" t="s">
        <v>25</v>
      </c>
      <c r="S366" s="2">
        <v>45966.55113425926</v>
      </c>
      <c r="T366" s="2">
        <v>45966.55113425926</v>
      </c>
    </row>
    <row r="367">
      <c r="A367" s="1" t="s">
        <v>513</v>
      </c>
      <c r="B367" s="1">
        <v>1.0</v>
      </c>
      <c r="C367" s="1">
        <v>96.0</v>
      </c>
      <c r="D367" s="1">
        <v>3.047459E7</v>
      </c>
      <c r="E367" s="1" t="s">
        <v>25</v>
      </c>
      <c r="F367" s="1" t="s">
        <v>25</v>
      </c>
      <c r="G367" s="1" t="s">
        <v>25</v>
      </c>
      <c r="H367" s="1" t="s">
        <v>25</v>
      </c>
      <c r="I367" s="1" t="s">
        <v>25</v>
      </c>
      <c r="J367" s="1" t="s">
        <v>25</v>
      </c>
      <c r="K367" s="1" t="s">
        <v>25</v>
      </c>
      <c r="L367" s="1" t="s">
        <v>25</v>
      </c>
      <c r="M367" s="1">
        <v>3.515907267E9</v>
      </c>
      <c r="N367" s="1" t="s">
        <v>25</v>
      </c>
      <c r="O367" s="1" t="s">
        <v>25</v>
      </c>
      <c r="P367" s="1" t="s">
        <v>25</v>
      </c>
      <c r="Q367" s="1" t="s">
        <v>25</v>
      </c>
      <c r="R367" s="1" t="s">
        <v>25</v>
      </c>
      <c r="S367" s="2">
        <v>45967.68717592592</v>
      </c>
      <c r="T367" s="2">
        <v>45980.538125</v>
      </c>
    </row>
    <row r="368">
      <c r="A368" s="1" t="s">
        <v>515</v>
      </c>
      <c r="B368" s="1">
        <v>2.0</v>
      </c>
      <c r="C368" s="1">
        <v>96.0</v>
      </c>
      <c r="D368" s="1">
        <v>4.040287E7</v>
      </c>
      <c r="E368" s="1" t="s">
        <v>25</v>
      </c>
      <c r="F368" s="1" t="s">
        <v>25</v>
      </c>
      <c r="G368" s="1" t="s">
        <v>25</v>
      </c>
      <c r="H368" s="1" t="s">
        <v>25</v>
      </c>
      <c r="I368" s="1" t="s">
        <v>25</v>
      </c>
      <c r="J368" s="1" t="s">
        <v>25</v>
      </c>
      <c r="K368" s="1" t="s">
        <v>25</v>
      </c>
      <c r="L368" s="1" t="s">
        <v>25</v>
      </c>
      <c r="M368" s="1">
        <v>3.51731114E9</v>
      </c>
      <c r="N368" s="1" t="s">
        <v>25</v>
      </c>
      <c r="O368" s="1" t="s">
        <v>25</v>
      </c>
      <c r="P368" s="1" t="s">
        <v>25</v>
      </c>
      <c r="Q368" s="1" t="s">
        <v>25</v>
      </c>
      <c r="R368" s="1" t="s">
        <v>25</v>
      </c>
      <c r="S368" s="2">
        <v>45967.690567129626</v>
      </c>
      <c r="T368" s="2">
        <v>45967.690567129626</v>
      </c>
    </row>
    <row r="369">
      <c r="A369" s="1" t="s">
        <v>516</v>
      </c>
      <c r="B369" s="1">
        <v>1.0</v>
      </c>
      <c r="C369" s="1">
        <v>96.0</v>
      </c>
      <c r="D369" s="1">
        <v>5.4010253E7</v>
      </c>
      <c r="E369" s="1" t="s">
        <v>25</v>
      </c>
      <c r="F369" s="1" t="s">
        <v>25</v>
      </c>
      <c r="G369" s="1" t="s">
        <v>25</v>
      </c>
      <c r="H369" s="1" t="s">
        <v>25</v>
      </c>
      <c r="I369" s="1" t="s">
        <v>25</v>
      </c>
      <c r="J369" s="1" t="s">
        <v>25</v>
      </c>
      <c r="K369" s="1" t="s">
        <v>25</v>
      </c>
      <c r="L369" s="1" t="s">
        <v>25</v>
      </c>
      <c r="M369" s="1" t="s">
        <v>1306</v>
      </c>
      <c r="N369" s="1" t="s">
        <v>25</v>
      </c>
      <c r="O369" s="1" t="s">
        <v>25</v>
      </c>
      <c r="P369" s="1" t="s">
        <v>25</v>
      </c>
      <c r="Q369" s="1" t="s">
        <v>25</v>
      </c>
      <c r="R369" s="1" t="s">
        <v>25</v>
      </c>
      <c r="S369" s="2">
        <v>45967.69390046296</v>
      </c>
      <c r="T369" s="2">
        <v>45967.69390046296</v>
      </c>
    </row>
    <row r="370">
      <c r="A370" s="1" t="s">
        <v>517</v>
      </c>
      <c r="B370" s="1">
        <v>1.0</v>
      </c>
      <c r="C370" s="1">
        <v>96.0</v>
      </c>
      <c r="D370" s="1">
        <v>5.6242697E7</v>
      </c>
      <c r="E370" s="1" t="s">
        <v>25</v>
      </c>
      <c r="F370" s="1" t="s">
        <v>25</v>
      </c>
      <c r="G370" s="1" t="s">
        <v>25</v>
      </c>
      <c r="H370" s="1" t="s">
        <v>25</v>
      </c>
      <c r="I370" s="1" t="s">
        <v>25</v>
      </c>
      <c r="J370" s="1" t="s">
        <v>25</v>
      </c>
      <c r="K370" s="1" t="s">
        <v>25</v>
      </c>
      <c r="L370" s="1" t="s">
        <v>25</v>
      </c>
      <c r="M370" s="1" t="s">
        <v>1307</v>
      </c>
      <c r="N370" s="1" t="s">
        <v>25</v>
      </c>
      <c r="O370" s="1" t="s">
        <v>25</v>
      </c>
      <c r="P370" s="1" t="s">
        <v>25</v>
      </c>
      <c r="Q370" s="1" t="s">
        <v>25</v>
      </c>
      <c r="R370" s="1" t="s">
        <v>25</v>
      </c>
      <c r="S370" s="2">
        <v>45967.69430555555</v>
      </c>
      <c r="T370" s="2">
        <v>45967.69430555555</v>
      </c>
    </row>
    <row r="371">
      <c r="A371" s="1" t="s">
        <v>518</v>
      </c>
      <c r="B371" s="1">
        <v>1.0</v>
      </c>
      <c r="C371" s="1">
        <v>96.0</v>
      </c>
      <c r="D371" s="1">
        <v>4.5934766E7</v>
      </c>
      <c r="E371" s="1" t="s">
        <v>25</v>
      </c>
      <c r="F371" s="1" t="s">
        <v>25</v>
      </c>
      <c r="G371" s="1" t="s">
        <v>25</v>
      </c>
      <c r="H371" s="1" t="s">
        <v>25</v>
      </c>
      <c r="I371" s="1" t="s">
        <v>25</v>
      </c>
      <c r="J371" s="1" t="s">
        <v>25</v>
      </c>
      <c r="K371" s="1" t="s">
        <v>25</v>
      </c>
      <c r="L371" s="1" t="s">
        <v>25</v>
      </c>
      <c r="M371" s="1">
        <v>2.995923635E9</v>
      </c>
      <c r="N371" s="1" t="s">
        <v>1308</v>
      </c>
      <c r="O371" s="1" t="s">
        <v>25</v>
      </c>
      <c r="P371" s="1" t="s">
        <v>25</v>
      </c>
      <c r="Q371" s="1" t="s">
        <v>25</v>
      </c>
      <c r="R371" s="1" t="s">
        <v>25</v>
      </c>
      <c r="S371" s="2">
        <v>45967.75975694445</v>
      </c>
      <c r="T371" s="2">
        <v>45988.76424768518</v>
      </c>
    </row>
    <row r="372">
      <c r="A372" s="1" t="s">
        <v>519</v>
      </c>
      <c r="B372" s="1" t="s">
        <v>25</v>
      </c>
      <c r="C372" s="1">
        <v>96.0</v>
      </c>
      <c r="D372" s="1">
        <v>4.3694436E7</v>
      </c>
      <c r="E372" s="1" t="s">
        <v>25</v>
      </c>
      <c r="F372" s="1" t="s">
        <v>25</v>
      </c>
      <c r="G372" s="1" t="s">
        <v>25</v>
      </c>
      <c r="H372" s="1" t="s">
        <v>25</v>
      </c>
      <c r="I372" s="1" t="s">
        <v>25</v>
      </c>
      <c r="J372" s="1" t="s">
        <v>25</v>
      </c>
      <c r="K372" s="1" t="s">
        <v>25</v>
      </c>
      <c r="L372" s="1" t="s">
        <v>25</v>
      </c>
      <c r="M372" s="1">
        <v>3.512944195E9</v>
      </c>
      <c r="N372" s="1" t="s">
        <v>1309</v>
      </c>
      <c r="O372" s="1" t="s">
        <v>25</v>
      </c>
      <c r="P372" s="1" t="s">
        <v>25</v>
      </c>
      <c r="Q372" s="1" t="s">
        <v>25</v>
      </c>
      <c r="R372" s="1" t="s">
        <v>25</v>
      </c>
      <c r="S372" s="2">
        <v>45968.5178125</v>
      </c>
      <c r="T372" s="2">
        <v>45968.5178125</v>
      </c>
    </row>
    <row r="373">
      <c r="A373" s="1" t="s">
        <v>520</v>
      </c>
      <c r="B373" s="1">
        <v>1.0</v>
      </c>
      <c r="C373" s="1">
        <v>96.0</v>
      </c>
      <c r="D373" s="1">
        <v>2.8401859E7</v>
      </c>
      <c r="E373" s="1" t="s">
        <v>25</v>
      </c>
      <c r="F373" s="1" t="s">
        <v>25</v>
      </c>
      <c r="G373" s="1" t="s">
        <v>25</v>
      </c>
      <c r="H373" s="1" t="s">
        <v>25</v>
      </c>
      <c r="I373" s="1" t="s">
        <v>25</v>
      </c>
      <c r="J373" s="1" t="s">
        <v>25</v>
      </c>
      <c r="K373" s="1" t="s">
        <v>25</v>
      </c>
      <c r="L373" s="1" t="s">
        <v>25</v>
      </c>
      <c r="M373" s="1">
        <v>3.5125439175E10</v>
      </c>
      <c r="N373" s="1" t="s">
        <v>1310</v>
      </c>
      <c r="O373" s="1" t="s">
        <v>25</v>
      </c>
      <c r="P373" s="1" t="s">
        <v>25</v>
      </c>
      <c r="Q373" s="1" t="s">
        <v>25</v>
      </c>
      <c r="R373" s="1" t="s">
        <v>25</v>
      </c>
      <c r="S373" s="2">
        <v>45969.46545138889</v>
      </c>
      <c r="T373" s="2">
        <v>45969.46545138889</v>
      </c>
    </row>
    <row r="374">
      <c r="A374" s="1" t="s">
        <v>521</v>
      </c>
      <c r="B374" s="1">
        <v>1.0</v>
      </c>
      <c r="C374" s="1">
        <v>96.0</v>
      </c>
      <c r="D374" s="1">
        <v>1.3961016E7</v>
      </c>
      <c r="E374" s="1" t="s">
        <v>25</v>
      </c>
      <c r="F374" s="1" t="s">
        <v>25</v>
      </c>
      <c r="G374" s="1" t="s">
        <v>25</v>
      </c>
      <c r="H374" s="1" t="s">
        <v>25</v>
      </c>
      <c r="I374" s="1" t="s">
        <v>25</v>
      </c>
      <c r="J374" s="1" t="s">
        <v>25</v>
      </c>
      <c r="K374" s="1" t="s">
        <v>25</v>
      </c>
      <c r="L374" s="1" t="s">
        <v>25</v>
      </c>
      <c r="M374" s="1">
        <v>3.517654506E9</v>
      </c>
      <c r="N374" s="1" t="s">
        <v>25</v>
      </c>
      <c r="O374" s="1" t="s">
        <v>25</v>
      </c>
      <c r="P374" s="1" t="s">
        <v>25</v>
      </c>
      <c r="Q374" s="1" t="s">
        <v>25</v>
      </c>
      <c r="R374" s="1" t="s">
        <v>25</v>
      </c>
      <c r="S374" s="2">
        <v>45972.45655092593</v>
      </c>
      <c r="T374" s="2">
        <v>45972.45655092593</v>
      </c>
    </row>
    <row r="375">
      <c r="A375" s="1" t="s">
        <v>522</v>
      </c>
      <c r="B375" s="1">
        <v>1.0</v>
      </c>
      <c r="C375" s="1">
        <v>96.0</v>
      </c>
      <c r="D375" s="1">
        <v>2.0873724E7</v>
      </c>
      <c r="E375" s="1" t="s">
        <v>25</v>
      </c>
      <c r="F375" s="1" t="s">
        <v>25</v>
      </c>
      <c r="G375" s="1" t="s">
        <v>25</v>
      </c>
      <c r="H375" s="1" t="s">
        <v>25</v>
      </c>
      <c r="I375" s="1" t="s">
        <v>25</v>
      </c>
      <c r="J375" s="1" t="s">
        <v>25</v>
      </c>
      <c r="K375" s="1" t="s">
        <v>25</v>
      </c>
      <c r="L375" s="1" t="s">
        <v>25</v>
      </c>
      <c r="M375" s="1">
        <v>3.517584615E9</v>
      </c>
      <c r="N375" s="1" t="s">
        <v>1311</v>
      </c>
      <c r="O375" s="1" t="s">
        <v>25</v>
      </c>
      <c r="P375" s="1" t="s">
        <v>25</v>
      </c>
      <c r="Q375" s="1" t="s">
        <v>25</v>
      </c>
      <c r="R375" s="1" t="s">
        <v>25</v>
      </c>
      <c r="S375" s="2">
        <v>45972.675104166665</v>
      </c>
      <c r="T375" s="2">
        <v>45972.675104166665</v>
      </c>
    </row>
    <row r="376">
      <c r="A376" s="1" t="s">
        <v>523</v>
      </c>
      <c r="B376" s="1">
        <v>2.0</v>
      </c>
      <c r="C376" s="1">
        <v>96.0</v>
      </c>
      <c r="D376" s="1">
        <v>3.9495367E7</v>
      </c>
      <c r="E376" s="1" t="s">
        <v>25</v>
      </c>
      <c r="F376" s="1" t="s">
        <v>25</v>
      </c>
      <c r="G376" s="1" t="s">
        <v>25</v>
      </c>
      <c r="H376" s="1" t="s">
        <v>25</v>
      </c>
      <c r="I376" s="1" t="s">
        <v>25</v>
      </c>
      <c r="J376" s="1" t="s">
        <v>25</v>
      </c>
      <c r="K376" s="1" t="s">
        <v>25</v>
      </c>
      <c r="L376" s="1" t="s">
        <v>25</v>
      </c>
      <c r="M376" s="1">
        <v>3.513167239E9</v>
      </c>
      <c r="N376" s="1" t="s">
        <v>1312</v>
      </c>
      <c r="O376" s="1" t="s">
        <v>25</v>
      </c>
      <c r="P376" s="1" t="s">
        <v>25</v>
      </c>
      <c r="Q376" s="1" t="s">
        <v>25</v>
      </c>
      <c r="R376" s="1" t="s">
        <v>25</v>
      </c>
      <c r="S376" s="2">
        <v>45973.763194444444</v>
      </c>
      <c r="T376" s="2">
        <v>45973.763194444444</v>
      </c>
    </row>
    <row r="377">
      <c r="A377" s="1" t="s">
        <v>1313</v>
      </c>
      <c r="B377" s="1">
        <v>1.0</v>
      </c>
      <c r="C377" s="1">
        <v>96.0</v>
      </c>
      <c r="D377" s="1">
        <v>4.1173104E7</v>
      </c>
      <c r="E377" s="1" t="s">
        <v>25</v>
      </c>
      <c r="F377" s="1" t="s">
        <v>25</v>
      </c>
      <c r="G377" s="1" t="s">
        <v>25</v>
      </c>
      <c r="H377" s="1" t="s">
        <v>25</v>
      </c>
      <c r="I377" s="1" t="s">
        <v>25</v>
      </c>
      <c r="J377" s="1" t="s">
        <v>25</v>
      </c>
      <c r="K377" s="1" t="s">
        <v>25</v>
      </c>
      <c r="L377" s="1" t="s">
        <v>25</v>
      </c>
      <c r="M377" s="1">
        <v>1.137873085E9</v>
      </c>
      <c r="N377" s="1" t="s">
        <v>1314</v>
      </c>
      <c r="O377" s="1" t="s">
        <v>25</v>
      </c>
      <c r="P377" s="1" t="s">
        <v>25</v>
      </c>
      <c r="Q377" s="1" t="s">
        <v>25</v>
      </c>
      <c r="R377" s="1" t="s">
        <v>25</v>
      </c>
      <c r="S377" s="2">
        <v>45974.48150462963</v>
      </c>
      <c r="T377" s="2">
        <v>45974.48150462963</v>
      </c>
    </row>
    <row r="378">
      <c r="A378" s="1" t="s">
        <v>535</v>
      </c>
      <c r="B378" s="1">
        <v>1.0</v>
      </c>
      <c r="C378" s="1">
        <v>96.0</v>
      </c>
      <c r="D378" s="1">
        <v>3.0238566E7</v>
      </c>
      <c r="E378" s="1" t="s">
        <v>25</v>
      </c>
      <c r="F378" s="1" t="s">
        <v>25</v>
      </c>
      <c r="G378" s="1" t="s">
        <v>25</v>
      </c>
      <c r="H378" s="1" t="s">
        <v>25</v>
      </c>
      <c r="I378" s="1" t="s">
        <v>25</v>
      </c>
      <c r="J378" s="1" t="s">
        <v>25</v>
      </c>
      <c r="K378" s="1" t="s">
        <v>25</v>
      </c>
      <c r="L378" s="1" t="s">
        <v>25</v>
      </c>
      <c r="M378" s="1">
        <v>3.564572081E9</v>
      </c>
      <c r="N378" s="1" t="s">
        <v>1315</v>
      </c>
      <c r="O378" s="1" t="s">
        <v>25</v>
      </c>
      <c r="P378" s="1" t="s">
        <v>25</v>
      </c>
      <c r="Q378" s="1" t="s">
        <v>25</v>
      </c>
      <c r="R378" s="1" t="s">
        <v>1316</v>
      </c>
      <c r="S378" s="2">
        <v>45974.49489583333</v>
      </c>
      <c r="T378" s="2">
        <v>45974.49489583333</v>
      </c>
    </row>
    <row r="379">
      <c r="A379" s="1" t="s">
        <v>524</v>
      </c>
      <c r="B379" s="1">
        <v>2.0</v>
      </c>
      <c r="C379" s="1">
        <v>96.0</v>
      </c>
      <c r="D379" s="1">
        <v>2.6565898E7</v>
      </c>
      <c r="E379" s="1" t="s">
        <v>25</v>
      </c>
      <c r="F379" s="1" t="s">
        <v>25</v>
      </c>
      <c r="G379" s="1" t="s">
        <v>25</v>
      </c>
      <c r="H379" s="1" t="s">
        <v>25</v>
      </c>
      <c r="I379" s="1" t="s">
        <v>25</v>
      </c>
      <c r="J379" s="1" t="s">
        <v>25</v>
      </c>
      <c r="K379" s="1" t="s">
        <v>25</v>
      </c>
      <c r="L379" s="1" t="s">
        <v>25</v>
      </c>
      <c r="M379" s="1">
        <v>3.515111594E9</v>
      </c>
      <c r="N379" s="1" t="s">
        <v>1317</v>
      </c>
      <c r="O379" s="1" t="s">
        <v>25</v>
      </c>
      <c r="P379" s="1" t="s">
        <v>25</v>
      </c>
      <c r="Q379" s="1" t="s">
        <v>25</v>
      </c>
      <c r="R379" s="1" t="s">
        <v>25</v>
      </c>
      <c r="S379" s="2">
        <v>45974.78444444444</v>
      </c>
      <c r="T379" s="2">
        <v>45974.78444444444</v>
      </c>
    </row>
    <row r="380">
      <c r="A380" s="1" t="s">
        <v>1318</v>
      </c>
      <c r="B380" s="1">
        <v>1.0</v>
      </c>
      <c r="C380" s="1">
        <v>96.0</v>
      </c>
      <c r="D380" s="1">
        <v>3.5300587E7</v>
      </c>
      <c r="E380" s="1" t="s">
        <v>25</v>
      </c>
      <c r="F380" s="1" t="s">
        <v>25</v>
      </c>
      <c r="G380" s="1" t="s">
        <v>25</v>
      </c>
      <c r="H380" s="1" t="s">
        <v>25</v>
      </c>
      <c r="I380" s="1" t="s">
        <v>25</v>
      </c>
      <c r="J380" s="1" t="s">
        <v>25</v>
      </c>
      <c r="K380" s="1" t="s">
        <v>25</v>
      </c>
      <c r="L380" s="1" t="s">
        <v>25</v>
      </c>
      <c r="M380" s="1">
        <v>1.53222106E8</v>
      </c>
      <c r="N380" s="1" t="s">
        <v>1319</v>
      </c>
      <c r="O380" s="1">
        <v>10.0</v>
      </c>
      <c r="P380" s="1">
        <v>30000.0</v>
      </c>
      <c r="Q380" s="1" t="s">
        <v>25</v>
      </c>
      <c r="R380" s="1" t="s">
        <v>25</v>
      </c>
      <c r="S380" s="2">
        <v>45975.71060185185</v>
      </c>
      <c r="T380" s="2">
        <v>45975.71060185185</v>
      </c>
    </row>
    <row r="381">
      <c r="A381" s="1" t="s">
        <v>526</v>
      </c>
      <c r="B381" s="1">
        <v>1.0</v>
      </c>
      <c r="C381" s="1">
        <v>96.0</v>
      </c>
      <c r="D381" s="1">
        <v>1.1562596E7</v>
      </c>
      <c r="E381" s="1" t="s">
        <v>25</v>
      </c>
      <c r="F381" s="1" t="s">
        <v>25</v>
      </c>
      <c r="G381" s="1" t="s">
        <v>25</v>
      </c>
      <c r="H381" s="1" t="s">
        <v>25</v>
      </c>
      <c r="I381" s="1" t="s">
        <v>25</v>
      </c>
      <c r="J381" s="1" t="s">
        <v>25</v>
      </c>
      <c r="K381" s="1" t="s">
        <v>25</v>
      </c>
      <c r="L381" s="1" t="s">
        <v>25</v>
      </c>
      <c r="M381" s="1">
        <v>3.512054457E9</v>
      </c>
      <c r="N381" s="1" t="s">
        <v>1320</v>
      </c>
      <c r="O381" s="1" t="s">
        <v>25</v>
      </c>
      <c r="P381" s="1" t="s">
        <v>25</v>
      </c>
      <c r="Q381" s="1" t="s">
        <v>25</v>
      </c>
      <c r="R381" s="1" t="s">
        <v>25</v>
      </c>
      <c r="S381" s="2">
        <v>45975.75270833333</v>
      </c>
      <c r="T381" s="2">
        <v>45975.75270833333</v>
      </c>
    </row>
    <row r="382">
      <c r="A382" s="1" t="s">
        <v>536</v>
      </c>
      <c r="B382" s="1">
        <v>1.0</v>
      </c>
      <c r="C382" s="1">
        <v>96.0</v>
      </c>
      <c r="D382" s="1">
        <v>4.8124331E7</v>
      </c>
      <c r="E382" s="1" t="s">
        <v>25</v>
      </c>
      <c r="F382" s="1" t="s">
        <v>25</v>
      </c>
      <c r="G382" s="1" t="s">
        <v>25</v>
      </c>
      <c r="H382" s="1" t="s">
        <v>25</v>
      </c>
      <c r="I382" s="1" t="s">
        <v>25</v>
      </c>
      <c r="J382" s="1" t="s">
        <v>25</v>
      </c>
      <c r="K382" s="1" t="s">
        <v>25</v>
      </c>
      <c r="L382" s="1" t="s">
        <v>25</v>
      </c>
      <c r="M382" s="1">
        <v>3.512061041E9</v>
      </c>
      <c r="N382" s="1" t="s">
        <v>25</v>
      </c>
      <c r="O382" s="1" t="s">
        <v>25</v>
      </c>
      <c r="P382" s="1" t="s">
        <v>25</v>
      </c>
      <c r="Q382" s="1" t="s">
        <v>25</v>
      </c>
      <c r="R382" s="1" t="s">
        <v>25</v>
      </c>
      <c r="S382" s="2">
        <v>45975.806238425925</v>
      </c>
      <c r="T382" s="2">
        <v>45975.806238425925</v>
      </c>
    </row>
    <row r="383">
      <c r="A383" s="1" t="s">
        <v>528</v>
      </c>
      <c r="B383" s="1">
        <v>1.0</v>
      </c>
      <c r="C383" s="1">
        <v>96.0</v>
      </c>
      <c r="D383" s="1">
        <v>2.4885402E7</v>
      </c>
      <c r="E383" s="1" t="s">
        <v>25</v>
      </c>
      <c r="F383" s="1" t="s">
        <v>25</v>
      </c>
      <c r="G383" s="1" t="s">
        <v>25</v>
      </c>
      <c r="H383" s="1" t="s">
        <v>25</v>
      </c>
      <c r="I383" s="1" t="s">
        <v>25</v>
      </c>
      <c r="J383" s="1" t="s">
        <v>25</v>
      </c>
      <c r="K383" s="1" t="s">
        <v>25</v>
      </c>
      <c r="L383" s="1" t="s">
        <v>25</v>
      </c>
      <c r="M383" s="1">
        <v>3.512103019E9</v>
      </c>
      <c r="N383" s="1" t="s">
        <v>1321</v>
      </c>
      <c r="O383" s="1" t="s">
        <v>25</v>
      </c>
      <c r="P383" s="1" t="s">
        <v>25</v>
      </c>
      <c r="Q383" s="1" t="s">
        <v>25</v>
      </c>
      <c r="R383" s="1" t="s">
        <v>25</v>
      </c>
      <c r="S383" s="2">
        <v>45978.70494212963</v>
      </c>
      <c r="T383" s="2">
        <v>45978.710694444446</v>
      </c>
    </row>
    <row r="384">
      <c r="A384" s="1" t="s">
        <v>539</v>
      </c>
      <c r="B384" s="1" t="s">
        <v>25</v>
      </c>
      <c r="C384" s="1">
        <v>96.0</v>
      </c>
      <c r="D384" s="1">
        <v>2.4841058E7</v>
      </c>
      <c r="E384" s="1" t="s">
        <v>25</v>
      </c>
      <c r="F384" s="1" t="s">
        <v>25</v>
      </c>
      <c r="G384" s="1" t="s">
        <v>25</v>
      </c>
      <c r="H384" s="1" t="s">
        <v>25</v>
      </c>
      <c r="I384" s="1" t="s">
        <v>25</v>
      </c>
      <c r="J384" s="1" t="s">
        <v>25</v>
      </c>
      <c r="K384" s="1" t="s">
        <v>25</v>
      </c>
      <c r="L384" s="1" t="s">
        <v>25</v>
      </c>
      <c r="M384" s="1">
        <v>3.517142412E9</v>
      </c>
      <c r="N384" s="1" t="s">
        <v>1322</v>
      </c>
      <c r="O384" s="1" t="s">
        <v>25</v>
      </c>
      <c r="P384" s="1" t="s">
        <v>25</v>
      </c>
      <c r="Q384" s="1" t="s">
        <v>25</v>
      </c>
      <c r="R384" s="1" t="s">
        <v>25</v>
      </c>
      <c r="S384" s="2">
        <v>45978.784780092596</v>
      </c>
      <c r="T384" s="2">
        <v>45978.784780092596</v>
      </c>
    </row>
    <row r="385">
      <c r="A385" s="1" t="s">
        <v>529</v>
      </c>
      <c r="B385" s="1">
        <v>1.0</v>
      </c>
      <c r="C385" s="1">
        <v>96.0</v>
      </c>
      <c r="D385" s="1">
        <v>3.7127237E7</v>
      </c>
      <c r="E385" s="1" t="s">
        <v>25</v>
      </c>
      <c r="F385" s="1" t="s">
        <v>25</v>
      </c>
      <c r="G385" s="1" t="s">
        <v>25</v>
      </c>
      <c r="H385" s="1" t="s">
        <v>25</v>
      </c>
      <c r="I385" s="1" t="s">
        <v>25</v>
      </c>
      <c r="J385" s="1" t="s">
        <v>25</v>
      </c>
      <c r="K385" s="1" t="s">
        <v>25</v>
      </c>
      <c r="L385" s="1" t="s">
        <v>25</v>
      </c>
      <c r="M385" s="1">
        <v>3.564659392E9</v>
      </c>
      <c r="N385" s="1" t="s">
        <v>1323</v>
      </c>
      <c r="O385" s="1" t="s">
        <v>25</v>
      </c>
      <c r="P385" s="1" t="s">
        <v>25</v>
      </c>
      <c r="Q385" s="1" t="s">
        <v>25</v>
      </c>
      <c r="R385" s="1" t="s">
        <v>25</v>
      </c>
      <c r="S385" s="2">
        <v>45978.81233796296</v>
      </c>
      <c r="T385" s="2">
        <v>45978.81233796296</v>
      </c>
    </row>
    <row r="386">
      <c r="A386" s="1" t="s">
        <v>538</v>
      </c>
      <c r="B386" s="1" t="s">
        <v>25</v>
      </c>
      <c r="C386" s="1">
        <v>96.0</v>
      </c>
      <c r="D386" s="1">
        <v>5.4093602E7</v>
      </c>
      <c r="E386" s="1" t="s">
        <v>25</v>
      </c>
      <c r="F386" s="1" t="s">
        <v>25</v>
      </c>
      <c r="G386" s="1" t="s">
        <v>25</v>
      </c>
      <c r="H386" s="5">
        <v>45982.0</v>
      </c>
      <c r="I386" s="1" t="s">
        <v>25</v>
      </c>
      <c r="J386" s="1" t="s">
        <v>25</v>
      </c>
      <c r="K386" s="1" t="s">
        <v>25</v>
      </c>
      <c r="L386" s="1" t="s">
        <v>25</v>
      </c>
      <c r="M386" s="1">
        <v>3.825622493E9</v>
      </c>
      <c r="N386" s="1" t="s">
        <v>1324</v>
      </c>
      <c r="O386" s="1" t="s">
        <v>25</v>
      </c>
      <c r="P386" s="1" t="s">
        <v>25</v>
      </c>
      <c r="Q386" s="1" t="s">
        <v>25</v>
      </c>
      <c r="R386" s="1" t="s">
        <v>25</v>
      </c>
      <c r="S386" s="2">
        <v>45979.46503472222</v>
      </c>
      <c r="T386" s="2">
        <v>45979.46503472222</v>
      </c>
    </row>
    <row r="387">
      <c r="A387" s="1" t="s">
        <v>532</v>
      </c>
      <c r="B387" s="1">
        <v>1.0</v>
      </c>
      <c r="C387" s="1">
        <v>96.0</v>
      </c>
      <c r="D387" s="1">
        <v>2.9253874E7</v>
      </c>
      <c r="E387" s="1" t="s">
        <v>25</v>
      </c>
      <c r="F387" s="1" t="s">
        <v>25</v>
      </c>
      <c r="G387" s="1" t="s">
        <v>25</v>
      </c>
      <c r="H387" s="1" t="s">
        <v>25</v>
      </c>
      <c r="I387" s="1" t="s">
        <v>25</v>
      </c>
      <c r="J387" s="1" t="s">
        <v>25</v>
      </c>
      <c r="K387" s="1" t="s">
        <v>25</v>
      </c>
      <c r="L387" s="1" t="s">
        <v>25</v>
      </c>
      <c r="M387" s="1">
        <v>3.513682838E9</v>
      </c>
      <c r="N387" s="1" t="s">
        <v>1325</v>
      </c>
      <c r="O387" s="1" t="s">
        <v>25</v>
      </c>
      <c r="P387" s="1" t="s">
        <v>25</v>
      </c>
      <c r="Q387" s="1" t="s">
        <v>25</v>
      </c>
      <c r="R387" s="1" t="s">
        <v>25</v>
      </c>
      <c r="S387" s="2">
        <v>45979.720555555556</v>
      </c>
      <c r="T387" s="2">
        <v>45979.720555555556</v>
      </c>
    </row>
    <row r="388">
      <c r="A388" s="1" t="s">
        <v>531</v>
      </c>
      <c r="B388" s="1">
        <v>1.0</v>
      </c>
      <c r="C388" s="1">
        <v>96.0</v>
      </c>
      <c r="D388" s="1">
        <v>5.2863294E7</v>
      </c>
      <c r="E388" s="1" t="s">
        <v>25</v>
      </c>
      <c r="F388" s="1" t="s">
        <v>25</v>
      </c>
      <c r="G388" s="1" t="s">
        <v>25</v>
      </c>
      <c r="H388" s="1" t="s">
        <v>25</v>
      </c>
      <c r="I388" s="1" t="s">
        <v>25</v>
      </c>
      <c r="J388" s="1" t="s">
        <v>25</v>
      </c>
      <c r="K388" s="1" t="s">
        <v>25</v>
      </c>
      <c r="L388" s="1" t="s">
        <v>25</v>
      </c>
      <c r="M388" s="1">
        <v>3.513647147E9</v>
      </c>
      <c r="N388" s="1" t="s">
        <v>1326</v>
      </c>
      <c r="O388" s="1" t="s">
        <v>25</v>
      </c>
      <c r="P388" s="1" t="s">
        <v>25</v>
      </c>
      <c r="Q388" s="1" t="s">
        <v>25</v>
      </c>
      <c r="R388" s="1" t="s">
        <v>25</v>
      </c>
      <c r="S388" s="2">
        <v>45979.72112268519</v>
      </c>
      <c r="T388" s="2">
        <v>45979.72112268519</v>
      </c>
    </row>
    <row r="389">
      <c r="A389" s="1" t="s">
        <v>533</v>
      </c>
      <c r="B389" s="1">
        <v>2.0</v>
      </c>
      <c r="C389" s="1">
        <v>96.0</v>
      </c>
      <c r="D389" s="1">
        <v>3.4788009E7</v>
      </c>
      <c r="E389" s="1" t="s">
        <v>25</v>
      </c>
      <c r="F389" s="1" t="s">
        <v>25</v>
      </c>
      <c r="G389" s="1" t="s">
        <v>25</v>
      </c>
      <c r="H389" s="1" t="s">
        <v>25</v>
      </c>
      <c r="I389" s="1" t="s">
        <v>25</v>
      </c>
      <c r="J389" s="1" t="s">
        <v>25</v>
      </c>
      <c r="K389" s="1" t="s">
        <v>25</v>
      </c>
      <c r="L389" s="1" t="s">
        <v>25</v>
      </c>
      <c r="M389" s="1">
        <v>3.518003333E9</v>
      </c>
      <c r="N389" s="1" t="s">
        <v>25</v>
      </c>
      <c r="O389" s="1" t="s">
        <v>25</v>
      </c>
      <c r="P389" s="1" t="s">
        <v>25</v>
      </c>
      <c r="Q389" s="1" t="s">
        <v>25</v>
      </c>
      <c r="R389" s="1" t="s">
        <v>25</v>
      </c>
      <c r="S389" s="2">
        <v>45980.49180555555</v>
      </c>
      <c r="T389" s="2">
        <v>45980.49180555555</v>
      </c>
    </row>
    <row r="390">
      <c r="A390" s="1" t="s">
        <v>541</v>
      </c>
      <c r="B390" s="1">
        <v>2.0</v>
      </c>
      <c r="C390" s="1">
        <v>96.0</v>
      </c>
      <c r="D390" s="1">
        <v>3.4806251E7</v>
      </c>
      <c r="E390" s="1" t="s">
        <v>25</v>
      </c>
      <c r="F390" s="1" t="s">
        <v>25</v>
      </c>
      <c r="G390" s="1" t="s">
        <v>25</v>
      </c>
      <c r="H390" s="1" t="s">
        <v>25</v>
      </c>
      <c r="I390" s="1" t="s">
        <v>25</v>
      </c>
      <c r="J390" s="1" t="s">
        <v>25</v>
      </c>
      <c r="K390" s="1" t="s">
        <v>25</v>
      </c>
      <c r="L390" s="1" t="s">
        <v>25</v>
      </c>
      <c r="M390" s="1">
        <v>3.51746395E9</v>
      </c>
      <c r="N390" s="1" t="s">
        <v>1327</v>
      </c>
      <c r="O390" s="1" t="s">
        <v>25</v>
      </c>
      <c r="P390" s="1" t="s">
        <v>25</v>
      </c>
      <c r="Q390" s="1" t="s">
        <v>25</v>
      </c>
      <c r="R390" s="1" t="s">
        <v>25</v>
      </c>
      <c r="S390" s="2">
        <v>45981.48960648148</v>
      </c>
      <c r="T390" s="2">
        <v>45981.48960648148</v>
      </c>
    </row>
    <row r="391">
      <c r="A391" s="1" t="s">
        <v>542</v>
      </c>
      <c r="B391" s="1">
        <v>2.0</v>
      </c>
      <c r="C391" s="1">
        <v>96.0</v>
      </c>
      <c r="D391" s="1">
        <v>3.0676523E7</v>
      </c>
      <c r="E391" s="1" t="s">
        <v>25</v>
      </c>
      <c r="F391" s="1" t="s">
        <v>25</v>
      </c>
      <c r="G391" s="1" t="s">
        <v>25</v>
      </c>
      <c r="H391" s="1" t="s">
        <v>25</v>
      </c>
      <c r="I391" s="1" t="s">
        <v>25</v>
      </c>
      <c r="J391" s="1" t="s">
        <v>25</v>
      </c>
      <c r="K391" s="1" t="s">
        <v>25</v>
      </c>
      <c r="L391" s="1" t="s">
        <v>25</v>
      </c>
      <c r="M391" s="1">
        <v>3.834510669E9</v>
      </c>
      <c r="N391" s="1" t="s">
        <v>1328</v>
      </c>
      <c r="O391" s="1" t="s">
        <v>25</v>
      </c>
      <c r="P391" s="1" t="s">
        <v>25</v>
      </c>
      <c r="Q391" s="1" t="s">
        <v>25</v>
      </c>
      <c r="R391" s="1" t="s">
        <v>25</v>
      </c>
      <c r="S391" s="2">
        <v>45981.77756944444</v>
      </c>
      <c r="T391" s="2">
        <v>45981.77756944444</v>
      </c>
    </row>
    <row r="392">
      <c r="A392" s="1" t="s">
        <v>543</v>
      </c>
      <c r="B392" s="1">
        <v>1.0</v>
      </c>
      <c r="C392" s="1">
        <v>96.0</v>
      </c>
      <c r="D392" s="1">
        <v>0.0</v>
      </c>
      <c r="E392" s="1" t="s">
        <v>25</v>
      </c>
      <c r="F392" s="1" t="s">
        <v>25</v>
      </c>
      <c r="G392" s="1" t="s">
        <v>25</v>
      </c>
      <c r="H392" s="1" t="s">
        <v>25</v>
      </c>
      <c r="I392" s="1" t="s">
        <v>25</v>
      </c>
      <c r="J392" s="1" t="s">
        <v>25</v>
      </c>
      <c r="K392" s="1" t="s">
        <v>25</v>
      </c>
      <c r="L392" s="1" t="s">
        <v>25</v>
      </c>
      <c r="M392" s="3">
        <f>+543512050531</f>
        <v>543512050531</v>
      </c>
      <c r="N392" s="1" t="s">
        <v>1329</v>
      </c>
      <c r="O392" s="1" t="s">
        <v>25</v>
      </c>
      <c r="P392" s="1" t="s">
        <v>25</v>
      </c>
      <c r="Q392" s="1" t="s">
        <v>25</v>
      </c>
      <c r="R392" s="1" t="s">
        <v>25</v>
      </c>
      <c r="S392" s="2">
        <v>45982.39907407408</v>
      </c>
      <c r="T392" s="2">
        <v>45982.39907407408</v>
      </c>
    </row>
    <row r="393">
      <c r="A393" s="1" t="s">
        <v>544</v>
      </c>
      <c r="B393" s="1">
        <v>2.0</v>
      </c>
      <c r="C393" s="1">
        <v>96.0</v>
      </c>
      <c r="D393" s="1">
        <v>2.6149005E7</v>
      </c>
      <c r="E393" s="1" t="s">
        <v>25</v>
      </c>
      <c r="F393" s="1" t="s">
        <v>25</v>
      </c>
      <c r="G393" s="1" t="s">
        <v>25</v>
      </c>
      <c r="H393" s="1" t="s">
        <v>25</v>
      </c>
      <c r="I393" s="1" t="s">
        <v>25</v>
      </c>
      <c r="J393" s="1" t="s">
        <v>25</v>
      </c>
      <c r="K393" s="1" t="s">
        <v>25</v>
      </c>
      <c r="L393" s="1" t="s">
        <v>25</v>
      </c>
      <c r="M393" s="1">
        <v>3.515096497E9</v>
      </c>
      <c r="N393" s="1" t="s">
        <v>1330</v>
      </c>
      <c r="O393" s="1" t="s">
        <v>25</v>
      </c>
      <c r="P393" s="1" t="s">
        <v>25</v>
      </c>
      <c r="Q393" s="1" t="s">
        <v>25</v>
      </c>
      <c r="R393" s="1" t="s">
        <v>25</v>
      </c>
      <c r="S393" s="2">
        <v>45982.52820601852</v>
      </c>
      <c r="T393" s="2">
        <v>45982.52820601852</v>
      </c>
    </row>
    <row r="394">
      <c r="A394" s="1" t="s">
        <v>545</v>
      </c>
      <c r="B394" s="1">
        <v>1.0</v>
      </c>
      <c r="C394" s="1">
        <v>96.0</v>
      </c>
      <c r="D394" s="1">
        <v>2.6370899E7</v>
      </c>
      <c r="E394" s="1" t="s">
        <v>25</v>
      </c>
      <c r="F394" s="1" t="s">
        <v>25</v>
      </c>
      <c r="G394" s="1" t="s">
        <v>25</v>
      </c>
      <c r="H394" s="1" t="s">
        <v>25</v>
      </c>
      <c r="I394" s="1" t="s">
        <v>25</v>
      </c>
      <c r="J394" s="1" t="s">
        <v>25</v>
      </c>
      <c r="K394" s="1" t="s">
        <v>25</v>
      </c>
      <c r="L394" s="1" t="s">
        <v>25</v>
      </c>
      <c r="M394" s="1">
        <v>3.516715465E9</v>
      </c>
      <c r="N394" s="1" t="s">
        <v>1331</v>
      </c>
      <c r="O394" s="1" t="s">
        <v>25</v>
      </c>
      <c r="P394" s="1" t="s">
        <v>25</v>
      </c>
      <c r="Q394" s="1" t="s">
        <v>25</v>
      </c>
      <c r="R394" s="1" t="s">
        <v>25</v>
      </c>
      <c r="S394" s="2">
        <v>45982.54550925926</v>
      </c>
      <c r="T394" s="2">
        <v>45982.69222222222</v>
      </c>
    </row>
    <row r="395">
      <c r="A395" s="1" t="s">
        <v>548</v>
      </c>
      <c r="B395" s="1" t="s">
        <v>25</v>
      </c>
      <c r="C395" s="1" t="s">
        <v>25</v>
      </c>
      <c r="D395" s="1">
        <v>2.02068092E8</v>
      </c>
      <c r="E395" s="1" t="s">
        <v>25</v>
      </c>
      <c r="F395" s="1" t="s">
        <v>25</v>
      </c>
      <c r="G395" s="1" t="s">
        <v>25</v>
      </c>
      <c r="H395" s="1" t="s">
        <v>25</v>
      </c>
      <c r="I395" s="1" t="s">
        <v>25</v>
      </c>
      <c r="J395" s="1" t="s">
        <v>25</v>
      </c>
      <c r="K395" s="1" t="s">
        <v>25</v>
      </c>
      <c r="L395" s="1" t="s">
        <v>25</v>
      </c>
      <c r="M395" s="1">
        <v>3.518064596E9</v>
      </c>
      <c r="N395" s="1" t="s">
        <v>1332</v>
      </c>
      <c r="O395" s="1" t="s">
        <v>25</v>
      </c>
      <c r="P395" s="1" t="s">
        <v>25</v>
      </c>
      <c r="Q395" s="1" t="s">
        <v>25</v>
      </c>
      <c r="R395" s="1" t="s">
        <v>1333</v>
      </c>
      <c r="S395" s="2">
        <v>45983.53158564815</v>
      </c>
      <c r="T395" s="2">
        <v>45983.53158564815</v>
      </c>
    </row>
    <row r="396">
      <c r="A396" s="1" t="s">
        <v>546</v>
      </c>
      <c r="B396" s="1">
        <v>1.0</v>
      </c>
      <c r="C396" s="1">
        <v>96.0</v>
      </c>
      <c r="D396" s="1">
        <v>2.5011034E7</v>
      </c>
      <c r="E396" s="1" t="s">
        <v>25</v>
      </c>
      <c r="F396" s="1" t="s">
        <v>25</v>
      </c>
      <c r="G396" s="1" t="s">
        <v>25</v>
      </c>
      <c r="H396" s="1" t="s">
        <v>25</v>
      </c>
      <c r="I396" s="1" t="s">
        <v>25</v>
      </c>
      <c r="J396" s="1" t="s">
        <v>25</v>
      </c>
      <c r="K396" s="1" t="s">
        <v>25</v>
      </c>
      <c r="L396" s="1" t="s">
        <v>25</v>
      </c>
      <c r="M396" s="1">
        <v>3.516983838E9</v>
      </c>
      <c r="N396" s="1" t="s">
        <v>1334</v>
      </c>
      <c r="O396" s="1" t="s">
        <v>25</v>
      </c>
      <c r="P396" s="1" t="s">
        <v>25</v>
      </c>
      <c r="Q396" s="1" t="s">
        <v>25</v>
      </c>
      <c r="R396" s="1" t="s">
        <v>25</v>
      </c>
      <c r="S396" s="2">
        <v>45987.57770833333</v>
      </c>
      <c r="T396" s="2">
        <v>45987.57770833333</v>
      </c>
    </row>
    <row r="397">
      <c r="A397" s="1" t="s">
        <v>547</v>
      </c>
      <c r="B397" s="1">
        <v>2.0</v>
      </c>
      <c r="C397" s="1">
        <v>96.0</v>
      </c>
      <c r="D397" s="1">
        <v>1.1591095E7</v>
      </c>
      <c r="E397" s="1" t="s">
        <v>25</v>
      </c>
      <c r="F397" s="1" t="s">
        <v>25</v>
      </c>
      <c r="G397" s="1" t="s">
        <v>25</v>
      </c>
      <c r="H397" s="1" t="s">
        <v>25</v>
      </c>
      <c r="I397" s="1" t="s">
        <v>25</v>
      </c>
      <c r="J397" s="1" t="s">
        <v>25</v>
      </c>
      <c r="K397" s="1" t="s">
        <v>25</v>
      </c>
      <c r="L397" s="1" t="s">
        <v>25</v>
      </c>
      <c r="M397" s="1">
        <v>3.543585157E9</v>
      </c>
      <c r="N397" s="1" t="s">
        <v>1335</v>
      </c>
      <c r="O397" s="1" t="s">
        <v>25</v>
      </c>
      <c r="P397" s="1" t="s">
        <v>25</v>
      </c>
      <c r="Q397" s="1" t="s">
        <v>25</v>
      </c>
      <c r="R397" s="1" t="s">
        <v>25</v>
      </c>
      <c r="S397" s="2">
        <v>45987.71653935185</v>
      </c>
      <c r="T397" s="2">
        <v>45987.71653935185</v>
      </c>
    </row>
    <row r="398">
      <c r="A398" s="1" t="s">
        <v>549</v>
      </c>
      <c r="B398" s="1">
        <v>2.0</v>
      </c>
      <c r="C398" s="1">
        <v>96.0</v>
      </c>
      <c r="D398" s="1">
        <v>5.2868582E7</v>
      </c>
      <c r="E398" s="1" t="s">
        <v>25</v>
      </c>
      <c r="F398" s="1" t="s">
        <v>25</v>
      </c>
      <c r="G398" s="1" t="s">
        <v>25</v>
      </c>
      <c r="H398" s="1" t="s">
        <v>25</v>
      </c>
      <c r="I398" s="1" t="s">
        <v>25</v>
      </c>
      <c r="J398" s="1" t="s">
        <v>25</v>
      </c>
      <c r="K398" s="1" t="s">
        <v>25</v>
      </c>
      <c r="L398" s="1" t="s">
        <v>25</v>
      </c>
      <c r="M398" s="1" t="s">
        <v>1336</v>
      </c>
      <c r="N398" s="1" t="s">
        <v>1337</v>
      </c>
      <c r="O398" s="1" t="s">
        <v>25</v>
      </c>
      <c r="P398" s="1" t="s">
        <v>25</v>
      </c>
      <c r="Q398" s="1" t="s">
        <v>25</v>
      </c>
      <c r="R398" s="1" t="s">
        <v>25</v>
      </c>
      <c r="S398" s="2">
        <v>45989.69238425926</v>
      </c>
      <c r="T398" s="2">
        <v>45989.694502314815</v>
      </c>
    </row>
    <row r="399">
      <c r="A399" s="1" t="s">
        <v>551</v>
      </c>
      <c r="B399" s="1">
        <v>2.0</v>
      </c>
      <c r="C399" s="1">
        <v>80.0</v>
      </c>
      <c r="D399" s="1">
        <v>2.3374047639E10</v>
      </c>
      <c r="E399" s="1" t="s">
        <v>25</v>
      </c>
      <c r="F399" s="1" t="s">
        <v>25</v>
      </c>
      <c r="G399" s="1" t="s">
        <v>25</v>
      </c>
      <c r="H399" s="1" t="s">
        <v>25</v>
      </c>
      <c r="I399" s="1" t="s">
        <v>25</v>
      </c>
      <c r="J399" s="1" t="s">
        <v>25</v>
      </c>
      <c r="K399" s="1" t="s">
        <v>25</v>
      </c>
      <c r="L399" s="1" t="s">
        <v>25</v>
      </c>
      <c r="M399" s="1">
        <v>3.491695597E9</v>
      </c>
      <c r="N399" s="1" t="s">
        <v>25</v>
      </c>
      <c r="O399" s="1" t="s">
        <v>25</v>
      </c>
      <c r="P399" s="1" t="s">
        <v>25</v>
      </c>
      <c r="Q399" s="1" t="s">
        <v>25</v>
      </c>
      <c r="R399" s="1" t="s">
        <v>25</v>
      </c>
      <c r="S399" s="2">
        <v>45989.70607638889</v>
      </c>
      <c r="T399" s="2">
        <v>45989.70607638889</v>
      </c>
    </row>
    <row r="400">
      <c r="A400" s="1" t="s">
        <v>552</v>
      </c>
      <c r="B400" s="1">
        <v>2.0</v>
      </c>
      <c r="C400" s="1">
        <v>96.0</v>
      </c>
      <c r="D400" s="1">
        <v>4.5105396E7</v>
      </c>
      <c r="E400" s="1" t="s">
        <v>25</v>
      </c>
      <c r="F400" s="1" t="s">
        <v>25</v>
      </c>
      <c r="G400" s="1" t="s">
        <v>25</v>
      </c>
      <c r="H400" s="1" t="s">
        <v>25</v>
      </c>
      <c r="I400" s="1" t="s">
        <v>25</v>
      </c>
      <c r="J400" s="1" t="s">
        <v>25</v>
      </c>
      <c r="K400" s="1" t="s">
        <v>25</v>
      </c>
      <c r="L400" s="1" t="s">
        <v>25</v>
      </c>
      <c r="M400" s="1">
        <v>2.804564102E9</v>
      </c>
      <c r="N400" s="1" t="s">
        <v>1338</v>
      </c>
      <c r="O400" s="1" t="s">
        <v>25</v>
      </c>
      <c r="P400" s="1" t="s">
        <v>25</v>
      </c>
      <c r="Q400" s="1" t="s">
        <v>25</v>
      </c>
      <c r="R400" s="1" t="s">
        <v>25</v>
      </c>
      <c r="S400" s="2">
        <v>45989.79375</v>
      </c>
      <c r="T400" s="2">
        <v>45989.79375</v>
      </c>
    </row>
    <row r="401">
      <c r="A401" s="1" t="s">
        <v>554</v>
      </c>
      <c r="B401" s="1">
        <v>1.0</v>
      </c>
      <c r="C401" s="1">
        <v>96.0</v>
      </c>
      <c r="D401" s="1">
        <v>9.561641E7</v>
      </c>
      <c r="E401" s="1" t="s">
        <v>25</v>
      </c>
      <c r="F401" s="1" t="s">
        <v>25</v>
      </c>
      <c r="G401" s="1" t="s">
        <v>25</v>
      </c>
      <c r="H401" s="1" t="s">
        <v>25</v>
      </c>
      <c r="I401" s="1" t="s">
        <v>25</v>
      </c>
      <c r="J401" s="1" t="s">
        <v>25</v>
      </c>
      <c r="K401" s="1" t="s">
        <v>25</v>
      </c>
      <c r="L401" s="1" t="s">
        <v>25</v>
      </c>
      <c r="M401" s="1">
        <v>3.51292183E9</v>
      </c>
      <c r="N401" s="1" t="s">
        <v>1339</v>
      </c>
      <c r="O401" s="1" t="s">
        <v>25</v>
      </c>
      <c r="P401" s="1" t="s">
        <v>25</v>
      </c>
      <c r="Q401" s="1" t="s">
        <v>25</v>
      </c>
      <c r="R401" s="1" t="s">
        <v>25</v>
      </c>
      <c r="S401" s="2">
        <v>45990.48106481481</v>
      </c>
      <c r="T401" s="2">
        <v>45990.48106481481</v>
      </c>
    </row>
    <row r="402">
      <c r="A402" s="1" t="s">
        <v>555</v>
      </c>
      <c r="B402" s="1">
        <v>1.0</v>
      </c>
      <c r="C402" s="1">
        <v>96.0</v>
      </c>
      <c r="D402" s="1">
        <v>2.9252381E7</v>
      </c>
      <c r="E402" s="1" t="s">
        <v>25</v>
      </c>
      <c r="F402" s="1" t="s">
        <v>25</v>
      </c>
      <c r="G402" s="1" t="s">
        <v>25</v>
      </c>
      <c r="H402" s="1" t="s">
        <v>25</v>
      </c>
      <c r="I402" s="1" t="s">
        <v>25</v>
      </c>
      <c r="J402" s="1" t="s">
        <v>25</v>
      </c>
      <c r="K402" s="1" t="s">
        <v>25</v>
      </c>
      <c r="L402" s="1" t="s">
        <v>25</v>
      </c>
      <c r="M402" s="1">
        <v>3.51686755E9</v>
      </c>
      <c r="N402" s="1" t="s">
        <v>1340</v>
      </c>
      <c r="O402" s="1" t="s">
        <v>25</v>
      </c>
      <c r="P402" s="1" t="s">
        <v>25</v>
      </c>
      <c r="Q402" s="1" t="s">
        <v>25</v>
      </c>
      <c r="R402" s="1" t="s">
        <v>25</v>
      </c>
      <c r="S402" s="2">
        <v>45990.5278587963</v>
      </c>
      <c r="T402" s="2">
        <v>45990.5278587963</v>
      </c>
    </row>
    <row r="403">
      <c r="A403" s="1" t="s">
        <v>556</v>
      </c>
      <c r="B403" s="1">
        <v>2.0</v>
      </c>
      <c r="C403" s="1" t="s">
        <v>25</v>
      </c>
      <c r="D403" s="1">
        <v>1.2995443E7</v>
      </c>
      <c r="E403" s="1" t="s">
        <v>25</v>
      </c>
      <c r="F403" s="1" t="s">
        <v>25</v>
      </c>
      <c r="G403" s="1" t="s">
        <v>25</v>
      </c>
      <c r="H403" s="1" t="s">
        <v>25</v>
      </c>
      <c r="I403" s="1" t="s">
        <v>25</v>
      </c>
      <c r="J403" s="1" t="s">
        <v>25</v>
      </c>
      <c r="K403" s="1" t="s">
        <v>25</v>
      </c>
      <c r="L403" s="1" t="s">
        <v>25</v>
      </c>
      <c r="M403" s="1">
        <v>3.515214857E9</v>
      </c>
      <c r="N403" s="1" t="s">
        <v>25</v>
      </c>
      <c r="O403" s="1" t="s">
        <v>25</v>
      </c>
      <c r="P403" s="1" t="s">
        <v>25</v>
      </c>
      <c r="Q403" s="1" t="s">
        <v>25</v>
      </c>
      <c r="R403" s="1" t="s">
        <v>25</v>
      </c>
      <c r="S403" s="2">
        <v>45990.575</v>
      </c>
      <c r="T403" s="2">
        <v>45990.57538194444</v>
      </c>
    </row>
    <row r="404">
      <c r="A404" s="1" t="s">
        <v>558</v>
      </c>
      <c r="B404" s="1">
        <v>1.0</v>
      </c>
      <c r="C404" s="1">
        <v>96.0</v>
      </c>
      <c r="D404" s="1">
        <v>1.0047327E7</v>
      </c>
      <c r="E404" s="1" t="s">
        <v>25</v>
      </c>
      <c r="F404" s="1" t="s">
        <v>25</v>
      </c>
      <c r="G404" s="1" t="s">
        <v>25</v>
      </c>
      <c r="H404" s="1" t="s">
        <v>25</v>
      </c>
      <c r="I404" s="1" t="s">
        <v>25</v>
      </c>
      <c r="J404" s="1" t="s">
        <v>25</v>
      </c>
      <c r="K404" s="1" t="s">
        <v>25</v>
      </c>
      <c r="L404" s="1" t="s">
        <v>25</v>
      </c>
      <c r="M404" s="1">
        <v>3.514594367E9</v>
      </c>
      <c r="N404" s="1" t="s">
        <v>1341</v>
      </c>
      <c r="O404" s="1" t="s">
        <v>25</v>
      </c>
      <c r="P404" s="1" t="s">
        <v>25</v>
      </c>
      <c r="Q404" s="1" t="s">
        <v>25</v>
      </c>
      <c r="R404" s="1" t="s">
        <v>25</v>
      </c>
      <c r="S404" s="2">
        <v>45992.76893518519</v>
      </c>
      <c r="T404" s="2">
        <v>45992.76893518519</v>
      </c>
    </row>
    <row r="405">
      <c r="A405" s="1" t="s">
        <v>559</v>
      </c>
      <c r="B405" s="1" t="s">
        <v>25</v>
      </c>
      <c r="C405" s="1">
        <v>96.0</v>
      </c>
      <c r="D405" s="1">
        <v>1.8176915E7</v>
      </c>
      <c r="E405" s="1" t="s">
        <v>25</v>
      </c>
      <c r="F405" s="1" t="s">
        <v>25</v>
      </c>
      <c r="G405" s="1" t="s">
        <v>25</v>
      </c>
      <c r="H405" s="5">
        <v>24562.0</v>
      </c>
      <c r="I405" s="1" t="s">
        <v>25</v>
      </c>
      <c r="J405" s="1" t="s">
        <v>25</v>
      </c>
      <c r="K405" s="1" t="s">
        <v>25</v>
      </c>
      <c r="L405" s="1" t="s">
        <v>25</v>
      </c>
      <c r="M405" s="1">
        <v>3.513647751E9</v>
      </c>
      <c r="N405" s="1" t="s">
        <v>1342</v>
      </c>
      <c r="O405" s="1" t="s">
        <v>25</v>
      </c>
      <c r="P405" s="1" t="s">
        <v>25</v>
      </c>
      <c r="Q405" s="1" t="s">
        <v>25</v>
      </c>
      <c r="R405" s="1" t="s">
        <v>25</v>
      </c>
      <c r="S405" s="2">
        <v>45993.70912037037</v>
      </c>
      <c r="T405" s="2">
        <v>45993.70912037037</v>
      </c>
    </row>
    <row r="406">
      <c r="A406" s="1" t="s">
        <v>561</v>
      </c>
      <c r="B406" s="1">
        <v>2.0</v>
      </c>
      <c r="C406" s="1">
        <v>96.0</v>
      </c>
      <c r="D406" s="1">
        <v>6959452.0</v>
      </c>
      <c r="E406" s="1" t="s">
        <v>25</v>
      </c>
      <c r="F406" s="1" t="s">
        <v>25</v>
      </c>
      <c r="G406" s="1" t="s">
        <v>25</v>
      </c>
      <c r="H406" s="1" t="s">
        <v>25</v>
      </c>
      <c r="I406" s="1" t="s">
        <v>25</v>
      </c>
      <c r="J406" s="1" t="s">
        <v>25</v>
      </c>
      <c r="K406" s="1" t="s">
        <v>25</v>
      </c>
      <c r="L406" s="1" t="s">
        <v>25</v>
      </c>
      <c r="M406" s="1">
        <v>3.416962773E9</v>
      </c>
      <c r="N406" s="1" t="s">
        <v>1343</v>
      </c>
      <c r="O406" s="1" t="s">
        <v>25</v>
      </c>
      <c r="P406" s="1" t="s">
        <v>25</v>
      </c>
      <c r="Q406" s="1" t="s">
        <v>25</v>
      </c>
      <c r="R406" s="1" t="s">
        <v>25</v>
      </c>
      <c r="S406" s="2">
        <v>45994.77112268518</v>
      </c>
      <c r="T406" s="2">
        <v>45994.77112268518</v>
      </c>
    </row>
    <row r="407">
      <c r="A407" s="1" t="s">
        <v>563</v>
      </c>
      <c r="B407" s="1">
        <v>2.0</v>
      </c>
      <c r="C407" s="1">
        <v>96.0</v>
      </c>
      <c r="D407" s="1">
        <v>2.568349E7</v>
      </c>
      <c r="E407" s="1" t="s">
        <v>25</v>
      </c>
      <c r="F407" s="1" t="s">
        <v>25</v>
      </c>
      <c r="G407" s="1" t="s">
        <v>25</v>
      </c>
      <c r="H407" s="1" t="s">
        <v>25</v>
      </c>
      <c r="I407" s="1" t="s">
        <v>1344</v>
      </c>
      <c r="J407" s="1" t="s">
        <v>25</v>
      </c>
      <c r="K407" s="1" t="s">
        <v>25</v>
      </c>
      <c r="L407" s="1">
        <v>9.0</v>
      </c>
      <c r="M407" s="1">
        <v>3.825524955E9</v>
      </c>
      <c r="N407" s="1" t="s">
        <v>1345</v>
      </c>
      <c r="O407" s="1" t="s">
        <v>25</v>
      </c>
      <c r="P407" s="1" t="s">
        <v>25</v>
      </c>
      <c r="Q407" s="1" t="s">
        <v>25</v>
      </c>
      <c r="R407" s="1" t="s">
        <v>25</v>
      </c>
      <c r="S407" s="2">
        <v>45995.418958333335</v>
      </c>
      <c r="T407" s="2">
        <v>45995.418958333335</v>
      </c>
    </row>
    <row r="408">
      <c r="A408" s="1" t="s">
        <v>567</v>
      </c>
      <c r="B408" s="1">
        <v>1.0</v>
      </c>
      <c r="C408" s="1">
        <v>96.0</v>
      </c>
      <c r="D408" s="1">
        <v>1.3972546E7</v>
      </c>
      <c r="E408" s="1" t="s">
        <v>25</v>
      </c>
      <c r="F408" s="1" t="s">
        <v>25</v>
      </c>
      <c r="G408" s="1" t="s">
        <v>25</v>
      </c>
      <c r="H408" s="1" t="s">
        <v>25</v>
      </c>
      <c r="I408" s="1" t="s">
        <v>25</v>
      </c>
      <c r="J408" s="1" t="s">
        <v>25</v>
      </c>
      <c r="K408" s="1" t="s">
        <v>25</v>
      </c>
      <c r="L408" s="1" t="s">
        <v>25</v>
      </c>
      <c r="M408" s="1" t="s">
        <v>1346</v>
      </c>
      <c r="N408" s="1" t="s">
        <v>25</v>
      </c>
      <c r="O408" s="1" t="s">
        <v>25</v>
      </c>
      <c r="P408" s="1" t="s">
        <v>25</v>
      </c>
      <c r="Q408" s="1" t="s">
        <v>25</v>
      </c>
      <c r="R408" s="1" t="s">
        <v>1347</v>
      </c>
      <c r="S408" s="2">
        <v>45995.427152777775</v>
      </c>
      <c r="T408" s="2">
        <v>45995.429560185185</v>
      </c>
    </row>
    <row r="409">
      <c r="A409" s="1" t="s">
        <v>564</v>
      </c>
      <c r="B409" s="1">
        <v>1.0</v>
      </c>
      <c r="C409" s="1">
        <v>96.0</v>
      </c>
      <c r="D409" s="1">
        <v>3.5963488E7</v>
      </c>
      <c r="E409" s="1" t="s">
        <v>25</v>
      </c>
      <c r="F409" s="1" t="s">
        <v>25</v>
      </c>
      <c r="G409" s="1" t="s">
        <v>25</v>
      </c>
      <c r="H409" s="1" t="s">
        <v>25</v>
      </c>
      <c r="I409" s="1" t="s">
        <v>25</v>
      </c>
      <c r="J409" s="1" t="s">
        <v>25</v>
      </c>
      <c r="K409" s="1" t="s">
        <v>25</v>
      </c>
      <c r="L409" s="1" t="s">
        <v>25</v>
      </c>
      <c r="M409" s="1">
        <v>3.513202206E9</v>
      </c>
      <c r="N409" s="1" t="s">
        <v>1348</v>
      </c>
      <c r="O409" s="1" t="s">
        <v>25</v>
      </c>
      <c r="P409" s="1" t="s">
        <v>25</v>
      </c>
      <c r="Q409" s="1" t="s">
        <v>25</v>
      </c>
      <c r="R409" s="1" t="s">
        <v>25</v>
      </c>
      <c r="S409" s="2">
        <v>45995.71834490741</v>
      </c>
      <c r="T409" s="2">
        <v>45995.71834490741</v>
      </c>
    </row>
    <row r="410">
      <c r="A410" s="1" t="s">
        <v>565</v>
      </c>
      <c r="B410" s="1">
        <v>2.0</v>
      </c>
      <c r="C410" s="1">
        <v>96.0</v>
      </c>
      <c r="D410" s="1">
        <v>3.5526917E7</v>
      </c>
      <c r="E410" s="1" t="s">
        <v>25</v>
      </c>
      <c r="F410" s="1" t="s">
        <v>25</v>
      </c>
      <c r="G410" s="1" t="s">
        <v>25</v>
      </c>
      <c r="H410" s="1" t="s">
        <v>25</v>
      </c>
      <c r="I410" s="1" t="s">
        <v>25</v>
      </c>
      <c r="J410" s="1" t="s">
        <v>25</v>
      </c>
      <c r="K410" s="1" t="s">
        <v>25</v>
      </c>
      <c r="L410" s="1" t="s">
        <v>25</v>
      </c>
      <c r="M410" s="1">
        <v>3.512258434E9</v>
      </c>
      <c r="N410" s="1" t="s">
        <v>1349</v>
      </c>
      <c r="O410" s="1" t="s">
        <v>25</v>
      </c>
      <c r="P410" s="1" t="s">
        <v>25</v>
      </c>
      <c r="Q410" s="1" t="s">
        <v>25</v>
      </c>
      <c r="R410" s="1" t="s">
        <v>25</v>
      </c>
      <c r="S410" s="2">
        <v>45995.72211805556</v>
      </c>
      <c r="T410" s="2">
        <v>45995.72211805556</v>
      </c>
    </row>
    <row r="411">
      <c r="A411" s="1" t="s">
        <v>566</v>
      </c>
      <c r="B411" s="1">
        <v>2.0</v>
      </c>
      <c r="C411" s="1">
        <v>96.0</v>
      </c>
      <c r="D411" s="1">
        <v>5.57914E7</v>
      </c>
      <c r="E411" s="1" t="s">
        <v>25</v>
      </c>
      <c r="F411" s="1" t="s">
        <v>25</v>
      </c>
      <c r="G411" s="1" t="s">
        <v>25</v>
      </c>
      <c r="H411" s="1" t="s">
        <v>25</v>
      </c>
      <c r="I411" s="1" t="s">
        <v>25</v>
      </c>
      <c r="J411" s="1" t="s">
        <v>25</v>
      </c>
      <c r="K411" s="1" t="s">
        <v>25</v>
      </c>
      <c r="L411" s="1" t="s">
        <v>25</v>
      </c>
      <c r="M411" s="1">
        <v>3.541544563E9</v>
      </c>
      <c r="N411" s="1" t="s">
        <v>1350</v>
      </c>
      <c r="O411" s="1" t="s">
        <v>25</v>
      </c>
      <c r="P411" s="1" t="s">
        <v>25</v>
      </c>
      <c r="Q411" s="1" t="s">
        <v>25</v>
      </c>
      <c r="R411" s="1" t="s">
        <v>25</v>
      </c>
      <c r="S411" s="2">
        <v>45995.75834490741</v>
      </c>
      <c r="T411" s="2">
        <v>45995.75834490741</v>
      </c>
    </row>
    <row r="412">
      <c r="A412" s="1" t="s">
        <v>575</v>
      </c>
      <c r="B412" s="1">
        <v>1.0</v>
      </c>
      <c r="C412" s="1">
        <v>96.0</v>
      </c>
      <c r="D412" s="1">
        <v>3.7438282E7</v>
      </c>
      <c r="E412" s="1" t="s">
        <v>25</v>
      </c>
      <c r="F412" s="1" t="s">
        <v>25</v>
      </c>
      <c r="G412" s="1" t="s">
        <v>25</v>
      </c>
      <c r="H412" s="1" t="s">
        <v>25</v>
      </c>
      <c r="I412" s="1" t="s">
        <v>25</v>
      </c>
      <c r="J412" s="1" t="s">
        <v>25</v>
      </c>
      <c r="K412" s="1" t="s">
        <v>25</v>
      </c>
      <c r="L412" s="1" t="s">
        <v>25</v>
      </c>
      <c r="M412" s="1">
        <v>3.53345739E9</v>
      </c>
      <c r="N412" s="1" t="s">
        <v>1351</v>
      </c>
      <c r="O412" s="1" t="s">
        <v>25</v>
      </c>
      <c r="P412" s="1" t="s">
        <v>25</v>
      </c>
      <c r="Q412" s="1" t="s">
        <v>25</v>
      </c>
      <c r="R412" s="1" t="s">
        <v>25</v>
      </c>
      <c r="S412" s="2">
        <v>45996.4440625</v>
      </c>
      <c r="T412" s="2">
        <v>45996.4440625</v>
      </c>
    </row>
    <row r="413">
      <c r="A413" s="1" t="s">
        <v>569</v>
      </c>
      <c r="B413" s="1">
        <v>2.0</v>
      </c>
      <c r="C413" s="1">
        <v>96.0</v>
      </c>
      <c r="D413" s="1">
        <v>3.8501083E7</v>
      </c>
      <c r="E413" s="1" t="s">
        <v>25</v>
      </c>
      <c r="F413" s="1" t="s">
        <v>25</v>
      </c>
      <c r="G413" s="1" t="s">
        <v>25</v>
      </c>
      <c r="H413" s="1" t="s">
        <v>25</v>
      </c>
      <c r="I413" s="1" t="s">
        <v>25</v>
      </c>
      <c r="J413" s="1" t="s">
        <v>25</v>
      </c>
      <c r="K413" s="1" t="s">
        <v>25</v>
      </c>
      <c r="L413" s="1" t="s">
        <v>25</v>
      </c>
      <c r="M413" s="1">
        <v>3.512630996E9</v>
      </c>
      <c r="N413" s="1" t="s">
        <v>1352</v>
      </c>
      <c r="O413" s="1" t="s">
        <v>25</v>
      </c>
      <c r="P413" s="1" t="s">
        <v>25</v>
      </c>
      <c r="Q413" s="1" t="s">
        <v>25</v>
      </c>
      <c r="R413" s="1" t="s">
        <v>25</v>
      </c>
      <c r="S413" s="2">
        <v>45997.46671296296</v>
      </c>
      <c r="T413" s="2">
        <v>45997.46671296296</v>
      </c>
    </row>
    <row r="414">
      <c r="A414" s="1" t="s">
        <v>570</v>
      </c>
      <c r="B414" s="1">
        <v>1.0</v>
      </c>
      <c r="C414" s="1">
        <v>96.0</v>
      </c>
      <c r="D414" s="1">
        <v>3.9621467E7</v>
      </c>
      <c r="E414" s="1" t="s">
        <v>25</v>
      </c>
      <c r="F414" s="1" t="s">
        <v>25</v>
      </c>
      <c r="G414" s="1" t="s">
        <v>25</v>
      </c>
      <c r="H414" s="1" t="s">
        <v>25</v>
      </c>
      <c r="I414" s="1" t="s">
        <v>25</v>
      </c>
      <c r="J414" s="1" t="s">
        <v>25</v>
      </c>
      <c r="K414" s="1" t="s">
        <v>25</v>
      </c>
      <c r="L414" s="1" t="s">
        <v>25</v>
      </c>
      <c r="M414" s="1">
        <v>3.513761638E9</v>
      </c>
      <c r="N414" s="1" t="s">
        <v>1353</v>
      </c>
      <c r="O414" s="1" t="s">
        <v>25</v>
      </c>
      <c r="P414" s="1" t="s">
        <v>25</v>
      </c>
      <c r="Q414" s="1" t="s">
        <v>25</v>
      </c>
      <c r="R414" s="1" t="s">
        <v>25</v>
      </c>
      <c r="S414" s="2">
        <v>45997.49732638889</v>
      </c>
      <c r="T414" s="2">
        <v>45997.49732638889</v>
      </c>
    </row>
    <row r="415">
      <c r="A415" s="1" t="s">
        <v>571</v>
      </c>
      <c r="B415" s="1">
        <v>2.0</v>
      </c>
      <c r="C415" s="1">
        <v>96.0</v>
      </c>
      <c r="D415" s="1">
        <v>3.6142566E7</v>
      </c>
      <c r="E415" s="1" t="s">
        <v>25</v>
      </c>
      <c r="F415" s="1" t="s">
        <v>25</v>
      </c>
      <c r="G415" s="1" t="s">
        <v>25</v>
      </c>
      <c r="H415" s="1" t="s">
        <v>25</v>
      </c>
      <c r="I415" s="1" t="s">
        <v>25</v>
      </c>
      <c r="J415" s="1" t="s">
        <v>25</v>
      </c>
      <c r="K415" s="1" t="s">
        <v>25</v>
      </c>
      <c r="L415" s="1" t="s">
        <v>25</v>
      </c>
      <c r="M415" s="3" t="str">
        <f>+54 9 3512 65-0410</f>
        <v>#ERROR!</v>
      </c>
      <c r="N415" s="1" t="s">
        <v>1354</v>
      </c>
      <c r="O415" s="1" t="s">
        <v>25</v>
      </c>
      <c r="P415" s="1" t="s">
        <v>25</v>
      </c>
      <c r="Q415" s="1" t="s">
        <v>25</v>
      </c>
      <c r="R415" s="1" t="s">
        <v>25</v>
      </c>
      <c r="S415" s="2">
        <v>46000.7040625</v>
      </c>
      <c r="T415" s="2">
        <v>46000.7040625</v>
      </c>
    </row>
    <row r="416">
      <c r="A416" s="1" t="s">
        <v>572</v>
      </c>
      <c r="B416" s="1">
        <v>2.0</v>
      </c>
      <c r="C416" s="1">
        <v>96.0</v>
      </c>
      <c r="D416" s="1">
        <v>9.2398474E7</v>
      </c>
      <c r="E416" s="1" t="s">
        <v>25</v>
      </c>
      <c r="F416" s="1" t="s">
        <v>25</v>
      </c>
      <c r="G416" s="1" t="s">
        <v>25</v>
      </c>
      <c r="H416" s="1" t="s">
        <v>25</v>
      </c>
      <c r="I416" s="1" t="s">
        <v>25</v>
      </c>
      <c r="J416" s="1" t="s">
        <v>25</v>
      </c>
      <c r="K416" s="1" t="s">
        <v>25</v>
      </c>
      <c r="L416" s="1" t="s">
        <v>25</v>
      </c>
      <c r="M416" s="1">
        <v>3.515203762E9</v>
      </c>
      <c r="N416" s="1" t="s">
        <v>25</v>
      </c>
      <c r="O416" s="1" t="s">
        <v>25</v>
      </c>
      <c r="P416" s="1" t="s">
        <v>25</v>
      </c>
      <c r="Q416" s="1" t="s">
        <v>25</v>
      </c>
      <c r="R416" s="1" t="s">
        <v>25</v>
      </c>
      <c r="S416" s="2">
        <v>46000.70789351852</v>
      </c>
      <c r="T416" s="2">
        <v>46000.70789351852</v>
      </c>
    </row>
    <row r="417">
      <c r="A417" s="1" t="s">
        <v>573</v>
      </c>
      <c r="B417" s="1">
        <v>1.0</v>
      </c>
      <c r="C417" s="1">
        <v>96.0</v>
      </c>
      <c r="D417" s="1">
        <v>3.308346E7</v>
      </c>
      <c r="E417" s="1" t="s">
        <v>25</v>
      </c>
      <c r="F417" s="1" t="s">
        <v>25</v>
      </c>
      <c r="G417" s="1" t="s">
        <v>25</v>
      </c>
      <c r="H417" s="1" t="s">
        <v>25</v>
      </c>
      <c r="I417" s="1" t="s">
        <v>25</v>
      </c>
      <c r="J417" s="1" t="s">
        <v>25</v>
      </c>
      <c r="K417" s="1" t="s">
        <v>25</v>
      </c>
      <c r="L417" s="1" t="s">
        <v>25</v>
      </c>
      <c r="M417" s="3" t="str">
        <f>+54 9 3541 54-4563</f>
        <v>#ERROR!</v>
      </c>
      <c r="N417" s="1" t="s">
        <v>25</v>
      </c>
      <c r="O417" s="1" t="s">
        <v>25</v>
      </c>
      <c r="P417" s="1" t="s">
        <v>25</v>
      </c>
      <c r="Q417" s="1" t="s">
        <v>25</v>
      </c>
      <c r="R417" s="1" t="s">
        <v>25</v>
      </c>
      <c r="S417" s="2">
        <v>46000.71648148148</v>
      </c>
      <c r="T417" s="2">
        <v>46000.71648148148</v>
      </c>
    </row>
    <row r="418">
      <c r="A418" s="1" t="s">
        <v>574</v>
      </c>
      <c r="B418" s="1">
        <v>2.0</v>
      </c>
      <c r="C418" s="1">
        <v>96.0</v>
      </c>
      <c r="D418" s="1">
        <v>0.0</v>
      </c>
      <c r="E418" s="1" t="s">
        <v>25</v>
      </c>
      <c r="F418" s="1" t="s">
        <v>25</v>
      </c>
      <c r="G418" s="1" t="s">
        <v>25</v>
      </c>
      <c r="H418" s="1" t="s">
        <v>25</v>
      </c>
      <c r="I418" s="1" t="s">
        <v>25</v>
      </c>
      <c r="J418" s="1" t="s">
        <v>25</v>
      </c>
      <c r="K418" s="1" t="s">
        <v>25</v>
      </c>
      <c r="L418" s="1" t="s">
        <v>25</v>
      </c>
      <c r="M418" s="1">
        <v>0.0</v>
      </c>
      <c r="N418" s="1" t="s">
        <v>25</v>
      </c>
      <c r="O418" s="1" t="s">
        <v>25</v>
      </c>
      <c r="P418" s="1" t="s">
        <v>25</v>
      </c>
      <c r="Q418" s="1" t="s">
        <v>25</v>
      </c>
      <c r="R418" s="1" t="s">
        <v>25</v>
      </c>
      <c r="S418" s="2">
        <v>46000.718622685185</v>
      </c>
      <c r="T418" s="2">
        <v>46000.718622685185</v>
      </c>
    </row>
    <row r="419">
      <c r="A419" s="1" t="s">
        <v>577</v>
      </c>
      <c r="B419" s="1">
        <v>1.0</v>
      </c>
      <c r="C419" s="1">
        <v>96.0</v>
      </c>
      <c r="D419" s="1">
        <v>4.0802207E7</v>
      </c>
      <c r="E419" s="1" t="s">
        <v>25</v>
      </c>
      <c r="F419" s="1" t="s">
        <v>25</v>
      </c>
      <c r="G419" s="1" t="s">
        <v>25</v>
      </c>
      <c r="H419" s="1" t="s">
        <v>25</v>
      </c>
      <c r="I419" s="1" t="s">
        <v>25</v>
      </c>
      <c r="J419" s="1" t="s">
        <v>25</v>
      </c>
      <c r="K419" s="1" t="s">
        <v>25</v>
      </c>
      <c r="L419" s="1" t="s">
        <v>25</v>
      </c>
      <c r="M419" s="1">
        <v>3.513259296E9</v>
      </c>
      <c r="N419" s="1" t="s">
        <v>1355</v>
      </c>
      <c r="O419" s="1" t="s">
        <v>25</v>
      </c>
      <c r="P419" s="1" t="s">
        <v>25</v>
      </c>
      <c r="Q419" s="1" t="s">
        <v>25</v>
      </c>
      <c r="R419" s="1" t="s">
        <v>25</v>
      </c>
      <c r="S419" s="2">
        <v>46003.7218287037</v>
      </c>
      <c r="T419" s="2">
        <v>46003.7218287037</v>
      </c>
    </row>
    <row r="420">
      <c r="A420" s="1" t="s">
        <v>579</v>
      </c>
      <c r="B420" s="1">
        <v>1.0</v>
      </c>
      <c r="C420" s="1">
        <v>96.0</v>
      </c>
      <c r="D420" s="1">
        <v>1.4982492E7</v>
      </c>
      <c r="E420" s="1" t="s">
        <v>25</v>
      </c>
      <c r="F420" s="1" t="s">
        <v>25</v>
      </c>
      <c r="G420" s="1" t="s">
        <v>25</v>
      </c>
      <c r="H420" s="1" t="s">
        <v>25</v>
      </c>
      <c r="I420" s="1" t="s">
        <v>25</v>
      </c>
      <c r="J420" s="1" t="s">
        <v>25</v>
      </c>
      <c r="K420" s="1" t="s">
        <v>25</v>
      </c>
      <c r="L420" s="1" t="s">
        <v>25</v>
      </c>
      <c r="M420" s="1">
        <v>3.513248088E9</v>
      </c>
      <c r="N420" s="1" t="s">
        <v>1356</v>
      </c>
      <c r="O420" s="1" t="s">
        <v>25</v>
      </c>
      <c r="P420" s="1" t="s">
        <v>25</v>
      </c>
      <c r="Q420" s="1" t="s">
        <v>25</v>
      </c>
      <c r="R420" s="1" t="s">
        <v>25</v>
      </c>
      <c r="S420" s="2">
        <v>46007.72393518518</v>
      </c>
      <c r="T420" s="2">
        <v>46007.72393518518</v>
      </c>
    </row>
    <row r="421">
      <c r="A421" s="1" t="s">
        <v>580</v>
      </c>
      <c r="B421" s="1">
        <v>1.0</v>
      </c>
      <c r="C421" s="1">
        <v>96.0</v>
      </c>
      <c r="D421" s="1">
        <v>3.670598E7</v>
      </c>
      <c r="E421" s="1" t="s">
        <v>25</v>
      </c>
      <c r="F421" s="1" t="s">
        <v>25</v>
      </c>
      <c r="G421" s="1" t="s">
        <v>25</v>
      </c>
      <c r="H421" s="1" t="s">
        <v>25</v>
      </c>
      <c r="I421" s="1" t="s">
        <v>25</v>
      </c>
      <c r="J421" s="1" t="s">
        <v>25</v>
      </c>
      <c r="K421" s="1" t="s">
        <v>25</v>
      </c>
      <c r="L421" s="1" t="s">
        <v>25</v>
      </c>
      <c r="M421" s="3" t="str">
        <f>+54 9 3385 53-0201</f>
        <v>#ERROR!</v>
      </c>
      <c r="N421" s="1" t="s">
        <v>25</v>
      </c>
      <c r="O421" s="1" t="s">
        <v>25</v>
      </c>
      <c r="P421" s="1" t="s">
        <v>25</v>
      </c>
      <c r="Q421" s="1" t="s">
        <v>25</v>
      </c>
      <c r="R421" s="1" t="s">
        <v>25</v>
      </c>
      <c r="S421" s="2">
        <v>46007.7759375</v>
      </c>
      <c r="T421" s="2">
        <v>46007.7759375</v>
      </c>
    </row>
    <row r="422">
      <c r="A422" s="1" t="s">
        <v>581</v>
      </c>
      <c r="B422" s="1">
        <v>1.0</v>
      </c>
      <c r="C422" s="1">
        <v>96.0</v>
      </c>
      <c r="D422" s="1">
        <v>4.2476339E7</v>
      </c>
      <c r="E422" s="1" t="s">
        <v>25</v>
      </c>
      <c r="F422" s="1" t="s">
        <v>25</v>
      </c>
      <c r="G422" s="1" t="s">
        <v>25</v>
      </c>
      <c r="H422" s="1" t="s">
        <v>25</v>
      </c>
      <c r="I422" s="1" t="s">
        <v>25</v>
      </c>
      <c r="J422" s="1" t="s">
        <v>25</v>
      </c>
      <c r="K422" s="1" t="s">
        <v>25</v>
      </c>
      <c r="L422" s="1" t="s">
        <v>25</v>
      </c>
      <c r="M422" s="1">
        <v>3.512440349E9</v>
      </c>
      <c r="N422" s="1" t="s">
        <v>1357</v>
      </c>
      <c r="O422" s="1" t="s">
        <v>25</v>
      </c>
      <c r="P422" s="1" t="s">
        <v>25</v>
      </c>
      <c r="Q422" s="1" t="s">
        <v>25</v>
      </c>
      <c r="R422" s="1" t="s">
        <v>25</v>
      </c>
      <c r="S422" s="2">
        <v>46007.7937962963</v>
      </c>
      <c r="T422" s="2">
        <v>46007.7937962963</v>
      </c>
    </row>
    <row r="423">
      <c r="A423" s="1" t="s">
        <v>582</v>
      </c>
      <c r="B423" s="1">
        <v>2.0</v>
      </c>
      <c r="C423" s="1">
        <v>96.0</v>
      </c>
      <c r="D423" s="1">
        <v>1.6729699E7</v>
      </c>
      <c r="E423" s="1" t="s">
        <v>25</v>
      </c>
      <c r="F423" s="1" t="s">
        <v>25</v>
      </c>
      <c r="G423" s="1" t="s">
        <v>25</v>
      </c>
      <c r="H423" s="1" t="s">
        <v>25</v>
      </c>
      <c r="I423" s="1" t="s">
        <v>25</v>
      </c>
      <c r="J423" s="1" t="s">
        <v>25</v>
      </c>
      <c r="K423" s="1" t="s">
        <v>25</v>
      </c>
      <c r="L423" s="1" t="s">
        <v>25</v>
      </c>
      <c r="M423" s="1" t="s">
        <v>1358</v>
      </c>
      <c r="N423" s="1" t="s">
        <v>1359</v>
      </c>
      <c r="O423" s="1" t="s">
        <v>25</v>
      </c>
      <c r="P423" s="1" t="s">
        <v>25</v>
      </c>
      <c r="Q423" s="1" t="s">
        <v>25</v>
      </c>
      <c r="R423" s="1" t="s">
        <v>25</v>
      </c>
      <c r="S423" s="2">
        <v>46008.490590277775</v>
      </c>
      <c r="T423" s="2">
        <v>46008.490590277775</v>
      </c>
    </row>
    <row r="424">
      <c r="A424" s="1" t="s">
        <v>584</v>
      </c>
      <c r="B424" s="1">
        <v>2.0</v>
      </c>
      <c r="C424" s="1">
        <v>96.0</v>
      </c>
      <c r="D424" s="1">
        <v>1.0166475E7</v>
      </c>
      <c r="E424" s="1" t="s">
        <v>25</v>
      </c>
      <c r="F424" s="1" t="s">
        <v>25</v>
      </c>
      <c r="G424" s="1" t="s">
        <v>25</v>
      </c>
      <c r="H424" s="1" t="s">
        <v>25</v>
      </c>
      <c r="I424" s="1" t="s">
        <v>25</v>
      </c>
      <c r="J424" s="1" t="s">
        <v>25</v>
      </c>
      <c r="K424" s="1" t="s">
        <v>25</v>
      </c>
      <c r="L424" s="1" t="s">
        <v>25</v>
      </c>
      <c r="M424" s="1">
        <v>3.513715605E9</v>
      </c>
      <c r="N424" s="1" t="s">
        <v>1360</v>
      </c>
      <c r="O424" s="1" t="s">
        <v>25</v>
      </c>
      <c r="P424" s="1" t="s">
        <v>25</v>
      </c>
      <c r="Q424" s="1" t="s">
        <v>25</v>
      </c>
      <c r="R424" s="1" t="s">
        <v>25</v>
      </c>
      <c r="S424" s="2">
        <v>46009.47844907407</v>
      </c>
      <c r="T424" s="2">
        <v>46009.47844907407</v>
      </c>
    </row>
    <row r="425">
      <c r="A425" s="1" t="s">
        <v>585</v>
      </c>
      <c r="B425" s="1">
        <v>1.0</v>
      </c>
      <c r="C425" s="1">
        <v>96.0</v>
      </c>
      <c r="D425" s="1">
        <v>4.6305956E7</v>
      </c>
      <c r="E425" s="1" t="s">
        <v>25</v>
      </c>
      <c r="F425" s="1" t="s">
        <v>25</v>
      </c>
      <c r="G425" s="1" t="s">
        <v>25</v>
      </c>
      <c r="H425" s="1" t="s">
        <v>25</v>
      </c>
      <c r="I425" s="1" t="s">
        <v>25</v>
      </c>
      <c r="J425" s="1" t="s">
        <v>25</v>
      </c>
      <c r="K425" s="1" t="s">
        <v>25</v>
      </c>
      <c r="L425" s="1" t="s">
        <v>25</v>
      </c>
      <c r="M425" s="1">
        <v>3.543516797E9</v>
      </c>
      <c r="N425" s="1" t="s">
        <v>1361</v>
      </c>
      <c r="O425" s="1" t="s">
        <v>25</v>
      </c>
      <c r="P425" s="1" t="s">
        <v>25</v>
      </c>
      <c r="Q425" s="1" t="s">
        <v>25</v>
      </c>
      <c r="R425" s="1" t="s">
        <v>25</v>
      </c>
      <c r="S425" s="2">
        <v>46009.7065162037</v>
      </c>
      <c r="T425" s="2">
        <v>46009.7065162037</v>
      </c>
    </row>
    <row r="426">
      <c r="A426" s="1" t="s">
        <v>586</v>
      </c>
      <c r="B426" s="1">
        <v>1.0</v>
      </c>
      <c r="C426" s="1">
        <v>96.0</v>
      </c>
      <c r="D426" s="1">
        <v>3.917467E7</v>
      </c>
      <c r="E426" s="1" t="s">
        <v>25</v>
      </c>
      <c r="F426" s="1" t="s">
        <v>25</v>
      </c>
      <c r="G426" s="1" t="s">
        <v>25</v>
      </c>
      <c r="H426" s="1" t="s">
        <v>25</v>
      </c>
      <c r="I426" s="1" t="s">
        <v>25</v>
      </c>
      <c r="J426" s="1" t="s">
        <v>25</v>
      </c>
      <c r="K426" s="1" t="s">
        <v>25</v>
      </c>
      <c r="L426" s="1" t="s">
        <v>25</v>
      </c>
      <c r="M426" s="1">
        <v>3.572546478E9</v>
      </c>
      <c r="N426" s="1" t="s">
        <v>1362</v>
      </c>
      <c r="O426" s="1" t="s">
        <v>25</v>
      </c>
      <c r="P426" s="1" t="s">
        <v>25</v>
      </c>
      <c r="Q426" s="1" t="s">
        <v>25</v>
      </c>
      <c r="R426" s="1" t="s">
        <v>25</v>
      </c>
      <c r="S426" s="2">
        <v>46009.811631944445</v>
      </c>
      <c r="T426" s="2">
        <v>46009.811631944445</v>
      </c>
    </row>
    <row r="427">
      <c r="A427" s="1" t="s">
        <v>610</v>
      </c>
      <c r="B427" s="1">
        <v>2.0</v>
      </c>
      <c r="C427" s="1">
        <v>96.0</v>
      </c>
      <c r="D427" s="1">
        <v>2.2371446E7</v>
      </c>
      <c r="E427" s="1">
        <v>2.147483647E9</v>
      </c>
      <c r="F427" s="1" t="s">
        <v>25</v>
      </c>
      <c r="G427" s="1" t="s">
        <v>25</v>
      </c>
      <c r="H427" s="1" t="s">
        <v>25</v>
      </c>
      <c r="I427" s="1" t="s">
        <v>25</v>
      </c>
      <c r="J427" s="1" t="s">
        <v>25</v>
      </c>
      <c r="K427" s="1" t="s">
        <v>25</v>
      </c>
      <c r="L427" s="1" t="s">
        <v>25</v>
      </c>
      <c r="M427" s="1">
        <v>1.7654097452E10</v>
      </c>
      <c r="N427" s="1" t="s">
        <v>1363</v>
      </c>
      <c r="O427" s="1" t="s">
        <v>25</v>
      </c>
      <c r="P427" s="1" t="s">
        <v>25</v>
      </c>
      <c r="Q427" s="1" t="s">
        <v>25</v>
      </c>
      <c r="R427" s="1" t="s">
        <v>25</v>
      </c>
      <c r="S427" s="2">
        <v>46013.801099537035</v>
      </c>
      <c r="T427" s="2">
        <v>46013.801099537035</v>
      </c>
    </row>
    <row r="428">
      <c r="A428" s="1" t="s">
        <v>587</v>
      </c>
      <c r="B428" s="1">
        <v>1.0</v>
      </c>
      <c r="C428" s="1">
        <v>96.0</v>
      </c>
      <c r="D428" s="1">
        <v>2.6901841E7</v>
      </c>
      <c r="E428" s="1" t="s">
        <v>25</v>
      </c>
      <c r="F428" s="1" t="s">
        <v>25</v>
      </c>
      <c r="G428" s="1" t="s">
        <v>25</v>
      </c>
      <c r="H428" s="1" t="s">
        <v>25</v>
      </c>
      <c r="I428" s="1" t="s">
        <v>25</v>
      </c>
      <c r="J428" s="1" t="s">
        <v>25</v>
      </c>
      <c r="K428" s="1" t="s">
        <v>25</v>
      </c>
      <c r="L428" s="1" t="s">
        <v>25</v>
      </c>
      <c r="M428" s="1">
        <v>3.512370337E9</v>
      </c>
      <c r="N428" s="1" t="s">
        <v>1364</v>
      </c>
      <c r="O428" s="1" t="s">
        <v>25</v>
      </c>
      <c r="P428" s="1" t="s">
        <v>25</v>
      </c>
      <c r="Q428" s="1" t="s">
        <v>25</v>
      </c>
      <c r="R428" s="1" t="s">
        <v>25</v>
      </c>
      <c r="S428" s="2">
        <v>46014.467939814815</v>
      </c>
      <c r="T428" s="2">
        <v>46014.467939814815</v>
      </c>
    </row>
    <row r="429">
      <c r="A429" s="1" t="s">
        <v>588</v>
      </c>
      <c r="B429" s="1">
        <v>1.0</v>
      </c>
      <c r="C429" s="1">
        <v>96.0</v>
      </c>
      <c r="D429" s="1">
        <v>2.524695E7</v>
      </c>
      <c r="E429" s="1" t="s">
        <v>25</v>
      </c>
      <c r="F429" s="1" t="s">
        <v>25</v>
      </c>
      <c r="G429" s="1" t="s">
        <v>25</v>
      </c>
      <c r="H429" s="1" t="s">
        <v>25</v>
      </c>
      <c r="I429" s="1" t="s">
        <v>25</v>
      </c>
      <c r="J429" s="1" t="s">
        <v>25</v>
      </c>
      <c r="K429" s="1" t="s">
        <v>25</v>
      </c>
      <c r="L429" s="1" t="s">
        <v>25</v>
      </c>
      <c r="M429" s="1">
        <v>3.518059823E9</v>
      </c>
      <c r="N429" s="1" t="s">
        <v>25</v>
      </c>
      <c r="O429" s="1" t="s">
        <v>25</v>
      </c>
      <c r="P429" s="1" t="s">
        <v>25</v>
      </c>
      <c r="Q429" s="1" t="s">
        <v>25</v>
      </c>
      <c r="R429" s="1" t="s">
        <v>25</v>
      </c>
      <c r="S429" s="2">
        <v>46014.65694444445</v>
      </c>
      <c r="T429" s="2">
        <v>46014.65694444445</v>
      </c>
    </row>
    <row r="430">
      <c r="A430" s="1" t="s">
        <v>589</v>
      </c>
      <c r="B430" s="1">
        <v>2.0</v>
      </c>
      <c r="C430" s="1">
        <v>96.0</v>
      </c>
      <c r="D430" s="1">
        <v>2.7738927E7</v>
      </c>
      <c r="E430" s="1" t="s">
        <v>25</v>
      </c>
      <c r="F430" s="1" t="s">
        <v>25</v>
      </c>
      <c r="G430" s="1" t="s">
        <v>25</v>
      </c>
      <c r="H430" s="1" t="s">
        <v>25</v>
      </c>
      <c r="I430" s="1" t="s">
        <v>1365</v>
      </c>
      <c r="J430" s="1" t="s">
        <v>25</v>
      </c>
      <c r="K430" s="1">
        <v>531.0</v>
      </c>
      <c r="L430" s="1">
        <v>2.0</v>
      </c>
      <c r="M430" s="1">
        <v>9.1162699272E10</v>
      </c>
      <c r="N430" s="1" t="s">
        <v>1366</v>
      </c>
      <c r="O430" s="1" t="s">
        <v>25</v>
      </c>
      <c r="P430" s="1" t="s">
        <v>25</v>
      </c>
      <c r="Q430" s="1" t="s">
        <v>25</v>
      </c>
      <c r="R430" s="1" t="s">
        <v>25</v>
      </c>
      <c r="S430" s="2">
        <v>46014.675532407404</v>
      </c>
      <c r="T430" s="2">
        <v>46014.675532407404</v>
      </c>
    </row>
    <row r="431">
      <c r="A431" s="1" t="s">
        <v>590</v>
      </c>
      <c r="B431" s="1">
        <v>2.0</v>
      </c>
      <c r="C431" s="1">
        <v>96.0</v>
      </c>
      <c r="D431" s="1">
        <v>3.4246543E7</v>
      </c>
      <c r="E431" s="1" t="s">
        <v>25</v>
      </c>
      <c r="F431" s="1" t="s">
        <v>25</v>
      </c>
      <c r="G431" s="1" t="s">
        <v>25</v>
      </c>
      <c r="H431" s="1" t="s">
        <v>25</v>
      </c>
      <c r="I431" s="1" t="s">
        <v>25</v>
      </c>
      <c r="J431" s="1" t="s">
        <v>25</v>
      </c>
      <c r="K431" s="1" t="s">
        <v>25</v>
      </c>
      <c r="L431" s="1" t="s">
        <v>25</v>
      </c>
      <c r="M431" s="1">
        <v>3.513015973E9</v>
      </c>
      <c r="N431" s="1" t="s">
        <v>1367</v>
      </c>
      <c r="O431" s="1" t="s">
        <v>25</v>
      </c>
      <c r="P431" s="1" t="s">
        <v>25</v>
      </c>
      <c r="Q431" s="1" t="s">
        <v>25</v>
      </c>
      <c r="R431" s="1" t="s">
        <v>25</v>
      </c>
      <c r="S431" s="2">
        <v>46014.67903935185</v>
      </c>
      <c r="T431" s="2">
        <v>46014.67903935185</v>
      </c>
    </row>
    <row r="432">
      <c r="A432" s="1" t="s">
        <v>591</v>
      </c>
      <c r="B432" s="1">
        <v>1.0</v>
      </c>
      <c r="C432" s="1">
        <v>96.0</v>
      </c>
      <c r="D432" s="1">
        <v>3.822907E7</v>
      </c>
      <c r="E432" s="1" t="s">
        <v>25</v>
      </c>
      <c r="F432" s="1" t="s">
        <v>25</v>
      </c>
      <c r="G432" s="1" t="s">
        <v>25</v>
      </c>
      <c r="H432" s="1" t="s">
        <v>25</v>
      </c>
      <c r="I432" s="1" t="s">
        <v>25</v>
      </c>
      <c r="J432" s="1" t="s">
        <v>25</v>
      </c>
      <c r="K432" s="1" t="s">
        <v>25</v>
      </c>
      <c r="L432" s="1" t="s">
        <v>25</v>
      </c>
      <c r="M432" s="1">
        <v>3.512381226E9</v>
      </c>
      <c r="N432" s="1" t="s">
        <v>25</v>
      </c>
      <c r="O432" s="1" t="s">
        <v>25</v>
      </c>
      <c r="P432" s="1" t="s">
        <v>25</v>
      </c>
      <c r="Q432" s="1" t="s">
        <v>25</v>
      </c>
      <c r="R432" s="1" t="s">
        <v>25</v>
      </c>
      <c r="S432" s="2">
        <v>46014.68445601852</v>
      </c>
      <c r="T432" s="2">
        <v>46014.68445601852</v>
      </c>
    </row>
    <row r="433">
      <c r="A433" s="1" t="s">
        <v>592</v>
      </c>
      <c r="B433" s="1">
        <v>1.0</v>
      </c>
      <c r="C433" s="1">
        <v>96.0</v>
      </c>
      <c r="D433" s="1">
        <v>2.0150817E7</v>
      </c>
      <c r="E433" s="1" t="s">
        <v>25</v>
      </c>
      <c r="F433" s="1" t="s">
        <v>25</v>
      </c>
      <c r="G433" s="1" t="s">
        <v>25</v>
      </c>
      <c r="H433" s="5">
        <v>24879.0</v>
      </c>
      <c r="I433" s="1" t="s">
        <v>25</v>
      </c>
      <c r="J433" s="1" t="s">
        <v>25</v>
      </c>
      <c r="K433" s="1" t="s">
        <v>25</v>
      </c>
      <c r="L433" s="1" t="s">
        <v>25</v>
      </c>
      <c r="M433" s="1">
        <v>3.543315813E9</v>
      </c>
      <c r="N433" s="1" t="s">
        <v>1368</v>
      </c>
      <c r="O433" s="1" t="s">
        <v>25</v>
      </c>
      <c r="P433" s="1" t="s">
        <v>25</v>
      </c>
      <c r="Q433" s="1" t="s">
        <v>25</v>
      </c>
      <c r="R433" s="1" t="s">
        <v>25</v>
      </c>
      <c r="S433" s="2">
        <v>46014.68622685185</v>
      </c>
      <c r="T433" s="2">
        <v>46014.68622685185</v>
      </c>
    </row>
    <row r="434">
      <c r="A434" s="1" t="s">
        <v>613</v>
      </c>
      <c r="B434" s="1" t="s">
        <v>25</v>
      </c>
      <c r="C434" s="1">
        <v>96.0</v>
      </c>
      <c r="D434" s="1">
        <v>3.9072088E7</v>
      </c>
      <c r="E434" s="1" t="s">
        <v>25</v>
      </c>
      <c r="F434" s="1" t="s">
        <v>25</v>
      </c>
      <c r="G434" s="1" t="s">
        <v>25</v>
      </c>
      <c r="H434" s="1" t="s">
        <v>25</v>
      </c>
      <c r="I434" s="1" t="s">
        <v>25</v>
      </c>
      <c r="J434" s="1" t="s">
        <v>25</v>
      </c>
      <c r="K434" s="1" t="s">
        <v>25</v>
      </c>
      <c r="L434" s="1" t="s">
        <v>25</v>
      </c>
      <c r="M434" s="1">
        <v>3.516874935E9</v>
      </c>
      <c r="N434" s="1" t="s">
        <v>1369</v>
      </c>
      <c r="O434" s="1" t="s">
        <v>25</v>
      </c>
      <c r="P434" s="1" t="s">
        <v>25</v>
      </c>
      <c r="Q434" s="1" t="s">
        <v>25</v>
      </c>
      <c r="R434" s="1" t="s">
        <v>25</v>
      </c>
      <c r="S434" s="2">
        <v>46014.70657407407</v>
      </c>
      <c r="T434" s="2">
        <v>46014.70657407407</v>
      </c>
    </row>
    <row r="435">
      <c r="A435" s="1" t="s">
        <v>593</v>
      </c>
      <c r="B435" s="1">
        <v>1.0</v>
      </c>
      <c r="C435" s="1">
        <v>96.0</v>
      </c>
      <c r="D435" s="1">
        <v>3612578.0</v>
      </c>
      <c r="E435" s="1" t="s">
        <v>25</v>
      </c>
      <c r="F435" s="1" t="s">
        <v>25</v>
      </c>
      <c r="G435" s="1" t="s">
        <v>25</v>
      </c>
      <c r="H435" s="1" t="s">
        <v>25</v>
      </c>
      <c r="I435" s="1" t="s">
        <v>25</v>
      </c>
      <c r="J435" s="1" t="s">
        <v>25</v>
      </c>
      <c r="K435" s="1" t="s">
        <v>25</v>
      </c>
      <c r="L435" s="1" t="s">
        <v>25</v>
      </c>
      <c r="M435" s="1">
        <v>3.513860211E9</v>
      </c>
      <c r="N435" s="1" t="s">
        <v>25</v>
      </c>
      <c r="O435" s="1" t="s">
        <v>25</v>
      </c>
      <c r="P435" s="1" t="s">
        <v>25</v>
      </c>
      <c r="Q435" s="1" t="s">
        <v>25</v>
      </c>
      <c r="R435" s="1" t="s">
        <v>25</v>
      </c>
      <c r="S435" s="2">
        <v>46015.65400462963</v>
      </c>
      <c r="T435" s="2">
        <v>46015.65400462963</v>
      </c>
    </row>
    <row r="436">
      <c r="A436" s="1" t="s">
        <v>594</v>
      </c>
      <c r="B436" s="1">
        <v>1.0</v>
      </c>
      <c r="C436" s="1">
        <v>96.0</v>
      </c>
      <c r="D436" s="1">
        <v>1.7651414E7</v>
      </c>
      <c r="E436" s="1" t="s">
        <v>25</v>
      </c>
      <c r="F436" s="1" t="s">
        <v>25</v>
      </c>
      <c r="G436" s="1" t="s">
        <v>25</v>
      </c>
      <c r="H436" s="1" t="s">
        <v>25</v>
      </c>
      <c r="I436" s="1" t="s">
        <v>25</v>
      </c>
      <c r="J436" s="1" t="s">
        <v>25</v>
      </c>
      <c r="K436" s="1" t="s">
        <v>25</v>
      </c>
      <c r="L436" s="1" t="s">
        <v>25</v>
      </c>
      <c r="M436" s="1" t="s">
        <v>1370</v>
      </c>
      <c r="N436" s="1" t="s">
        <v>1371</v>
      </c>
      <c r="O436" s="1" t="s">
        <v>25</v>
      </c>
      <c r="P436" s="1" t="s">
        <v>25</v>
      </c>
      <c r="Q436" s="1" t="s">
        <v>25</v>
      </c>
      <c r="R436" s="1" t="s">
        <v>25</v>
      </c>
      <c r="S436" s="2">
        <v>46017.44236111111</v>
      </c>
      <c r="T436" s="2">
        <v>46017.44236111111</v>
      </c>
    </row>
    <row r="437">
      <c r="A437" s="1" t="s">
        <v>596</v>
      </c>
      <c r="B437" s="1">
        <v>1.0</v>
      </c>
      <c r="C437" s="1">
        <v>96.0</v>
      </c>
      <c r="D437" s="1">
        <v>3.7191177E7</v>
      </c>
      <c r="E437" s="1" t="s">
        <v>25</v>
      </c>
      <c r="F437" s="1" t="s">
        <v>25</v>
      </c>
      <c r="G437" s="1" t="s">
        <v>25</v>
      </c>
      <c r="H437" s="1" t="s">
        <v>25</v>
      </c>
      <c r="I437" s="1" t="s">
        <v>25</v>
      </c>
      <c r="J437" s="1" t="s">
        <v>25</v>
      </c>
      <c r="K437" s="1" t="s">
        <v>25</v>
      </c>
      <c r="L437" s="1" t="s">
        <v>25</v>
      </c>
      <c r="M437" s="1" t="s">
        <v>1372</v>
      </c>
      <c r="N437" s="1" t="s">
        <v>1373</v>
      </c>
      <c r="O437" s="1" t="s">
        <v>25</v>
      </c>
      <c r="P437" s="1" t="s">
        <v>25</v>
      </c>
      <c r="Q437" s="1" t="s">
        <v>25</v>
      </c>
      <c r="R437" s="1" t="s">
        <v>25</v>
      </c>
      <c r="S437" s="2">
        <v>46017.54893518519</v>
      </c>
      <c r="T437" s="2">
        <v>46017.54893518519</v>
      </c>
    </row>
    <row r="438">
      <c r="A438" s="1" t="s">
        <v>598</v>
      </c>
      <c r="B438" s="1">
        <v>1.0</v>
      </c>
      <c r="C438" s="1">
        <v>96.0</v>
      </c>
      <c r="D438" s="1">
        <v>2.8648646E7</v>
      </c>
      <c r="E438" s="1" t="s">
        <v>25</v>
      </c>
      <c r="F438" s="1" t="s">
        <v>25</v>
      </c>
      <c r="G438" s="1" t="s">
        <v>25</v>
      </c>
      <c r="H438" s="1" t="s">
        <v>25</v>
      </c>
      <c r="I438" s="1" t="s">
        <v>25</v>
      </c>
      <c r="J438" s="1" t="s">
        <v>25</v>
      </c>
      <c r="K438" s="1" t="s">
        <v>25</v>
      </c>
      <c r="L438" s="1" t="s">
        <v>25</v>
      </c>
      <c r="M438" s="1">
        <v>3.51876777E8</v>
      </c>
      <c r="N438" s="1" t="s">
        <v>1374</v>
      </c>
      <c r="O438" s="1" t="s">
        <v>25</v>
      </c>
      <c r="P438" s="1" t="s">
        <v>25</v>
      </c>
      <c r="Q438" s="1" t="s">
        <v>25</v>
      </c>
      <c r="R438" s="1" t="s">
        <v>25</v>
      </c>
      <c r="S438" s="2">
        <v>46017.713472222225</v>
      </c>
      <c r="T438" s="2">
        <v>46017.713472222225</v>
      </c>
    </row>
    <row r="439">
      <c r="A439" s="1" t="s">
        <v>1375</v>
      </c>
      <c r="B439" s="1">
        <v>1.0</v>
      </c>
      <c r="C439" s="1">
        <v>96.0</v>
      </c>
      <c r="D439" s="1">
        <v>0.0</v>
      </c>
      <c r="E439" s="1" t="s">
        <v>25</v>
      </c>
      <c r="F439" s="1" t="s">
        <v>25</v>
      </c>
      <c r="G439" s="1" t="s">
        <v>25</v>
      </c>
      <c r="H439" s="1" t="s">
        <v>25</v>
      </c>
      <c r="I439" s="1" t="s">
        <v>25</v>
      </c>
      <c r="J439" s="1" t="s">
        <v>25</v>
      </c>
      <c r="K439" s="1" t="s">
        <v>25</v>
      </c>
      <c r="L439" s="1" t="s">
        <v>25</v>
      </c>
      <c r="M439" s="1">
        <v>3.517473083E9</v>
      </c>
      <c r="N439" s="1" t="s">
        <v>25</v>
      </c>
      <c r="O439" s="1" t="s">
        <v>25</v>
      </c>
      <c r="P439" s="1" t="s">
        <v>25</v>
      </c>
      <c r="Q439" s="1" t="s">
        <v>25</v>
      </c>
      <c r="R439" s="1" t="s">
        <v>25</v>
      </c>
      <c r="S439" s="2">
        <v>46017.77128472222</v>
      </c>
      <c r="T439" s="2">
        <v>46017.77128472222</v>
      </c>
    </row>
    <row r="440">
      <c r="A440" s="1" t="s">
        <v>599</v>
      </c>
      <c r="B440" s="1">
        <v>1.0</v>
      </c>
      <c r="C440" s="1">
        <v>96.0</v>
      </c>
      <c r="D440" s="1">
        <v>3.4441741E7</v>
      </c>
      <c r="E440" s="1" t="s">
        <v>25</v>
      </c>
      <c r="F440" s="1" t="s">
        <v>25</v>
      </c>
      <c r="G440" s="1" t="s">
        <v>25</v>
      </c>
      <c r="H440" s="1" t="s">
        <v>25</v>
      </c>
      <c r="I440" s="1" t="s">
        <v>25</v>
      </c>
      <c r="J440" s="1" t="s">
        <v>25</v>
      </c>
      <c r="K440" s="1" t="s">
        <v>25</v>
      </c>
      <c r="L440" s="1" t="s">
        <v>25</v>
      </c>
      <c r="M440" s="3" t="str">
        <f>+54 9 3512 25-5061</f>
        <v>#ERROR!</v>
      </c>
      <c r="N440" s="1" t="s">
        <v>25</v>
      </c>
      <c r="O440" s="1" t="s">
        <v>25</v>
      </c>
      <c r="P440" s="1" t="s">
        <v>25</v>
      </c>
      <c r="Q440" s="1" t="s">
        <v>25</v>
      </c>
      <c r="R440" s="1" t="s">
        <v>25</v>
      </c>
      <c r="S440" s="2">
        <v>46017.791655092595</v>
      </c>
      <c r="T440" s="2">
        <v>46017.791655092595</v>
      </c>
    </row>
    <row r="441">
      <c r="A441" s="1" t="s">
        <v>600</v>
      </c>
      <c r="B441" s="1">
        <v>1.0</v>
      </c>
      <c r="C441" s="1">
        <v>96.0</v>
      </c>
      <c r="D441" s="1">
        <v>0.0</v>
      </c>
      <c r="E441" s="1" t="s">
        <v>25</v>
      </c>
      <c r="F441" s="1" t="s">
        <v>25</v>
      </c>
      <c r="G441" s="1" t="s">
        <v>25</v>
      </c>
      <c r="H441" s="1" t="s">
        <v>25</v>
      </c>
      <c r="I441" s="1" t="s">
        <v>25</v>
      </c>
      <c r="J441" s="1" t="s">
        <v>25</v>
      </c>
      <c r="K441" s="1" t="s">
        <v>25</v>
      </c>
      <c r="L441" s="1" t="s">
        <v>25</v>
      </c>
      <c r="M441" s="1">
        <v>3.513778979E9</v>
      </c>
      <c r="N441" s="1" t="s">
        <v>25</v>
      </c>
      <c r="O441" s="1" t="s">
        <v>25</v>
      </c>
      <c r="P441" s="1" t="s">
        <v>25</v>
      </c>
      <c r="Q441" s="1" t="s">
        <v>25</v>
      </c>
      <c r="R441" s="1" t="s">
        <v>25</v>
      </c>
      <c r="S441" s="2">
        <v>46017.79813657407</v>
      </c>
      <c r="T441" s="2">
        <v>46017.79813657407</v>
      </c>
    </row>
    <row r="442">
      <c r="A442" s="1" t="s">
        <v>601</v>
      </c>
      <c r="B442" s="1">
        <v>2.0</v>
      </c>
      <c r="C442" s="1">
        <v>96.0</v>
      </c>
      <c r="D442" s="1">
        <v>3.4456066E7</v>
      </c>
      <c r="E442" s="1" t="s">
        <v>25</v>
      </c>
      <c r="F442" s="1" t="s">
        <v>25</v>
      </c>
      <c r="G442" s="1" t="s">
        <v>25</v>
      </c>
      <c r="H442" s="1" t="s">
        <v>25</v>
      </c>
      <c r="I442" s="1" t="s">
        <v>25</v>
      </c>
      <c r="J442" s="1" t="s">
        <v>25</v>
      </c>
      <c r="K442" s="1" t="s">
        <v>25</v>
      </c>
      <c r="L442" s="1" t="s">
        <v>25</v>
      </c>
      <c r="M442" s="3" t="str">
        <f>+54 9 3518 03-2687</f>
        <v>#ERROR!</v>
      </c>
      <c r="N442" s="1" t="s">
        <v>25</v>
      </c>
      <c r="O442" s="1" t="s">
        <v>25</v>
      </c>
      <c r="P442" s="1" t="s">
        <v>25</v>
      </c>
      <c r="Q442" s="1" t="s">
        <v>25</v>
      </c>
      <c r="R442" s="1" t="s">
        <v>25</v>
      </c>
      <c r="S442" s="2">
        <v>46017.79922453704</v>
      </c>
      <c r="T442" s="2">
        <v>46017.79922453704</v>
      </c>
    </row>
    <row r="443">
      <c r="A443" s="1" t="s">
        <v>602</v>
      </c>
      <c r="B443" s="1">
        <v>1.0</v>
      </c>
      <c r="C443" s="1">
        <v>96.0</v>
      </c>
      <c r="D443" s="1">
        <v>1.7940354E7</v>
      </c>
      <c r="E443" s="1" t="s">
        <v>25</v>
      </c>
      <c r="F443" s="1" t="s">
        <v>25</v>
      </c>
      <c r="G443" s="1" t="s">
        <v>25</v>
      </c>
      <c r="H443" s="1" t="s">
        <v>25</v>
      </c>
      <c r="I443" s="1" t="s">
        <v>25</v>
      </c>
      <c r="J443" s="1" t="s">
        <v>25</v>
      </c>
      <c r="K443" s="1" t="s">
        <v>25</v>
      </c>
      <c r="L443" s="1" t="s">
        <v>25</v>
      </c>
      <c r="M443" s="1">
        <v>3.517473083E9</v>
      </c>
      <c r="N443" s="1" t="s">
        <v>25</v>
      </c>
      <c r="O443" s="1" t="s">
        <v>25</v>
      </c>
      <c r="P443" s="1" t="s">
        <v>25</v>
      </c>
      <c r="Q443" s="1" t="s">
        <v>25</v>
      </c>
      <c r="R443" s="1" t="s">
        <v>25</v>
      </c>
      <c r="S443" s="2">
        <v>46018.58121527778</v>
      </c>
      <c r="T443" s="2">
        <v>46018.58121527778</v>
      </c>
    </row>
    <row r="444">
      <c r="A444" s="1" t="s">
        <v>603</v>
      </c>
      <c r="B444" s="1">
        <v>1.0</v>
      </c>
      <c r="C444" s="1">
        <v>96.0</v>
      </c>
      <c r="D444" s="1">
        <v>3.7232106E7</v>
      </c>
      <c r="E444" s="1" t="s">
        <v>25</v>
      </c>
      <c r="F444" s="1" t="s">
        <v>25</v>
      </c>
      <c r="G444" s="1" t="s">
        <v>25</v>
      </c>
      <c r="H444" s="1" t="s">
        <v>25</v>
      </c>
      <c r="I444" s="1" t="s">
        <v>25</v>
      </c>
      <c r="J444" s="1" t="s">
        <v>25</v>
      </c>
      <c r="K444" s="1" t="s">
        <v>25</v>
      </c>
      <c r="L444" s="1" t="s">
        <v>25</v>
      </c>
      <c r="M444" s="1">
        <v>3.516159812E9</v>
      </c>
      <c r="N444" s="1" t="s">
        <v>25</v>
      </c>
      <c r="O444" s="1" t="s">
        <v>25</v>
      </c>
      <c r="P444" s="1" t="s">
        <v>25</v>
      </c>
      <c r="Q444" s="1" t="s">
        <v>25</v>
      </c>
      <c r="R444" s="1" t="s">
        <v>25</v>
      </c>
      <c r="S444" s="2">
        <v>46018.58247685185</v>
      </c>
      <c r="T444" s="2">
        <v>46018.58247685185</v>
      </c>
    </row>
    <row r="445">
      <c r="A445" s="1" t="s">
        <v>607</v>
      </c>
      <c r="B445" s="1">
        <v>2.0</v>
      </c>
      <c r="C445" s="1">
        <v>96.0</v>
      </c>
      <c r="D445" s="1">
        <v>4.497329E7</v>
      </c>
      <c r="E445" s="1" t="s">
        <v>25</v>
      </c>
      <c r="F445" s="1" t="s">
        <v>25</v>
      </c>
      <c r="G445" s="1" t="s">
        <v>25</v>
      </c>
      <c r="H445" s="1" t="s">
        <v>25</v>
      </c>
      <c r="I445" s="1" t="s">
        <v>25</v>
      </c>
      <c r="J445" s="1" t="s">
        <v>25</v>
      </c>
      <c r="K445" s="1" t="s">
        <v>25</v>
      </c>
      <c r="L445" s="1" t="s">
        <v>25</v>
      </c>
      <c r="M445" s="1">
        <v>3.518034949E9</v>
      </c>
      <c r="N445" s="1" t="s">
        <v>1376</v>
      </c>
      <c r="O445" s="1" t="s">
        <v>25</v>
      </c>
      <c r="P445" s="1" t="s">
        <v>25</v>
      </c>
      <c r="Q445" s="1" t="s">
        <v>25</v>
      </c>
      <c r="R445" s="1" t="s">
        <v>25</v>
      </c>
      <c r="S445" s="2">
        <v>46020.68518518518</v>
      </c>
      <c r="T445" s="2">
        <v>46020.68518518518</v>
      </c>
    </row>
    <row r="446">
      <c r="A446" s="1" t="s">
        <v>606</v>
      </c>
      <c r="B446" s="1">
        <v>1.0</v>
      </c>
      <c r="C446" s="1">
        <v>96.0</v>
      </c>
      <c r="D446" s="1">
        <v>2.0532799E7</v>
      </c>
      <c r="E446" s="1" t="s">
        <v>25</v>
      </c>
      <c r="F446" s="1" t="s">
        <v>25</v>
      </c>
      <c r="G446" s="1" t="s">
        <v>25</v>
      </c>
      <c r="H446" s="1" t="s">
        <v>25</v>
      </c>
      <c r="I446" s="1" t="s">
        <v>25</v>
      </c>
      <c r="J446" s="1" t="s">
        <v>25</v>
      </c>
      <c r="K446" s="1" t="s">
        <v>25</v>
      </c>
      <c r="L446" s="1" t="s">
        <v>25</v>
      </c>
      <c r="M446" s="1">
        <v>3.515645618E9</v>
      </c>
      <c r="N446" s="1" t="s">
        <v>1377</v>
      </c>
      <c r="O446" s="1" t="s">
        <v>25</v>
      </c>
      <c r="P446" s="1" t="s">
        <v>25</v>
      </c>
      <c r="Q446" s="1" t="s">
        <v>25</v>
      </c>
      <c r="R446" s="1" t="s">
        <v>25</v>
      </c>
      <c r="S446" s="2">
        <v>46020.715844907405</v>
      </c>
      <c r="T446" s="2">
        <v>46020.715844907405</v>
      </c>
    </row>
    <row r="447">
      <c r="A447" s="1" t="s">
        <v>604</v>
      </c>
      <c r="B447" s="1">
        <v>1.0</v>
      </c>
      <c r="C447" s="1">
        <v>96.0</v>
      </c>
      <c r="D447" s="1">
        <v>4.0520779E7</v>
      </c>
      <c r="E447" s="1" t="s">
        <v>25</v>
      </c>
      <c r="F447" s="1" t="s">
        <v>25</v>
      </c>
      <c r="G447" s="1" t="s">
        <v>25</v>
      </c>
      <c r="H447" s="1" t="s">
        <v>25</v>
      </c>
      <c r="I447" s="1" t="s">
        <v>25</v>
      </c>
      <c r="J447" s="1" t="s">
        <v>25</v>
      </c>
      <c r="K447" s="1" t="s">
        <v>25</v>
      </c>
      <c r="L447" s="1" t="s">
        <v>25</v>
      </c>
      <c r="M447" s="1">
        <v>3.518148715E9</v>
      </c>
      <c r="N447" s="1" t="s">
        <v>1378</v>
      </c>
      <c r="O447" s="1" t="s">
        <v>25</v>
      </c>
      <c r="P447" s="1" t="s">
        <v>25</v>
      </c>
      <c r="Q447" s="1" t="s">
        <v>25</v>
      </c>
      <c r="R447" s="1" t="s">
        <v>25</v>
      </c>
      <c r="S447" s="2">
        <v>46020.83766203704</v>
      </c>
      <c r="T447" s="2">
        <v>46020.83766203704</v>
      </c>
    </row>
    <row r="448">
      <c r="A448" s="1" t="s">
        <v>608</v>
      </c>
      <c r="B448" s="1">
        <v>1.0</v>
      </c>
      <c r="C448" s="1">
        <v>96.0</v>
      </c>
      <c r="D448" s="1">
        <v>2.5246557E7</v>
      </c>
      <c r="E448" s="1" t="s">
        <v>25</v>
      </c>
      <c r="F448" s="1" t="s">
        <v>25</v>
      </c>
      <c r="G448" s="1" t="s">
        <v>25</v>
      </c>
      <c r="H448" s="1" t="s">
        <v>25</v>
      </c>
      <c r="I448" s="1" t="s">
        <v>25</v>
      </c>
      <c r="J448" s="1" t="s">
        <v>25</v>
      </c>
      <c r="K448" s="1" t="s">
        <v>25</v>
      </c>
      <c r="L448" s="1" t="s">
        <v>25</v>
      </c>
      <c r="M448" s="1">
        <v>3.516356483E9</v>
      </c>
      <c r="N448" s="1" t="s">
        <v>25</v>
      </c>
      <c r="O448" s="1" t="s">
        <v>25</v>
      </c>
      <c r="P448" s="1" t="s">
        <v>25</v>
      </c>
      <c r="Q448" s="1" t="s">
        <v>25</v>
      </c>
      <c r="R448" s="1" t="s">
        <v>25</v>
      </c>
      <c r="S448" s="2">
        <v>46021.50480324074</v>
      </c>
      <c r="T448" s="2">
        <v>46021.50480324074</v>
      </c>
    </row>
    <row r="449">
      <c r="A449" s="1" t="s">
        <v>609</v>
      </c>
      <c r="B449" s="1">
        <v>2.0</v>
      </c>
      <c r="C449" s="1">
        <v>96.0</v>
      </c>
      <c r="D449" s="1">
        <v>3.5966315E7</v>
      </c>
      <c r="E449" s="1" t="s">
        <v>25</v>
      </c>
      <c r="F449" s="1" t="s">
        <v>25</v>
      </c>
      <c r="G449" s="1" t="s">
        <v>25</v>
      </c>
      <c r="H449" s="1" t="s">
        <v>25</v>
      </c>
      <c r="I449" s="1" t="s">
        <v>25</v>
      </c>
      <c r="J449" s="1" t="s">
        <v>25</v>
      </c>
      <c r="K449" s="1" t="s">
        <v>25</v>
      </c>
      <c r="L449" s="1" t="s">
        <v>25</v>
      </c>
      <c r="M449" s="1">
        <v>3.512990501E9</v>
      </c>
      <c r="N449" s="1" t="s">
        <v>25</v>
      </c>
      <c r="O449" s="1" t="s">
        <v>25</v>
      </c>
      <c r="P449" s="1" t="s">
        <v>25</v>
      </c>
      <c r="Q449" s="1" t="s">
        <v>25</v>
      </c>
      <c r="R449" s="1" t="s">
        <v>25</v>
      </c>
      <c r="S449" s="2">
        <v>46021.50634259259</v>
      </c>
      <c r="T449" s="2">
        <v>46022.391435185185</v>
      </c>
    </row>
    <row r="450">
      <c r="A450" s="1" t="s">
        <v>611</v>
      </c>
      <c r="B450" s="1">
        <v>1.0</v>
      </c>
      <c r="C450" s="1">
        <v>96.0</v>
      </c>
      <c r="D450" s="1">
        <v>0.0</v>
      </c>
      <c r="E450" s="1" t="s">
        <v>25</v>
      </c>
      <c r="F450" s="1" t="s">
        <v>25</v>
      </c>
      <c r="G450" s="1" t="s">
        <v>25</v>
      </c>
      <c r="H450" s="1" t="s">
        <v>25</v>
      </c>
      <c r="I450" s="1" t="s">
        <v>25</v>
      </c>
      <c r="J450" s="1" t="s">
        <v>25</v>
      </c>
      <c r="K450" s="1" t="s">
        <v>25</v>
      </c>
      <c r="L450" s="1" t="s">
        <v>25</v>
      </c>
      <c r="M450" s="1">
        <v>3.513024798E9</v>
      </c>
      <c r="N450" s="1" t="s">
        <v>25</v>
      </c>
      <c r="O450" s="1" t="s">
        <v>25</v>
      </c>
      <c r="P450" s="1" t="s">
        <v>25</v>
      </c>
      <c r="Q450" s="1" t="s">
        <v>25</v>
      </c>
      <c r="R450" s="1" t="s">
        <v>25</v>
      </c>
      <c r="S450" s="2">
        <v>46022.402395833335</v>
      </c>
      <c r="T450" s="2">
        <v>46022.402395833335</v>
      </c>
    </row>
    <row r="451">
      <c r="A451" s="1" t="s">
        <v>614</v>
      </c>
      <c r="B451" s="1">
        <v>1.0</v>
      </c>
      <c r="C451" s="1">
        <v>96.0</v>
      </c>
      <c r="D451" s="1">
        <v>5720875.0</v>
      </c>
      <c r="E451" s="1" t="s">
        <v>25</v>
      </c>
      <c r="F451" s="1" t="s">
        <v>25</v>
      </c>
      <c r="G451" s="1" t="s">
        <v>25</v>
      </c>
      <c r="H451" s="1" t="s">
        <v>25</v>
      </c>
      <c r="I451" s="1" t="s">
        <v>25</v>
      </c>
      <c r="J451" s="1" t="s">
        <v>25</v>
      </c>
      <c r="K451" s="1" t="s">
        <v>25</v>
      </c>
      <c r="L451" s="1" t="s">
        <v>25</v>
      </c>
      <c r="M451" s="1">
        <v>3.512265201E9</v>
      </c>
      <c r="N451" s="1" t="s">
        <v>25</v>
      </c>
      <c r="O451" s="1" t="s">
        <v>25</v>
      </c>
      <c r="P451" s="1" t="s">
        <v>25</v>
      </c>
      <c r="Q451" s="1" t="s">
        <v>25</v>
      </c>
      <c r="R451" s="1" t="s">
        <v>25</v>
      </c>
      <c r="S451" s="2">
        <v>46022.434953703705</v>
      </c>
      <c r="T451" s="2">
        <v>46022.434953703705</v>
      </c>
    </row>
    <row r="452">
      <c r="A452" s="1" t="s">
        <v>615</v>
      </c>
      <c r="B452" s="1">
        <v>2.0</v>
      </c>
      <c r="C452" s="1">
        <v>96.0</v>
      </c>
      <c r="D452" s="1">
        <v>2.0249985E7</v>
      </c>
      <c r="E452" s="1" t="s">
        <v>25</v>
      </c>
      <c r="F452" s="1" t="s">
        <v>25</v>
      </c>
      <c r="G452" s="1" t="s">
        <v>25</v>
      </c>
      <c r="H452" s="1" t="s">
        <v>25</v>
      </c>
      <c r="I452" s="1" t="s">
        <v>25</v>
      </c>
      <c r="J452" s="1" t="s">
        <v>25</v>
      </c>
      <c r="K452" s="1" t="s">
        <v>25</v>
      </c>
      <c r="L452" s="1" t="s">
        <v>25</v>
      </c>
      <c r="M452" s="1">
        <v>3.516858765E9</v>
      </c>
      <c r="N452" s="1" t="s">
        <v>1379</v>
      </c>
      <c r="O452" s="1" t="s">
        <v>25</v>
      </c>
      <c r="P452" s="1" t="s">
        <v>25</v>
      </c>
      <c r="Q452" s="1" t="s">
        <v>25</v>
      </c>
      <c r="R452" s="1" t="s">
        <v>25</v>
      </c>
      <c r="S452" s="2">
        <v>46022.48056712963</v>
      </c>
      <c r="T452" s="2">
        <v>46022.48056712963</v>
      </c>
    </row>
    <row r="453">
      <c r="A453" s="1" t="s">
        <v>617</v>
      </c>
      <c r="B453" s="1">
        <v>1.0</v>
      </c>
      <c r="C453" s="1">
        <v>96.0</v>
      </c>
      <c r="D453" s="1">
        <v>2.8115607E7</v>
      </c>
      <c r="E453" s="1" t="s">
        <v>25</v>
      </c>
      <c r="F453" s="1" t="s">
        <v>25</v>
      </c>
      <c r="G453" s="1" t="s">
        <v>25</v>
      </c>
      <c r="H453" s="1" t="s">
        <v>25</v>
      </c>
      <c r="I453" s="1" t="s">
        <v>25</v>
      </c>
      <c r="J453" s="1" t="s">
        <v>25</v>
      </c>
      <c r="K453" s="1" t="s">
        <v>25</v>
      </c>
      <c r="L453" s="1" t="s">
        <v>25</v>
      </c>
      <c r="M453" s="1">
        <v>3.516126278E9</v>
      </c>
      <c r="N453" s="1" t="s">
        <v>1380</v>
      </c>
      <c r="O453" s="1" t="s">
        <v>25</v>
      </c>
      <c r="P453" s="1" t="s">
        <v>25</v>
      </c>
      <c r="Q453" s="1" t="s">
        <v>25</v>
      </c>
      <c r="R453" s="1" t="s">
        <v>25</v>
      </c>
      <c r="S453" s="2">
        <v>46022.564409722225</v>
      </c>
      <c r="T453" s="2">
        <v>46022.564409722225</v>
      </c>
    </row>
    <row r="454">
      <c r="A454" s="1" t="s">
        <v>618</v>
      </c>
      <c r="B454" s="1">
        <v>1.0</v>
      </c>
      <c r="C454" s="1">
        <v>96.0</v>
      </c>
      <c r="D454" s="1">
        <v>4.3524582E7</v>
      </c>
      <c r="E454" s="1" t="s">
        <v>25</v>
      </c>
      <c r="F454" s="1" t="s">
        <v>25</v>
      </c>
      <c r="G454" s="1" t="s">
        <v>25</v>
      </c>
      <c r="H454" s="1" t="s">
        <v>25</v>
      </c>
      <c r="I454" s="1" t="s">
        <v>25</v>
      </c>
      <c r="J454" s="1" t="s">
        <v>25</v>
      </c>
      <c r="K454" s="1" t="s">
        <v>25</v>
      </c>
      <c r="L454" s="1" t="s">
        <v>25</v>
      </c>
      <c r="M454" s="1">
        <v>3.518067615E9</v>
      </c>
      <c r="N454" s="1" t="s">
        <v>1381</v>
      </c>
      <c r="O454" s="1" t="s">
        <v>25</v>
      </c>
      <c r="P454" s="1" t="s">
        <v>25</v>
      </c>
      <c r="Q454" s="1" t="s">
        <v>25</v>
      </c>
      <c r="R454" s="1" t="s">
        <v>25</v>
      </c>
      <c r="S454" s="2">
        <v>46028.77622685185</v>
      </c>
      <c r="T454" s="2">
        <v>46028.77622685185</v>
      </c>
    </row>
    <row r="455">
      <c r="A455" s="1" t="s">
        <v>649</v>
      </c>
      <c r="B455" s="1">
        <v>1.0</v>
      </c>
      <c r="C455" s="1">
        <v>96.0</v>
      </c>
      <c r="D455" s="1">
        <v>4.0683962E7</v>
      </c>
      <c r="E455" s="1" t="s">
        <v>25</v>
      </c>
      <c r="F455" s="1" t="s">
        <v>25</v>
      </c>
      <c r="G455" s="1" t="s">
        <v>25</v>
      </c>
      <c r="H455" s="1" t="s">
        <v>25</v>
      </c>
      <c r="I455" s="1" t="s">
        <v>25</v>
      </c>
      <c r="J455" s="1" t="s">
        <v>25</v>
      </c>
      <c r="K455" s="1" t="s">
        <v>25</v>
      </c>
      <c r="L455" s="1" t="s">
        <v>25</v>
      </c>
      <c r="M455" s="1">
        <v>3.51339858E9</v>
      </c>
      <c r="N455" s="1" t="s">
        <v>1382</v>
      </c>
      <c r="O455" s="1" t="s">
        <v>25</v>
      </c>
      <c r="P455" s="1" t="s">
        <v>25</v>
      </c>
      <c r="Q455" s="1" t="s">
        <v>25</v>
      </c>
      <c r="R455" s="1" t="s">
        <v>25</v>
      </c>
      <c r="S455" s="2">
        <v>46029.56165509259</v>
      </c>
      <c r="T455" s="2">
        <v>46029.56165509259</v>
      </c>
    </row>
    <row r="456">
      <c r="A456" s="1" t="s">
        <v>619</v>
      </c>
      <c r="B456" s="1">
        <v>1.0</v>
      </c>
      <c r="C456" s="1">
        <v>96.0</v>
      </c>
      <c r="D456" s="1">
        <v>3.864571E7</v>
      </c>
      <c r="E456" s="1" t="s">
        <v>25</v>
      </c>
      <c r="F456" s="1" t="s">
        <v>25</v>
      </c>
      <c r="G456" s="1" t="s">
        <v>25</v>
      </c>
      <c r="H456" s="1" t="s">
        <v>25</v>
      </c>
      <c r="I456" s="1" t="s">
        <v>25</v>
      </c>
      <c r="J456" s="1" t="s">
        <v>25</v>
      </c>
      <c r="K456" s="1" t="s">
        <v>25</v>
      </c>
      <c r="L456" s="1" t="s">
        <v>25</v>
      </c>
      <c r="M456" s="1" t="s">
        <v>1383</v>
      </c>
      <c r="N456" s="1" t="s">
        <v>1384</v>
      </c>
      <c r="O456" s="1" t="s">
        <v>25</v>
      </c>
      <c r="P456" s="1" t="s">
        <v>25</v>
      </c>
      <c r="Q456" s="1" t="s">
        <v>25</v>
      </c>
      <c r="R456" s="1" t="s">
        <v>25</v>
      </c>
      <c r="S456" s="2">
        <v>46030.55003472222</v>
      </c>
      <c r="T456" s="2">
        <v>46030.55003472222</v>
      </c>
    </row>
    <row r="457">
      <c r="A457" s="1" t="s">
        <v>621</v>
      </c>
      <c r="B457" s="1">
        <v>2.0</v>
      </c>
      <c r="C457" s="1">
        <v>96.0</v>
      </c>
      <c r="D457" s="1">
        <v>2.8270803E7</v>
      </c>
      <c r="E457" s="1" t="s">
        <v>25</v>
      </c>
      <c r="F457" s="1" t="s">
        <v>25</v>
      </c>
      <c r="G457" s="1" t="s">
        <v>25</v>
      </c>
      <c r="H457" s="1" t="s">
        <v>25</v>
      </c>
      <c r="I457" s="1" t="s">
        <v>25</v>
      </c>
      <c r="J457" s="1" t="s">
        <v>25</v>
      </c>
      <c r="K457" s="1" t="s">
        <v>25</v>
      </c>
      <c r="L457" s="1" t="s">
        <v>25</v>
      </c>
      <c r="M457" s="1">
        <v>3.517059277E9</v>
      </c>
      <c r="N457" s="1" t="s">
        <v>1385</v>
      </c>
      <c r="O457" s="1" t="s">
        <v>25</v>
      </c>
      <c r="P457" s="1">
        <v>6.3280438201E10</v>
      </c>
      <c r="Q457" s="1" t="s">
        <v>25</v>
      </c>
      <c r="R457" s="1" t="s">
        <v>1386</v>
      </c>
      <c r="S457" s="2">
        <v>46030.57357638889</v>
      </c>
      <c r="T457" s="2">
        <v>46030.57357638889</v>
      </c>
    </row>
    <row r="458">
      <c r="A458" s="1" t="s">
        <v>622</v>
      </c>
      <c r="B458" s="1">
        <v>2.0</v>
      </c>
      <c r="C458" s="1" t="s">
        <v>25</v>
      </c>
      <c r="D458" s="1">
        <v>8498831.0</v>
      </c>
      <c r="E458" s="1" t="s">
        <v>25</v>
      </c>
      <c r="F458" s="1" t="s">
        <v>25</v>
      </c>
      <c r="G458" s="1" t="s">
        <v>25</v>
      </c>
      <c r="H458" s="1" t="s">
        <v>25</v>
      </c>
      <c r="I458" s="1" t="s">
        <v>1387</v>
      </c>
      <c r="J458" s="1" t="s">
        <v>1388</v>
      </c>
      <c r="K458" s="1" t="s">
        <v>25</v>
      </c>
      <c r="L458" s="1" t="s">
        <v>25</v>
      </c>
      <c r="M458" s="1" t="s">
        <v>1389</v>
      </c>
      <c r="N458" s="1" t="s">
        <v>1390</v>
      </c>
      <c r="O458" s="1" t="s">
        <v>25</v>
      </c>
      <c r="P458" s="1" t="s">
        <v>25</v>
      </c>
      <c r="Q458" s="1" t="s">
        <v>25</v>
      </c>
      <c r="R458" s="1" t="s">
        <v>25</v>
      </c>
      <c r="S458" s="2">
        <v>46031.77248842592</v>
      </c>
      <c r="T458" s="2">
        <v>46031.77748842593</v>
      </c>
    </row>
    <row r="459">
      <c r="A459" s="1" t="s">
        <v>624</v>
      </c>
      <c r="B459" s="1">
        <v>1.0</v>
      </c>
      <c r="C459" s="1">
        <v>96.0</v>
      </c>
      <c r="D459" s="1">
        <v>5818449.0</v>
      </c>
      <c r="E459" s="1" t="s">
        <v>25</v>
      </c>
      <c r="F459" s="1" t="s">
        <v>25</v>
      </c>
      <c r="G459" s="1" t="s">
        <v>25</v>
      </c>
      <c r="H459" s="1" t="s">
        <v>25</v>
      </c>
      <c r="I459" s="1" t="s">
        <v>25</v>
      </c>
      <c r="J459" s="1" t="s">
        <v>25</v>
      </c>
      <c r="K459" s="1" t="s">
        <v>25</v>
      </c>
      <c r="L459" s="1" t="s">
        <v>25</v>
      </c>
      <c r="M459" s="1">
        <v>3.512734983E9</v>
      </c>
      <c r="N459" s="1" t="s">
        <v>25</v>
      </c>
      <c r="O459" s="1" t="s">
        <v>25</v>
      </c>
      <c r="P459" s="1" t="s">
        <v>25</v>
      </c>
      <c r="Q459" s="1" t="s">
        <v>25</v>
      </c>
      <c r="R459" s="1" t="s">
        <v>25</v>
      </c>
      <c r="S459" s="2">
        <v>46031.781331018516</v>
      </c>
      <c r="T459" s="2">
        <v>46031.781331018516</v>
      </c>
    </row>
    <row r="460">
      <c r="A460" s="1" t="s">
        <v>627</v>
      </c>
      <c r="B460" s="1">
        <v>1.0</v>
      </c>
      <c r="C460" s="1">
        <v>96.0</v>
      </c>
      <c r="D460" s="1">
        <v>2.0622313E7</v>
      </c>
      <c r="E460" s="1" t="s">
        <v>25</v>
      </c>
      <c r="F460" s="1" t="s">
        <v>25</v>
      </c>
      <c r="G460" s="1" t="s">
        <v>25</v>
      </c>
      <c r="H460" s="1" t="s">
        <v>25</v>
      </c>
      <c r="I460" s="1" t="s">
        <v>25</v>
      </c>
      <c r="J460" s="1" t="s">
        <v>25</v>
      </c>
      <c r="K460" s="1" t="s">
        <v>25</v>
      </c>
      <c r="L460" s="1" t="s">
        <v>25</v>
      </c>
      <c r="M460" s="1">
        <v>3.51344078E9</v>
      </c>
      <c r="N460" s="1" t="s">
        <v>25</v>
      </c>
      <c r="O460" s="1" t="s">
        <v>25</v>
      </c>
      <c r="P460" s="1" t="s">
        <v>25</v>
      </c>
      <c r="Q460" s="1" t="s">
        <v>25</v>
      </c>
      <c r="R460" s="1" t="s">
        <v>25</v>
      </c>
      <c r="S460" s="2">
        <v>46032.49428240741</v>
      </c>
      <c r="T460" s="2">
        <v>46032.49428240741</v>
      </c>
    </row>
    <row r="461">
      <c r="A461" s="1" t="s">
        <v>628</v>
      </c>
      <c r="B461" s="1">
        <v>1.0</v>
      </c>
      <c r="C461" s="1">
        <v>96.0</v>
      </c>
      <c r="D461" s="1">
        <v>2.514136E7</v>
      </c>
      <c r="E461" s="1" t="s">
        <v>25</v>
      </c>
      <c r="F461" s="1" t="s">
        <v>25</v>
      </c>
      <c r="G461" s="1" t="s">
        <v>25</v>
      </c>
      <c r="H461" s="1" t="s">
        <v>25</v>
      </c>
      <c r="I461" s="1" t="s">
        <v>25</v>
      </c>
      <c r="J461" s="1" t="s">
        <v>25</v>
      </c>
      <c r="K461" s="1" t="s">
        <v>25</v>
      </c>
      <c r="L461" s="1" t="s">
        <v>25</v>
      </c>
      <c r="M461" s="1">
        <v>3.584409908E9</v>
      </c>
      <c r="N461" s="1" t="s">
        <v>25</v>
      </c>
      <c r="O461" s="1" t="s">
        <v>25</v>
      </c>
      <c r="P461" s="1" t="s">
        <v>25</v>
      </c>
      <c r="Q461" s="1" t="s">
        <v>25</v>
      </c>
      <c r="R461" s="1" t="s">
        <v>25</v>
      </c>
      <c r="S461" s="2">
        <v>46032.50824074074</v>
      </c>
      <c r="T461" s="2">
        <v>46032.50824074074</v>
      </c>
    </row>
    <row r="462">
      <c r="A462" s="1" t="s">
        <v>629</v>
      </c>
      <c r="B462" s="1">
        <v>1.0</v>
      </c>
      <c r="C462" s="1">
        <v>96.0</v>
      </c>
      <c r="D462" s="1">
        <v>3.9412413E7</v>
      </c>
      <c r="E462" s="1" t="s">
        <v>25</v>
      </c>
      <c r="F462" s="1" t="s">
        <v>25</v>
      </c>
      <c r="G462" s="1" t="s">
        <v>25</v>
      </c>
      <c r="H462" s="1" t="s">
        <v>25</v>
      </c>
      <c r="I462" s="1" t="s">
        <v>25</v>
      </c>
      <c r="J462" s="1" t="s">
        <v>25</v>
      </c>
      <c r="K462" s="1" t="s">
        <v>25</v>
      </c>
      <c r="L462" s="1" t="s">
        <v>25</v>
      </c>
      <c r="M462" s="1">
        <v>0.0</v>
      </c>
      <c r="N462" s="1" t="s">
        <v>25</v>
      </c>
      <c r="O462" s="1" t="s">
        <v>25</v>
      </c>
      <c r="P462" s="1" t="s">
        <v>25</v>
      </c>
      <c r="Q462" s="1" t="s">
        <v>25</v>
      </c>
      <c r="R462" s="1" t="s">
        <v>25</v>
      </c>
      <c r="S462" s="2">
        <v>46032.52914351852</v>
      </c>
      <c r="T462" s="2">
        <v>46032.52914351852</v>
      </c>
    </row>
    <row r="463">
      <c r="A463" s="1" t="s">
        <v>630</v>
      </c>
      <c r="B463" s="1">
        <v>1.0</v>
      </c>
      <c r="C463" s="1">
        <v>96.0</v>
      </c>
      <c r="D463" s="1">
        <v>5264269.0</v>
      </c>
      <c r="E463" s="1" t="s">
        <v>25</v>
      </c>
      <c r="F463" s="1" t="s">
        <v>25</v>
      </c>
      <c r="G463" s="1" t="s">
        <v>25</v>
      </c>
      <c r="H463" s="1" t="s">
        <v>25</v>
      </c>
      <c r="I463" s="1" t="s">
        <v>25</v>
      </c>
      <c r="J463" s="1" t="s">
        <v>25</v>
      </c>
      <c r="K463" s="1" t="s">
        <v>25</v>
      </c>
      <c r="L463" s="1" t="s">
        <v>25</v>
      </c>
      <c r="M463" s="1" t="s">
        <v>1391</v>
      </c>
      <c r="N463" s="1" t="s">
        <v>1392</v>
      </c>
      <c r="O463" s="1" t="s">
        <v>25</v>
      </c>
      <c r="P463" s="1" t="s">
        <v>25</v>
      </c>
      <c r="Q463" s="1" t="s">
        <v>25</v>
      </c>
      <c r="R463" s="1" t="s">
        <v>25</v>
      </c>
      <c r="S463" s="2">
        <v>46034.550416666665</v>
      </c>
      <c r="T463" s="2">
        <v>46034.550416666665</v>
      </c>
    </row>
    <row r="464">
      <c r="A464" s="1" t="s">
        <v>631</v>
      </c>
      <c r="B464" s="1">
        <v>1.0</v>
      </c>
      <c r="C464" s="1">
        <v>96.0</v>
      </c>
      <c r="D464" s="1">
        <v>2.6490348E7</v>
      </c>
      <c r="E464" s="1" t="s">
        <v>25</v>
      </c>
      <c r="F464" s="1" t="s">
        <v>25</v>
      </c>
      <c r="G464" s="1" t="s">
        <v>25</v>
      </c>
      <c r="H464" s="1" t="s">
        <v>25</v>
      </c>
      <c r="I464" s="1" t="s">
        <v>25</v>
      </c>
      <c r="J464" s="1" t="s">
        <v>25</v>
      </c>
      <c r="K464" s="1" t="s">
        <v>25</v>
      </c>
      <c r="L464" s="1" t="s">
        <v>25</v>
      </c>
      <c r="M464" s="1" t="s">
        <v>1393</v>
      </c>
      <c r="N464" s="1" t="s">
        <v>1394</v>
      </c>
      <c r="O464" s="1" t="s">
        <v>25</v>
      </c>
      <c r="P464" s="1" t="s">
        <v>25</v>
      </c>
      <c r="Q464" s="1" t="s">
        <v>25</v>
      </c>
      <c r="R464" s="1" t="s">
        <v>25</v>
      </c>
      <c r="S464" s="2">
        <v>46035.781851851854</v>
      </c>
      <c r="T464" s="2">
        <v>46035.781851851854</v>
      </c>
    </row>
    <row r="465">
      <c r="A465" s="1" t="s">
        <v>632</v>
      </c>
      <c r="B465" s="1">
        <v>1.0</v>
      </c>
      <c r="C465" s="1">
        <v>96.0</v>
      </c>
      <c r="D465" s="1">
        <v>3.03299648E8</v>
      </c>
      <c r="E465" s="1" t="s">
        <v>25</v>
      </c>
      <c r="F465" s="1" t="s">
        <v>25</v>
      </c>
      <c r="G465" s="1" t="s">
        <v>25</v>
      </c>
      <c r="H465" s="1" t="s">
        <v>25</v>
      </c>
      <c r="I465" s="1" t="s">
        <v>25</v>
      </c>
      <c r="J465" s="1" t="s">
        <v>25</v>
      </c>
      <c r="K465" s="1" t="s">
        <v>25</v>
      </c>
      <c r="L465" s="1" t="s">
        <v>25</v>
      </c>
      <c r="M465" s="1">
        <v>3.516649698E9</v>
      </c>
      <c r="N465" s="1" t="s">
        <v>1395</v>
      </c>
      <c r="O465" s="1" t="s">
        <v>25</v>
      </c>
      <c r="P465" s="1" t="s">
        <v>25</v>
      </c>
      <c r="Q465" s="1" t="s">
        <v>25</v>
      </c>
      <c r="R465" s="1" t="s">
        <v>25</v>
      </c>
      <c r="S465" s="2">
        <v>46035.8133912037</v>
      </c>
      <c r="T465" s="2">
        <v>46035.8133912037</v>
      </c>
    </row>
    <row r="466">
      <c r="A466" s="1" t="s">
        <v>633</v>
      </c>
      <c r="B466" s="1">
        <v>2.0</v>
      </c>
      <c r="C466" s="1">
        <v>96.0</v>
      </c>
      <c r="D466" s="1">
        <v>2.9110897E7</v>
      </c>
      <c r="E466" s="1" t="s">
        <v>25</v>
      </c>
      <c r="F466" s="1" t="s">
        <v>25</v>
      </c>
      <c r="G466" s="1" t="s">
        <v>25</v>
      </c>
      <c r="H466" s="1" t="s">
        <v>25</v>
      </c>
      <c r="I466" s="1" t="s">
        <v>25</v>
      </c>
      <c r="J466" s="1" t="s">
        <v>25</v>
      </c>
      <c r="K466" s="1" t="s">
        <v>25</v>
      </c>
      <c r="L466" s="1" t="s">
        <v>25</v>
      </c>
      <c r="M466" s="1">
        <v>3.51767941E9</v>
      </c>
      <c r="N466" s="1" t="s">
        <v>1396</v>
      </c>
      <c r="O466" s="1" t="s">
        <v>25</v>
      </c>
      <c r="P466" s="1" t="s">
        <v>25</v>
      </c>
      <c r="Q466" s="1" t="s">
        <v>25</v>
      </c>
      <c r="R466" s="1" t="s">
        <v>25</v>
      </c>
      <c r="S466" s="2">
        <v>46036.56445601852</v>
      </c>
      <c r="T466" s="2">
        <v>46036.56445601852</v>
      </c>
    </row>
    <row r="467">
      <c r="A467" s="1" t="s">
        <v>634</v>
      </c>
      <c r="B467" s="1">
        <v>1.0</v>
      </c>
      <c r="C467" s="1">
        <v>96.0</v>
      </c>
      <c r="D467" s="1">
        <v>5.7265037E7</v>
      </c>
      <c r="E467" s="1" t="s">
        <v>25</v>
      </c>
      <c r="F467" s="1" t="s">
        <v>25</v>
      </c>
      <c r="G467" s="1" t="s">
        <v>25</v>
      </c>
      <c r="H467" s="1" t="s">
        <v>25</v>
      </c>
      <c r="I467" s="1" t="s">
        <v>25</v>
      </c>
      <c r="J467" s="1" t="s">
        <v>25</v>
      </c>
      <c r="K467" s="1" t="s">
        <v>25</v>
      </c>
      <c r="L467" s="1" t="s">
        <v>25</v>
      </c>
      <c r="M467" s="1">
        <v>3.576478728E9</v>
      </c>
      <c r="N467" s="1" t="s">
        <v>1397</v>
      </c>
      <c r="O467" s="1" t="s">
        <v>25</v>
      </c>
      <c r="P467" s="1" t="s">
        <v>25</v>
      </c>
      <c r="Q467" s="1" t="s">
        <v>25</v>
      </c>
      <c r="R467" s="1" t="s">
        <v>25</v>
      </c>
      <c r="S467" s="2">
        <v>46036.73967592593</v>
      </c>
      <c r="T467" s="2">
        <v>46036.73967592593</v>
      </c>
    </row>
    <row r="468">
      <c r="A468" s="1" t="s">
        <v>1398</v>
      </c>
      <c r="B468" s="1">
        <v>1.0</v>
      </c>
      <c r="C468" s="1">
        <v>96.0</v>
      </c>
      <c r="D468" s="1">
        <v>3.6145962E7</v>
      </c>
      <c r="E468" s="1" t="s">
        <v>25</v>
      </c>
      <c r="F468" s="1" t="s">
        <v>25</v>
      </c>
      <c r="G468" s="1" t="s">
        <v>25</v>
      </c>
      <c r="H468" s="1" t="s">
        <v>25</v>
      </c>
      <c r="I468" s="1" t="s">
        <v>25</v>
      </c>
      <c r="J468" s="1" t="s">
        <v>25</v>
      </c>
      <c r="K468" s="1" t="s">
        <v>25</v>
      </c>
      <c r="L468" s="1" t="s">
        <v>25</v>
      </c>
      <c r="M468" s="1">
        <v>3.513338664E9</v>
      </c>
      <c r="N468" s="1" t="s">
        <v>1399</v>
      </c>
      <c r="O468" s="1" t="s">
        <v>25</v>
      </c>
      <c r="P468" s="1" t="s">
        <v>25</v>
      </c>
      <c r="Q468" s="1" t="s">
        <v>25</v>
      </c>
      <c r="R468" s="1" t="s">
        <v>25</v>
      </c>
      <c r="S468" s="2">
        <v>46036.758472222224</v>
      </c>
      <c r="T468" s="2">
        <v>46036.758472222224</v>
      </c>
    </row>
    <row r="469">
      <c r="A469" s="1" t="s">
        <v>635</v>
      </c>
      <c r="B469" s="1">
        <v>1.0</v>
      </c>
      <c r="C469" s="1">
        <v>96.0</v>
      </c>
      <c r="D469" s="1">
        <v>2.345194E7</v>
      </c>
      <c r="E469" s="1" t="s">
        <v>25</v>
      </c>
      <c r="F469" s="1" t="s">
        <v>25</v>
      </c>
      <c r="G469" s="1" t="s">
        <v>25</v>
      </c>
      <c r="H469" s="1" t="s">
        <v>25</v>
      </c>
      <c r="I469" s="1" t="s">
        <v>25</v>
      </c>
      <c r="J469" s="1" t="s">
        <v>25</v>
      </c>
      <c r="K469" s="1" t="s">
        <v>25</v>
      </c>
      <c r="L469" s="1" t="s">
        <v>25</v>
      </c>
      <c r="M469" s="1">
        <v>3.516009509E9</v>
      </c>
      <c r="N469" s="1" t="s">
        <v>1400</v>
      </c>
      <c r="O469" s="1" t="s">
        <v>25</v>
      </c>
      <c r="P469" s="1" t="s">
        <v>25</v>
      </c>
      <c r="Q469" s="1" t="s">
        <v>25</v>
      </c>
      <c r="R469" s="1" t="s">
        <v>25</v>
      </c>
      <c r="S469" s="2">
        <v>46037.43664351852</v>
      </c>
      <c r="T469" s="2">
        <v>46037.43664351852</v>
      </c>
    </row>
    <row r="470">
      <c r="A470" s="1" t="s">
        <v>637</v>
      </c>
      <c r="B470" s="1">
        <v>2.0</v>
      </c>
      <c r="C470" s="1">
        <v>96.0</v>
      </c>
      <c r="D470" s="1">
        <v>1.4476012E7</v>
      </c>
      <c r="E470" s="1" t="s">
        <v>25</v>
      </c>
      <c r="F470" s="1" t="s">
        <v>25</v>
      </c>
      <c r="G470" s="1" t="s">
        <v>25</v>
      </c>
      <c r="H470" s="5">
        <v>22342.0</v>
      </c>
      <c r="I470" s="1" t="s">
        <v>25</v>
      </c>
      <c r="J470" s="1" t="s">
        <v>25</v>
      </c>
      <c r="K470" s="1" t="s">
        <v>25</v>
      </c>
      <c r="L470" s="1" t="s">
        <v>25</v>
      </c>
      <c r="M470" s="1" t="s">
        <v>1401</v>
      </c>
      <c r="N470" s="1" t="s">
        <v>25</v>
      </c>
      <c r="O470" s="1" t="s">
        <v>25</v>
      </c>
      <c r="P470" s="1" t="s">
        <v>25</v>
      </c>
      <c r="Q470" s="1" t="s">
        <v>25</v>
      </c>
      <c r="R470" s="1" t="s">
        <v>25</v>
      </c>
      <c r="S470" s="2">
        <v>46037.744155092594</v>
      </c>
      <c r="T470" s="2">
        <v>46037.744155092594</v>
      </c>
    </row>
    <row r="471">
      <c r="A471" s="1" t="s">
        <v>638</v>
      </c>
      <c r="B471" s="1">
        <v>1.0</v>
      </c>
      <c r="C471" s="1">
        <v>96.0</v>
      </c>
      <c r="D471" s="1">
        <v>5673545.0</v>
      </c>
      <c r="E471" s="1" t="s">
        <v>25</v>
      </c>
      <c r="F471" s="1" t="s">
        <v>25</v>
      </c>
      <c r="G471" s="1" t="s">
        <v>25</v>
      </c>
      <c r="H471" s="1" t="s">
        <v>25</v>
      </c>
      <c r="I471" s="1" t="s">
        <v>25</v>
      </c>
      <c r="J471" s="1" t="s">
        <v>25</v>
      </c>
      <c r="K471" s="1" t="s">
        <v>25</v>
      </c>
      <c r="L471" s="1" t="s">
        <v>25</v>
      </c>
      <c r="M471" s="1" t="s">
        <v>1402</v>
      </c>
      <c r="N471" s="1" t="s">
        <v>1403</v>
      </c>
      <c r="O471" s="1" t="s">
        <v>25</v>
      </c>
      <c r="P471" s="1" t="s">
        <v>25</v>
      </c>
      <c r="Q471" s="1" t="s">
        <v>25</v>
      </c>
      <c r="R471" s="1" t="s">
        <v>25</v>
      </c>
      <c r="S471" s="2">
        <v>46038.76052083333</v>
      </c>
      <c r="T471" s="2">
        <v>46038.76052083333</v>
      </c>
    </row>
    <row r="472">
      <c r="A472" s="1" t="s">
        <v>668</v>
      </c>
      <c r="B472" s="1">
        <v>2.0</v>
      </c>
      <c r="C472" s="1">
        <v>96.0</v>
      </c>
      <c r="D472" s="1">
        <v>2.6671759E7</v>
      </c>
      <c r="E472" s="1" t="s">
        <v>25</v>
      </c>
      <c r="F472" s="1" t="s">
        <v>25</v>
      </c>
      <c r="G472" s="1" t="s">
        <v>25</v>
      </c>
      <c r="H472" s="1" t="s">
        <v>25</v>
      </c>
      <c r="I472" s="1" t="s">
        <v>25</v>
      </c>
      <c r="J472" s="1" t="s">
        <v>25</v>
      </c>
      <c r="K472" s="1" t="s">
        <v>25</v>
      </c>
      <c r="L472" s="1" t="s">
        <v>25</v>
      </c>
      <c r="M472" s="1">
        <v>3.51611887E9</v>
      </c>
      <c r="N472" s="1" t="s">
        <v>1404</v>
      </c>
      <c r="O472" s="1" t="s">
        <v>25</v>
      </c>
      <c r="P472" s="1" t="s">
        <v>25</v>
      </c>
      <c r="Q472" s="1" t="s">
        <v>25</v>
      </c>
      <c r="R472" s="1" t="s">
        <v>25</v>
      </c>
      <c r="S472" s="2">
        <v>46039.4350462963</v>
      </c>
      <c r="T472" s="2">
        <v>46039.4350462963</v>
      </c>
    </row>
    <row r="473">
      <c r="A473" s="1" t="s">
        <v>639</v>
      </c>
      <c r="B473" s="1">
        <v>1.0</v>
      </c>
      <c r="C473" s="1">
        <v>96.0</v>
      </c>
      <c r="D473" s="1">
        <v>2.1763027E7</v>
      </c>
      <c r="E473" s="1" t="s">
        <v>25</v>
      </c>
      <c r="F473" s="1" t="s">
        <v>25</v>
      </c>
      <c r="G473" s="1" t="s">
        <v>25</v>
      </c>
      <c r="H473" s="1" t="s">
        <v>25</v>
      </c>
      <c r="I473" s="1" t="s">
        <v>25</v>
      </c>
      <c r="J473" s="1" t="s">
        <v>25</v>
      </c>
      <c r="K473" s="1" t="s">
        <v>25</v>
      </c>
      <c r="L473" s="1" t="s">
        <v>25</v>
      </c>
      <c r="M473" s="1">
        <v>3.512486355E9</v>
      </c>
      <c r="N473" s="1" t="s">
        <v>1405</v>
      </c>
      <c r="O473" s="1" t="s">
        <v>25</v>
      </c>
      <c r="P473" s="1" t="s">
        <v>25</v>
      </c>
      <c r="Q473" s="1" t="s">
        <v>25</v>
      </c>
      <c r="R473" s="1" t="s">
        <v>25</v>
      </c>
      <c r="S473" s="2">
        <v>46039.47435185185</v>
      </c>
      <c r="T473" s="2">
        <v>46039.47435185185</v>
      </c>
    </row>
    <row r="474">
      <c r="A474" s="1" t="s">
        <v>1406</v>
      </c>
      <c r="B474" s="1" t="s">
        <v>25</v>
      </c>
      <c r="C474" s="1">
        <v>96.0</v>
      </c>
      <c r="D474" s="1">
        <v>3.0330036E7</v>
      </c>
      <c r="E474" s="1" t="s">
        <v>25</v>
      </c>
      <c r="F474" s="1" t="s">
        <v>25</v>
      </c>
      <c r="G474" s="1" t="s">
        <v>25</v>
      </c>
      <c r="H474" s="1" t="s">
        <v>25</v>
      </c>
      <c r="I474" s="1" t="s">
        <v>25</v>
      </c>
      <c r="J474" s="1" t="s">
        <v>25</v>
      </c>
      <c r="K474" s="1" t="s">
        <v>25</v>
      </c>
      <c r="L474" s="1" t="s">
        <v>25</v>
      </c>
      <c r="M474" s="1">
        <v>3.51555627E9</v>
      </c>
      <c r="N474" s="1" t="s">
        <v>1407</v>
      </c>
      <c r="O474" s="1" t="s">
        <v>25</v>
      </c>
      <c r="P474" s="1" t="s">
        <v>25</v>
      </c>
      <c r="Q474" s="1" t="s">
        <v>25</v>
      </c>
      <c r="R474" s="1" t="s">
        <v>25</v>
      </c>
      <c r="S474" s="2">
        <v>46041.57844907408</v>
      </c>
      <c r="T474" s="2">
        <v>46041.57844907408</v>
      </c>
    </row>
    <row r="475">
      <c r="A475" s="1" t="s">
        <v>648</v>
      </c>
      <c r="B475" s="1">
        <v>1.0</v>
      </c>
      <c r="C475" s="1">
        <v>96.0</v>
      </c>
      <c r="D475" s="1">
        <v>2385051.0</v>
      </c>
      <c r="E475" s="1" t="s">
        <v>25</v>
      </c>
      <c r="F475" s="1" t="s">
        <v>25</v>
      </c>
      <c r="G475" s="1" t="s">
        <v>25</v>
      </c>
      <c r="H475" s="1" t="s">
        <v>25</v>
      </c>
      <c r="I475" s="1" t="s">
        <v>25</v>
      </c>
      <c r="J475" s="1" t="s">
        <v>25</v>
      </c>
      <c r="K475" s="1" t="s">
        <v>25</v>
      </c>
      <c r="L475" s="1" t="s">
        <v>25</v>
      </c>
      <c r="M475" s="1">
        <v>3.512032233E9</v>
      </c>
      <c r="N475" s="1" t="s">
        <v>1408</v>
      </c>
      <c r="O475" s="1" t="s">
        <v>25</v>
      </c>
      <c r="P475" s="1" t="s">
        <v>25</v>
      </c>
      <c r="Q475" s="1" t="s">
        <v>25</v>
      </c>
      <c r="R475" s="1" t="s">
        <v>25</v>
      </c>
      <c r="S475" s="2">
        <v>46042.76795138889</v>
      </c>
      <c r="T475" s="2">
        <v>46042.76795138889</v>
      </c>
    </row>
    <row r="476">
      <c r="A476" s="1" t="s">
        <v>651</v>
      </c>
      <c r="B476" s="1">
        <v>1.0</v>
      </c>
      <c r="C476" s="1" t="s">
        <v>25</v>
      </c>
      <c r="D476" s="1">
        <v>2.2370806E7</v>
      </c>
      <c r="E476" s="1" t="s">
        <v>25</v>
      </c>
      <c r="F476" s="1" t="s">
        <v>25</v>
      </c>
      <c r="G476" s="1" t="s">
        <v>25</v>
      </c>
      <c r="H476" s="1" t="s">
        <v>25</v>
      </c>
      <c r="I476" s="1" t="s">
        <v>25</v>
      </c>
      <c r="J476" s="1" t="s">
        <v>25</v>
      </c>
      <c r="K476" s="1" t="s">
        <v>25</v>
      </c>
      <c r="L476" s="1" t="s">
        <v>25</v>
      </c>
      <c r="M476" s="1">
        <v>3.513047112E9</v>
      </c>
      <c r="N476" s="1" t="s">
        <v>25</v>
      </c>
      <c r="O476" s="1" t="s">
        <v>25</v>
      </c>
      <c r="P476" s="1" t="s">
        <v>25</v>
      </c>
      <c r="Q476" s="1" t="s">
        <v>25</v>
      </c>
      <c r="R476" s="1" t="s">
        <v>25</v>
      </c>
      <c r="S476" s="2">
        <v>46042.77712962963</v>
      </c>
      <c r="T476" s="2">
        <v>46042.77712962963</v>
      </c>
    </row>
    <row r="477">
      <c r="A477" s="1" t="s">
        <v>652</v>
      </c>
      <c r="B477" s="1">
        <v>2.0</v>
      </c>
      <c r="C477" s="1">
        <v>96.0</v>
      </c>
      <c r="D477" s="1">
        <v>2.2221148E7</v>
      </c>
      <c r="E477" s="1" t="s">
        <v>25</v>
      </c>
      <c r="F477" s="1" t="s">
        <v>25</v>
      </c>
      <c r="G477" s="1" t="s">
        <v>25</v>
      </c>
      <c r="H477" s="1" t="s">
        <v>25</v>
      </c>
      <c r="I477" s="1" t="s">
        <v>25</v>
      </c>
      <c r="J477" s="1" t="s">
        <v>25</v>
      </c>
      <c r="K477" s="1" t="s">
        <v>25</v>
      </c>
      <c r="L477" s="1" t="s">
        <v>25</v>
      </c>
      <c r="M477" s="1">
        <v>3.513510729E9</v>
      </c>
      <c r="N477" s="1" t="s">
        <v>1409</v>
      </c>
      <c r="O477" s="1" t="s">
        <v>25</v>
      </c>
      <c r="P477" s="1" t="s">
        <v>25</v>
      </c>
      <c r="Q477" s="1" t="s">
        <v>25</v>
      </c>
      <c r="R477" s="1" t="s">
        <v>25</v>
      </c>
      <c r="S477" s="2">
        <v>46042.77922453704</v>
      </c>
      <c r="T477" s="2">
        <v>46042.77922453704</v>
      </c>
    </row>
    <row r="478">
      <c r="A478" s="1" t="s">
        <v>640</v>
      </c>
      <c r="B478" s="1">
        <v>2.0</v>
      </c>
      <c r="C478" s="1">
        <v>96.0</v>
      </c>
      <c r="D478" s="1">
        <v>1.8339364E7</v>
      </c>
      <c r="E478" s="1" t="s">
        <v>25</v>
      </c>
      <c r="F478" s="1" t="s">
        <v>25</v>
      </c>
      <c r="G478" s="1" t="s">
        <v>25</v>
      </c>
      <c r="H478" s="1" t="s">
        <v>25</v>
      </c>
      <c r="I478" s="1" t="s">
        <v>25</v>
      </c>
      <c r="J478" s="1" t="s">
        <v>25</v>
      </c>
      <c r="K478" s="1" t="s">
        <v>25</v>
      </c>
      <c r="L478" s="1" t="s">
        <v>25</v>
      </c>
      <c r="M478" s="3" t="str">
        <f>+54 9 3517 35-8552</f>
        <v>#ERROR!</v>
      </c>
      <c r="N478" s="1" t="s">
        <v>1410</v>
      </c>
      <c r="O478" s="1" t="s">
        <v>25</v>
      </c>
      <c r="P478" s="1" t="s">
        <v>25</v>
      </c>
      <c r="Q478" s="1" t="s">
        <v>25</v>
      </c>
      <c r="R478" s="1" t="s">
        <v>25</v>
      </c>
      <c r="S478" s="2">
        <v>46044.56253472222</v>
      </c>
      <c r="T478" s="2">
        <v>46044.56253472222</v>
      </c>
    </row>
    <row r="479">
      <c r="A479" s="1" t="s">
        <v>641</v>
      </c>
      <c r="B479" s="1">
        <v>1.0</v>
      </c>
      <c r="C479" s="1" t="s">
        <v>25</v>
      </c>
      <c r="D479" s="1">
        <v>2.7550596E7</v>
      </c>
      <c r="E479" s="1" t="s">
        <v>25</v>
      </c>
      <c r="F479" s="1" t="s">
        <v>25</v>
      </c>
      <c r="G479" s="1" t="s">
        <v>25</v>
      </c>
      <c r="H479" s="1" t="s">
        <v>25</v>
      </c>
      <c r="I479" s="1" t="s">
        <v>25</v>
      </c>
      <c r="J479" s="1" t="s">
        <v>25</v>
      </c>
      <c r="K479" s="1" t="s">
        <v>25</v>
      </c>
      <c r="L479" s="1" t="s">
        <v>25</v>
      </c>
      <c r="M479" s="3" t="str">
        <f>+54 9 3515 59-7726</f>
        <v>#ERROR!</v>
      </c>
      <c r="N479" s="1" t="s">
        <v>25</v>
      </c>
      <c r="O479" s="1" t="s">
        <v>25</v>
      </c>
      <c r="P479" s="1" t="s">
        <v>25</v>
      </c>
      <c r="Q479" s="1" t="s">
        <v>25</v>
      </c>
      <c r="R479" s="1" t="s">
        <v>25</v>
      </c>
      <c r="S479" s="2">
        <v>46044.65142361111</v>
      </c>
      <c r="T479" s="2">
        <v>46044.68084490741</v>
      </c>
    </row>
    <row r="480">
      <c r="A480" s="1" t="s">
        <v>667</v>
      </c>
      <c r="B480" s="1">
        <v>1.0</v>
      </c>
      <c r="C480" s="1">
        <v>96.0</v>
      </c>
      <c r="D480" s="1">
        <v>0.0</v>
      </c>
      <c r="E480" s="1" t="s">
        <v>25</v>
      </c>
      <c r="F480" s="1" t="s">
        <v>25</v>
      </c>
      <c r="G480" s="1" t="s">
        <v>25</v>
      </c>
      <c r="H480" s="1" t="s">
        <v>25</v>
      </c>
      <c r="I480" s="1" t="s">
        <v>25</v>
      </c>
      <c r="J480" s="1" t="s">
        <v>25</v>
      </c>
      <c r="K480" s="1" t="s">
        <v>25</v>
      </c>
      <c r="L480" s="1" t="s">
        <v>25</v>
      </c>
      <c r="M480" s="1">
        <v>3.513338664E9</v>
      </c>
      <c r="N480" s="1" t="s">
        <v>25</v>
      </c>
      <c r="O480" s="1" t="s">
        <v>25</v>
      </c>
      <c r="P480" s="1" t="s">
        <v>25</v>
      </c>
      <c r="Q480" s="1" t="s">
        <v>25</v>
      </c>
      <c r="R480" s="1" t="s">
        <v>25</v>
      </c>
      <c r="S480" s="2">
        <v>46044.686840277776</v>
      </c>
      <c r="T480" s="2">
        <v>46044.686840277776</v>
      </c>
    </row>
    <row r="481">
      <c r="A481" s="1" t="s">
        <v>643</v>
      </c>
      <c r="B481" s="1">
        <v>1.0</v>
      </c>
      <c r="C481" s="1">
        <v>96.0</v>
      </c>
      <c r="D481" s="1">
        <v>3.0708375019E10</v>
      </c>
      <c r="E481" s="1" t="s">
        <v>25</v>
      </c>
      <c r="F481" s="1" t="s">
        <v>25</v>
      </c>
      <c r="G481" s="1" t="s">
        <v>25</v>
      </c>
      <c r="H481" s="1" t="s">
        <v>25</v>
      </c>
      <c r="I481" s="1" t="s">
        <v>25</v>
      </c>
      <c r="J481" s="1" t="s">
        <v>25</v>
      </c>
      <c r="K481" s="1" t="s">
        <v>25</v>
      </c>
      <c r="L481" s="1" t="s">
        <v>25</v>
      </c>
      <c r="M481" s="1">
        <v>5.43436618212E11</v>
      </c>
      <c r="N481" s="1" t="s">
        <v>1411</v>
      </c>
      <c r="O481" s="1" t="s">
        <v>25</v>
      </c>
      <c r="P481" s="1" t="s">
        <v>25</v>
      </c>
      <c r="Q481" s="1" t="s">
        <v>25</v>
      </c>
      <c r="R481" s="1" t="s">
        <v>25</v>
      </c>
      <c r="S481" s="2">
        <v>46044.69366898148</v>
      </c>
      <c r="T481" s="2">
        <v>46044.69366898148</v>
      </c>
    </row>
    <row r="482">
      <c r="A482" s="1" t="s">
        <v>644</v>
      </c>
      <c r="B482" s="1">
        <v>1.0</v>
      </c>
      <c r="C482" s="1">
        <v>80.0</v>
      </c>
      <c r="D482" s="1">
        <v>2.3386152314E10</v>
      </c>
      <c r="E482" s="1" t="s">
        <v>25</v>
      </c>
      <c r="F482" s="1" t="s">
        <v>25</v>
      </c>
      <c r="G482" s="1" t="s">
        <v>25</v>
      </c>
      <c r="H482" s="1" t="s">
        <v>25</v>
      </c>
      <c r="I482" s="1" t="s">
        <v>25</v>
      </c>
      <c r="J482" s="1" t="s">
        <v>25</v>
      </c>
      <c r="K482" s="1" t="s">
        <v>25</v>
      </c>
      <c r="L482" s="1" t="s">
        <v>25</v>
      </c>
      <c r="M482" s="1" t="s">
        <v>1412</v>
      </c>
      <c r="N482" s="1" t="s">
        <v>25</v>
      </c>
      <c r="O482" s="1" t="s">
        <v>25</v>
      </c>
      <c r="P482" s="1" t="s">
        <v>25</v>
      </c>
      <c r="Q482" s="1" t="s">
        <v>25</v>
      </c>
      <c r="R482" s="1" t="s">
        <v>25</v>
      </c>
      <c r="S482" s="2">
        <v>46044.696284722224</v>
      </c>
      <c r="T482" s="2">
        <v>46044.696284722224</v>
      </c>
    </row>
    <row r="483">
      <c r="A483" s="1" t="s">
        <v>1413</v>
      </c>
      <c r="B483" s="1" t="s">
        <v>25</v>
      </c>
      <c r="C483" s="1">
        <v>96.0</v>
      </c>
      <c r="D483" s="1">
        <v>2.5202456E7</v>
      </c>
      <c r="E483" s="1" t="s">
        <v>25</v>
      </c>
      <c r="F483" s="1" t="s">
        <v>25</v>
      </c>
      <c r="G483" s="1" t="s">
        <v>25</v>
      </c>
      <c r="H483" s="1" t="s">
        <v>25</v>
      </c>
      <c r="I483" s="1" t="s">
        <v>25</v>
      </c>
      <c r="J483" s="1" t="s">
        <v>25</v>
      </c>
      <c r="K483" s="1" t="s">
        <v>25</v>
      </c>
      <c r="L483" s="1" t="s">
        <v>25</v>
      </c>
      <c r="M483" s="1">
        <v>3.512381171E9</v>
      </c>
      <c r="N483" s="1" t="s">
        <v>25</v>
      </c>
      <c r="O483" s="1" t="s">
        <v>25</v>
      </c>
      <c r="P483" s="1" t="s">
        <v>25</v>
      </c>
      <c r="Q483" s="1" t="s">
        <v>25</v>
      </c>
      <c r="R483" s="1" t="s">
        <v>25</v>
      </c>
      <c r="S483" s="2">
        <v>46044.7165625</v>
      </c>
      <c r="T483" s="2">
        <v>46044.7165625</v>
      </c>
    </row>
    <row r="484">
      <c r="A484" s="1" t="s">
        <v>646</v>
      </c>
      <c r="B484" s="1">
        <v>1.0</v>
      </c>
      <c r="C484" s="1">
        <v>96.0</v>
      </c>
      <c r="D484" s="1">
        <v>2.5508114E7</v>
      </c>
      <c r="E484" s="1" t="s">
        <v>25</v>
      </c>
      <c r="F484" s="1" t="s">
        <v>25</v>
      </c>
      <c r="G484" s="1" t="s">
        <v>25</v>
      </c>
      <c r="H484" s="1" t="s">
        <v>25</v>
      </c>
      <c r="I484" s="1" t="s">
        <v>25</v>
      </c>
      <c r="J484" s="1" t="s">
        <v>25</v>
      </c>
      <c r="K484" s="1" t="s">
        <v>25</v>
      </c>
      <c r="L484" s="1" t="s">
        <v>25</v>
      </c>
      <c r="M484" s="1">
        <v>3.515284753E9</v>
      </c>
      <c r="N484" s="1" t="s">
        <v>1414</v>
      </c>
      <c r="O484" s="1" t="s">
        <v>25</v>
      </c>
      <c r="P484" s="1" t="s">
        <v>25</v>
      </c>
      <c r="Q484" s="1" t="s">
        <v>25</v>
      </c>
      <c r="R484" s="1" t="s">
        <v>25</v>
      </c>
      <c r="S484" s="2">
        <v>46044.78417824074</v>
      </c>
      <c r="T484" s="2">
        <v>46044.78417824074</v>
      </c>
    </row>
    <row r="485">
      <c r="A485" s="1" t="s">
        <v>647</v>
      </c>
      <c r="B485" s="1">
        <v>1.0</v>
      </c>
      <c r="C485" s="1">
        <v>96.0</v>
      </c>
      <c r="D485" s="1">
        <v>1.7139534E7</v>
      </c>
      <c r="E485" s="1" t="s">
        <v>25</v>
      </c>
      <c r="F485" s="1" t="s">
        <v>25</v>
      </c>
      <c r="G485" s="1" t="s">
        <v>25</v>
      </c>
      <c r="H485" s="1" t="s">
        <v>25</v>
      </c>
      <c r="I485" s="1" t="s">
        <v>25</v>
      </c>
      <c r="J485" s="1" t="s">
        <v>25</v>
      </c>
      <c r="K485" s="1" t="s">
        <v>25</v>
      </c>
      <c r="L485" s="1" t="s">
        <v>25</v>
      </c>
      <c r="M485" s="3" t="str">
        <f>+54 9 3513 15-5761</f>
        <v>#ERROR!</v>
      </c>
      <c r="N485" s="1" t="s">
        <v>1415</v>
      </c>
      <c r="O485" s="1" t="s">
        <v>25</v>
      </c>
      <c r="P485" s="1" t="s">
        <v>25</v>
      </c>
      <c r="Q485" s="1" t="s">
        <v>25</v>
      </c>
      <c r="R485" s="1" t="s">
        <v>25</v>
      </c>
      <c r="S485" s="2">
        <v>46044.81215277778</v>
      </c>
      <c r="T485" s="2">
        <v>46044.81215277778</v>
      </c>
    </row>
    <row r="486">
      <c r="A486" s="1" t="s">
        <v>648</v>
      </c>
      <c r="B486" s="1">
        <v>1.0</v>
      </c>
      <c r="C486" s="1">
        <v>96.0</v>
      </c>
      <c r="D486" s="1">
        <v>1.0</v>
      </c>
      <c r="E486" s="1" t="s">
        <v>25</v>
      </c>
      <c r="F486" s="1" t="s">
        <v>25</v>
      </c>
      <c r="G486" s="1" t="s">
        <v>25</v>
      </c>
      <c r="H486" s="1" t="s">
        <v>25</v>
      </c>
      <c r="I486" s="1" t="s">
        <v>25</v>
      </c>
      <c r="J486" s="1" t="s">
        <v>25</v>
      </c>
      <c r="K486" s="1" t="s">
        <v>25</v>
      </c>
      <c r="L486" s="1" t="s">
        <v>25</v>
      </c>
      <c r="M486" s="1">
        <v>3.512032233E9</v>
      </c>
      <c r="N486" s="1" t="s">
        <v>25</v>
      </c>
      <c r="O486" s="1" t="s">
        <v>25</v>
      </c>
      <c r="P486" s="1" t="s">
        <v>25</v>
      </c>
      <c r="Q486" s="1" t="s">
        <v>25</v>
      </c>
      <c r="R486" s="1" t="s">
        <v>25</v>
      </c>
      <c r="S486" s="2">
        <v>46044.81554398148</v>
      </c>
      <c r="T486" s="2">
        <v>46044.81554398148</v>
      </c>
    </row>
    <row r="487">
      <c r="A487" s="1" t="s">
        <v>668</v>
      </c>
      <c r="B487" s="1">
        <v>2.0</v>
      </c>
      <c r="C487" s="1">
        <v>96.0</v>
      </c>
      <c r="D487" s="1">
        <v>1.0</v>
      </c>
      <c r="E487" s="1" t="s">
        <v>25</v>
      </c>
      <c r="F487" s="1" t="s">
        <v>25</v>
      </c>
      <c r="G487" s="1" t="s">
        <v>25</v>
      </c>
      <c r="H487" s="1" t="s">
        <v>25</v>
      </c>
      <c r="I487" s="1" t="s">
        <v>25</v>
      </c>
      <c r="J487" s="1" t="s">
        <v>25</v>
      </c>
      <c r="K487" s="1" t="s">
        <v>25</v>
      </c>
      <c r="L487" s="1" t="s">
        <v>25</v>
      </c>
      <c r="M487" s="3" t="str">
        <f>+54 9 3516 11-8870</f>
        <v>#ERROR!</v>
      </c>
      <c r="N487" s="1" t="s">
        <v>25</v>
      </c>
      <c r="O487" s="1" t="s">
        <v>25</v>
      </c>
      <c r="P487" s="1" t="s">
        <v>25</v>
      </c>
      <c r="Q487" s="1" t="s">
        <v>25</v>
      </c>
      <c r="R487" s="1" t="s">
        <v>25</v>
      </c>
      <c r="S487" s="2">
        <v>46044.81784722222</v>
      </c>
      <c r="T487" s="2">
        <v>46045.44101851852</v>
      </c>
    </row>
    <row r="488">
      <c r="A488" s="1" t="s">
        <v>650</v>
      </c>
      <c r="B488" s="1">
        <v>2.0</v>
      </c>
      <c r="C488" s="1">
        <v>96.0</v>
      </c>
      <c r="D488" s="1">
        <v>4.1681272E7</v>
      </c>
      <c r="E488" s="1" t="s">
        <v>25</v>
      </c>
      <c r="F488" s="1" t="s">
        <v>25</v>
      </c>
      <c r="G488" s="1" t="s">
        <v>25</v>
      </c>
      <c r="H488" s="1" t="s">
        <v>25</v>
      </c>
      <c r="I488" s="1" t="s">
        <v>25</v>
      </c>
      <c r="J488" s="1" t="s">
        <v>25</v>
      </c>
      <c r="K488" s="1" t="s">
        <v>25</v>
      </c>
      <c r="L488" s="1" t="s">
        <v>25</v>
      </c>
      <c r="M488" s="1">
        <v>3.513947989E9</v>
      </c>
      <c r="N488" s="1" t="s">
        <v>25</v>
      </c>
      <c r="O488" s="1" t="s">
        <v>25</v>
      </c>
      <c r="P488" s="1" t="s">
        <v>25</v>
      </c>
      <c r="Q488" s="1" t="s">
        <v>25</v>
      </c>
      <c r="R488" s="1" t="s">
        <v>25</v>
      </c>
      <c r="S488" s="2">
        <v>46045.74155092592</v>
      </c>
      <c r="T488" s="2">
        <v>46045.74155092592</v>
      </c>
    </row>
    <row r="489">
      <c r="A489" s="1" t="s">
        <v>654</v>
      </c>
      <c r="B489" s="1">
        <v>2.0</v>
      </c>
      <c r="C489" s="1">
        <v>96.0</v>
      </c>
      <c r="D489" s="1">
        <v>5.578507E7</v>
      </c>
      <c r="E489" s="1" t="s">
        <v>25</v>
      </c>
      <c r="F489" s="1" t="s">
        <v>25</v>
      </c>
      <c r="G489" s="1" t="s">
        <v>25</v>
      </c>
      <c r="H489" s="1" t="s">
        <v>25</v>
      </c>
      <c r="I489" s="1" t="s">
        <v>25</v>
      </c>
      <c r="J489" s="1" t="s">
        <v>25</v>
      </c>
      <c r="K489" s="1" t="s">
        <v>25</v>
      </c>
      <c r="L489" s="1" t="s">
        <v>25</v>
      </c>
      <c r="M489" s="1">
        <v>3.546439953E9</v>
      </c>
      <c r="N489" s="1" t="s">
        <v>1416</v>
      </c>
      <c r="O489" s="1" t="s">
        <v>25</v>
      </c>
      <c r="P489" s="1" t="s">
        <v>25</v>
      </c>
      <c r="Q489" s="1" t="s">
        <v>25</v>
      </c>
      <c r="R489" s="1" t="s">
        <v>25</v>
      </c>
      <c r="S489" s="2">
        <v>46046.49658564815</v>
      </c>
      <c r="T489" s="2">
        <v>46046.49658564815</v>
      </c>
    </row>
    <row r="490">
      <c r="A490" s="1" t="s">
        <v>653</v>
      </c>
      <c r="B490" s="1">
        <v>1.0</v>
      </c>
      <c r="C490" s="1">
        <v>96.0</v>
      </c>
      <c r="D490" s="1">
        <v>2.8850245E7</v>
      </c>
      <c r="E490" s="1" t="s">
        <v>25</v>
      </c>
      <c r="F490" s="1" t="s">
        <v>25</v>
      </c>
      <c r="G490" s="1" t="s">
        <v>25</v>
      </c>
      <c r="H490" s="1" t="s">
        <v>25</v>
      </c>
      <c r="I490" s="1" t="s">
        <v>25</v>
      </c>
      <c r="J490" s="1" t="s">
        <v>25</v>
      </c>
      <c r="K490" s="1" t="s">
        <v>25</v>
      </c>
      <c r="L490" s="1" t="s">
        <v>25</v>
      </c>
      <c r="M490" s="1">
        <v>1.56130765E8</v>
      </c>
      <c r="N490" s="1" t="s">
        <v>1417</v>
      </c>
      <c r="O490" s="1" t="s">
        <v>25</v>
      </c>
      <c r="P490" s="1" t="s">
        <v>25</v>
      </c>
      <c r="Q490" s="1" t="s">
        <v>25</v>
      </c>
      <c r="R490" s="1" t="s">
        <v>25</v>
      </c>
      <c r="S490" s="2">
        <v>46046.54965277778</v>
      </c>
      <c r="T490" s="2">
        <v>46046.54965277778</v>
      </c>
    </row>
    <row r="491">
      <c r="A491" s="1" t="s">
        <v>655</v>
      </c>
      <c r="B491" s="1">
        <v>2.0</v>
      </c>
      <c r="C491" s="1">
        <v>96.0</v>
      </c>
      <c r="D491" s="1">
        <v>4.1265665E7</v>
      </c>
      <c r="E491" s="1" t="s">
        <v>25</v>
      </c>
      <c r="F491" s="1" t="s">
        <v>25</v>
      </c>
      <c r="G491" s="1" t="s">
        <v>25</v>
      </c>
      <c r="H491" s="1" t="s">
        <v>25</v>
      </c>
      <c r="I491" s="1" t="s">
        <v>25</v>
      </c>
      <c r="J491" s="1" t="s">
        <v>25</v>
      </c>
      <c r="K491" s="1" t="s">
        <v>25</v>
      </c>
      <c r="L491" s="1" t="s">
        <v>25</v>
      </c>
      <c r="M491" s="1">
        <v>3.543531737E9</v>
      </c>
      <c r="N491" s="1" t="s">
        <v>1418</v>
      </c>
      <c r="O491" s="1" t="s">
        <v>25</v>
      </c>
      <c r="P491" s="1" t="s">
        <v>25</v>
      </c>
      <c r="Q491" s="1" t="s">
        <v>25</v>
      </c>
      <c r="R491" s="1" t="s">
        <v>25</v>
      </c>
      <c r="S491" s="2">
        <v>46048.647881944446</v>
      </c>
      <c r="T491" s="2">
        <v>46048.647881944446</v>
      </c>
    </row>
    <row r="492">
      <c r="A492" s="1" t="s">
        <v>656</v>
      </c>
      <c r="B492" s="1">
        <v>1.0</v>
      </c>
      <c r="C492" s="1">
        <v>96.0</v>
      </c>
      <c r="D492" s="1">
        <v>1.8016442E7</v>
      </c>
      <c r="E492" s="1" t="s">
        <v>25</v>
      </c>
      <c r="F492" s="1" t="s">
        <v>25</v>
      </c>
      <c r="G492" s="1" t="s">
        <v>25</v>
      </c>
      <c r="H492" s="1" t="s">
        <v>25</v>
      </c>
      <c r="I492" s="1" t="s">
        <v>25</v>
      </c>
      <c r="J492" s="1" t="s">
        <v>25</v>
      </c>
      <c r="K492" s="1" t="s">
        <v>25</v>
      </c>
      <c r="L492" s="1" t="s">
        <v>25</v>
      </c>
      <c r="M492" s="1">
        <v>3.512310158E9</v>
      </c>
      <c r="N492" s="1" t="s">
        <v>1419</v>
      </c>
      <c r="O492" s="1" t="s">
        <v>25</v>
      </c>
      <c r="P492" s="1" t="s">
        <v>25</v>
      </c>
      <c r="Q492" s="1" t="s">
        <v>25</v>
      </c>
      <c r="R492" s="1" t="s">
        <v>25</v>
      </c>
      <c r="S492" s="2">
        <v>46048.71996527778</v>
      </c>
      <c r="T492" s="2">
        <v>46048.71996527778</v>
      </c>
    </row>
    <row r="493">
      <c r="A493" s="1" t="s">
        <v>657</v>
      </c>
      <c r="B493" s="1" t="s">
        <v>25</v>
      </c>
      <c r="C493" s="1">
        <v>96.0</v>
      </c>
      <c r="D493" s="1">
        <v>1.0028857E7</v>
      </c>
      <c r="E493" s="1" t="s">
        <v>25</v>
      </c>
      <c r="F493" s="1" t="s">
        <v>25</v>
      </c>
      <c r="G493" s="1" t="s">
        <v>25</v>
      </c>
      <c r="H493" s="1" t="s">
        <v>25</v>
      </c>
      <c r="I493" s="1" t="s">
        <v>1420</v>
      </c>
      <c r="J493" s="1" t="s">
        <v>25</v>
      </c>
      <c r="K493" s="1" t="s">
        <v>25</v>
      </c>
      <c r="L493" s="1" t="s">
        <v>25</v>
      </c>
      <c r="M493" s="1" t="s">
        <v>1421</v>
      </c>
      <c r="N493" s="1" t="s">
        <v>25</v>
      </c>
      <c r="O493" s="1" t="s">
        <v>25</v>
      </c>
      <c r="P493" s="1" t="s">
        <v>25</v>
      </c>
      <c r="Q493" s="1" t="s">
        <v>25</v>
      </c>
      <c r="R493" s="1" t="s">
        <v>25</v>
      </c>
      <c r="S493" s="2">
        <v>46048.82326388889</v>
      </c>
      <c r="T493" s="2">
        <v>46048.82326388889</v>
      </c>
    </row>
    <row r="494">
      <c r="A494" s="1" t="s">
        <v>1422</v>
      </c>
      <c r="B494" s="1">
        <v>2.0</v>
      </c>
      <c r="C494" s="1">
        <v>96.0</v>
      </c>
      <c r="D494" s="1">
        <v>1.4693384E7</v>
      </c>
      <c r="E494" s="1" t="s">
        <v>25</v>
      </c>
      <c r="F494" s="1" t="s">
        <v>25</v>
      </c>
      <c r="G494" s="1" t="s">
        <v>25</v>
      </c>
      <c r="H494" s="1" t="s">
        <v>25</v>
      </c>
      <c r="I494" s="1" t="s">
        <v>25</v>
      </c>
      <c r="J494" s="1" t="s">
        <v>25</v>
      </c>
      <c r="K494" s="1" t="s">
        <v>25</v>
      </c>
      <c r="L494" s="1" t="s">
        <v>25</v>
      </c>
      <c r="M494" s="1" t="s">
        <v>1423</v>
      </c>
      <c r="N494" s="1" t="s">
        <v>25</v>
      </c>
      <c r="O494" s="1" t="s">
        <v>25</v>
      </c>
      <c r="P494" s="1" t="s">
        <v>25</v>
      </c>
      <c r="Q494" s="1" t="s">
        <v>25</v>
      </c>
      <c r="R494" s="1" t="s">
        <v>25</v>
      </c>
      <c r="S494" s="2">
        <v>46049.71288194445</v>
      </c>
      <c r="T494" s="2">
        <v>46049.71288194445</v>
      </c>
    </row>
    <row r="495">
      <c r="A495" s="1" t="s">
        <v>659</v>
      </c>
      <c r="B495" s="1">
        <v>1.0</v>
      </c>
      <c r="C495" s="1">
        <v>96.0</v>
      </c>
      <c r="D495" s="1">
        <v>1.8523176E7</v>
      </c>
      <c r="E495" s="1" t="s">
        <v>25</v>
      </c>
      <c r="F495" s="1" t="s">
        <v>25</v>
      </c>
      <c r="G495" s="1" t="s">
        <v>25</v>
      </c>
      <c r="H495" s="1" t="s">
        <v>25</v>
      </c>
      <c r="I495" s="1" t="s">
        <v>25</v>
      </c>
      <c r="J495" s="1" t="s">
        <v>25</v>
      </c>
      <c r="K495" s="1" t="s">
        <v>25</v>
      </c>
      <c r="L495" s="1" t="s">
        <v>25</v>
      </c>
      <c r="M495" s="1">
        <v>3.512684356E9</v>
      </c>
      <c r="N495" s="1" t="s">
        <v>1424</v>
      </c>
      <c r="O495" s="1" t="s">
        <v>25</v>
      </c>
      <c r="P495" s="1" t="s">
        <v>25</v>
      </c>
      <c r="Q495" s="1" t="s">
        <v>25</v>
      </c>
      <c r="R495" s="1" t="s">
        <v>25</v>
      </c>
      <c r="S495" s="2">
        <v>46049.7637962963</v>
      </c>
      <c r="T495" s="2">
        <v>46049.7637962963</v>
      </c>
    </row>
    <row r="496">
      <c r="A496" s="1" t="s">
        <v>661</v>
      </c>
      <c r="B496" s="1">
        <v>1.0</v>
      </c>
      <c r="C496" s="1">
        <v>96.0</v>
      </c>
      <c r="D496" s="1">
        <v>4.09205E7</v>
      </c>
      <c r="E496" s="1" t="s">
        <v>25</v>
      </c>
      <c r="F496" s="1" t="s">
        <v>25</v>
      </c>
      <c r="G496" s="1" t="s">
        <v>25</v>
      </c>
      <c r="H496" s="1" t="s">
        <v>25</v>
      </c>
      <c r="I496" s="1" t="s">
        <v>25</v>
      </c>
      <c r="J496" s="1" t="s">
        <v>25</v>
      </c>
      <c r="K496" s="1" t="s">
        <v>25</v>
      </c>
      <c r="L496" s="1" t="s">
        <v>25</v>
      </c>
      <c r="M496" s="1">
        <v>3.518146971E9</v>
      </c>
      <c r="N496" s="1" t="s">
        <v>1425</v>
      </c>
      <c r="O496" s="1" t="s">
        <v>25</v>
      </c>
      <c r="P496" s="1" t="s">
        <v>25</v>
      </c>
      <c r="Q496" s="1" t="s">
        <v>25</v>
      </c>
      <c r="R496" s="1" t="s">
        <v>25</v>
      </c>
      <c r="S496" s="2">
        <v>46051.599490740744</v>
      </c>
      <c r="T496" s="2">
        <v>46051.599490740744</v>
      </c>
    </row>
    <row r="497">
      <c r="A497" s="1" t="s">
        <v>662</v>
      </c>
      <c r="B497" s="1">
        <v>1.0</v>
      </c>
      <c r="C497" s="1">
        <v>96.0</v>
      </c>
      <c r="D497" s="1">
        <v>3.5964594E7</v>
      </c>
      <c r="E497" s="1" t="s">
        <v>25</v>
      </c>
      <c r="F497" s="1" t="s">
        <v>25</v>
      </c>
      <c r="G497" s="1" t="s">
        <v>25</v>
      </c>
      <c r="H497" s="1" t="s">
        <v>25</v>
      </c>
      <c r="I497" s="1" t="s">
        <v>25</v>
      </c>
      <c r="J497" s="1" t="s">
        <v>25</v>
      </c>
      <c r="K497" s="1" t="s">
        <v>25</v>
      </c>
      <c r="L497" s="1" t="s">
        <v>25</v>
      </c>
      <c r="M497" s="1">
        <v>3.51306021E9</v>
      </c>
      <c r="N497" s="1" t="s">
        <v>1426</v>
      </c>
      <c r="O497" s="1" t="s">
        <v>25</v>
      </c>
      <c r="P497" s="1" t="s">
        <v>25</v>
      </c>
      <c r="Q497" s="1" t="s">
        <v>25</v>
      </c>
      <c r="R497" s="1" t="s">
        <v>25</v>
      </c>
      <c r="S497" s="2">
        <v>46051.783321759256</v>
      </c>
      <c r="T497" s="2">
        <v>46051.783321759256</v>
      </c>
    </row>
    <row r="498">
      <c r="A498" s="1" t="s">
        <v>663</v>
      </c>
      <c r="B498" s="1">
        <v>2.0</v>
      </c>
      <c r="C498" s="1">
        <v>96.0</v>
      </c>
      <c r="D498" s="1">
        <v>2.7651648E7</v>
      </c>
      <c r="E498" s="1" t="s">
        <v>25</v>
      </c>
      <c r="F498" s="1" t="s">
        <v>25</v>
      </c>
      <c r="G498" s="1" t="s">
        <v>25</v>
      </c>
      <c r="H498" s="1" t="s">
        <v>25</v>
      </c>
      <c r="I498" s="1" t="s">
        <v>25</v>
      </c>
      <c r="J498" s="1" t="s">
        <v>25</v>
      </c>
      <c r="K498" s="1" t="s">
        <v>25</v>
      </c>
      <c r="L498" s="1" t="s">
        <v>25</v>
      </c>
      <c r="M498" s="1">
        <v>3.512368974E9</v>
      </c>
      <c r="N498" s="1" t="s">
        <v>1427</v>
      </c>
      <c r="O498" s="1" t="s">
        <v>25</v>
      </c>
      <c r="P498" s="1" t="s">
        <v>25</v>
      </c>
      <c r="Q498" s="1" t="s">
        <v>25</v>
      </c>
      <c r="R498" s="1" t="s">
        <v>1428</v>
      </c>
      <c r="S498" s="2">
        <v>46052.60986111111</v>
      </c>
      <c r="T498" s="2">
        <v>46052.60986111111</v>
      </c>
    </row>
    <row r="499">
      <c r="A499" s="1" t="s">
        <v>665</v>
      </c>
      <c r="B499" s="1">
        <v>1.0</v>
      </c>
      <c r="C499" s="1">
        <v>96.0</v>
      </c>
      <c r="D499" s="1">
        <v>2.5919583E7</v>
      </c>
      <c r="E499" s="1" t="s">
        <v>25</v>
      </c>
      <c r="F499" s="1" t="s">
        <v>25</v>
      </c>
      <c r="G499" s="1" t="s">
        <v>25</v>
      </c>
      <c r="H499" s="1" t="s">
        <v>25</v>
      </c>
      <c r="I499" s="1" t="s">
        <v>25</v>
      </c>
      <c r="J499" s="1" t="s">
        <v>25</v>
      </c>
      <c r="K499" s="1" t="s">
        <v>25</v>
      </c>
      <c r="L499" s="1" t="s">
        <v>25</v>
      </c>
      <c r="M499" s="1">
        <v>3.516163359E9</v>
      </c>
      <c r="N499" s="1" t="s">
        <v>1429</v>
      </c>
      <c r="O499" s="1" t="s">
        <v>25</v>
      </c>
      <c r="P499" s="1" t="s">
        <v>25</v>
      </c>
      <c r="Q499" s="1" t="s">
        <v>25</v>
      </c>
      <c r="R499" s="1" t="s">
        <v>25</v>
      </c>
      <c r="S499" s="2">
        <v>46052.74642361111</v>
      </c>
      <c r="T499" s="2">
        <v>46052.74642361111</v>
      </c>
    </row>
    <row r="500">
      <c r="A500" s="1" t="s">
        <v>666</v>
      </c>
      <c r="B500" s="1">
        <v>1.0</v>
      </c>
      <c r="C500" s="1">
        <v>96.0</v>
      </c>
      <c r="D500" s="1">
        <v>3.7415282E7</v>
      </c>
      <c r="E500" s="1" t="s">
        <v>25</v>
      </c>
      <c r="F500" s="1" t="s">
        <v>25</v>
      </c>
      <c r="G500" s="1" t="s">
        <v>25</v>
      </c>
      <c r="H500" s="1" t="s">
        <v>25</v>
      </c>
      <c r="I500" s="1" t="s">
        <v>25</v>
      </c>
      <c r="J500" s="1" t="s">
        <v>25</v>
      </c>
      <c r="K500" s="1" t="s">
        <v>25</v>
      </c>
      <c r="L500" s="1" t="s">
        <v>25</v>
      </c>
      <c r="M500" s="1">
        <v>3.85571839E8</v>
      </c>
      <c r="N500" s="1" t="s">
        <v>1430</v>
      </c>
      <c r="O500" s="1" t="s">
        <v>25</v>
      </c>
      <c r="P500" s="1" t="s">
        <v>25</v>
      </c>
      <c r="Q500" s="1" t="s">
        <v>25</v>
      </c>
      <c r="R500" s="1" t="s">
        <v>25</v>
      </c>
      <c r="S500" s="2">
        <v>46053.53008101852</v>
      </c>
      <c r="T500" s="2">
        <v>46053.53008101852</v>
      </c>
    </row>
    <row r="501">
      <c r="A501" s="1" t="s">
        <v>669</v>
      </c>
      <c r="B501" s="1">
        <v>1.0</v>
      </c>
      <c r="C501" s="1" t="s">
        <v>25</v>
      </c>
      <c r="D501" s="1">
        <v>4.2336644E7</v>
      </c>
      <c r="E501" s="1" t="s">
        <v>25</v>
      </c>
      <c r="F501" s="1" t="s">
        <v>25</v>
      </c>
      <c r="G501" s="1" t="s">
        <v>25</v>
      </c>
      <c r="H501" s="1" t="s">
        <v>25</v>
      </c>
      <c r="I501" s="1" t="s">
        <v>25</v>
      </c>
      <c r="J501" s="1" t="s">
        <v>25</v>
      </c>
      <c r="K501" s="1" t="s">
        <v>25</v>
      </c>
      <c r="L501" s="1" t="s">
        <v>25</v>
      </c>
      <c r="M501" s="1">
        <v>3.517527893E9</v>
      </c>
      <c r="N501" s="1" t="s">
        <v>1431</v>
      </c>
      <c r="O501" s="1" t="s">
        <v>25</v>
      </c>
      <c r="P501" s="1" t="s">
        <v>25</v>
      </c>
      <c r="Q501" s="1" t="s">
        <v>25</v>
      </c>
      <c r="R501" s="1" t="s">
        <v>25</v>
      </c>
      <c r="S501" s="2">
        <v>46053.58645833333</v>
      </c>
      <c r="T501" s="2">
        <v>46053.58645833333</v>
      </c>
    </row>
    <row r="502">
      <c r="A502" s="1" t="s">
        <v>670</v>
      </c>
      <c r="B502" s="1">
        <v>1.0</v>
      </c>
      <c r="C502" s="1">
        <v>96.0</v>
      </c>
      <c r="D502" s="1" t="s">
        <v>1432</v>
      </c>
      <c r="E502" s="1" t="s">
        <v>25</v>
      </c>
      <c r="F502" s="1" t="s">
        <v>25</v>
      </c>
      <c r="G502" s="1" t="s">
        <v>25</v>
      </c>
      <c r="H502" s="1" t="s">
        <v>25</v>
      </c>
      <c r="I502" s="1" t="s">
        <v>1433</v>
      </c>
      <c r="J502" s="1" t="s">
        <v>25</v>
      </c>
      <c r="K502" s="1" t="s">
        <v>25</v>
      </c>
      <c r="L502" s="1">
        <v>4.0</v>
      </c>
      <c r="M502" s="3" t="str">
        <f>+54 9 3522 46-9734</f>
        <v>#ERROR!</v>
      </c>
      <c r="N502" s="1" t="s">
        <v>1434</v>
      </c>
      <c r="O502" s="1" t="s">
        <v>25</v>
      </c>
      <c r="P502" s="1" t="s">
        <v>25</v>
      </c>
      <c r="Q502" s="1" t="s">
        <v>25</v>
      </c>
      <c r="R502" s="1" t="s">
        <v>1435</v>
      </c>
      <c r="S502" s="2">
        <v>46055.52381944445</v>
      </c>
      <c r="T502" s="2">
        <v>46055.52381944445</v>
      </c>
    </row>
    <row r="503">
      <c r="A503" s="1" t="s">
        <v>672</v>
      </c>
      <c r="B503" s="1">
        <v>1.0</v>
      </c>
      <c r="C503" s="1">
        <v>96.0</v>
      </c>
      <c r="D503" s="1">
        <v>2.575599E7</v>
      </c>
      <c r="E503" s="1" t="s">
        <v>25</v>
      </c>
      <c r="F503" s="1" t="s">
        <v>25</v>
      </c>
      <c r="G503" s="1" t="s">
        <v>25</v>
      </c>
      <c r="H503" s="1" t="s">
        <v>25</v>
      </c>
      <c r="I503" s="1" t="s">
        <v>25</v>
      </c>
      <c r="J503" s="1" t="s">
        <v>25</v>
      </c>
      <c r="K503" s="1" t="s">
        <v>25</v>
      </c>
      <c r="L503" s="1" t="s">
        <v>25</v>
      </c>
      <c r="M503" s="1" t="s">
        <v>1436</v>
      </c>
      <c r="N503" s="1" t="s">
        <v>1437</v>
      </c>
      <c r="O503" s="1" t="s">
        <v>25</v>
      </c>
      <c r="P503" s="1" t="s">
        <v>25</v>
      </c>
      <c r="Q503" s="1" t="s">
        <v>25</v>
      </c>
      <c r="R503" s="1" t="s">
        <v>25</v>
      </c>
      <c r="S503" s="2">
        <v>46055.697858796295</v>
      </c>
      <c r="T503" s="2">
        <v>46055.697858796295</v>
      </c>
    </row>
    <row r="504">
      <c r="A504" s="1" t="s">
        <v>673</v>
      </c>
      <c r="B504" s="1">
        <v>1.0</v>
      </c>
      <c r="C504" s="1">
        <v>96.0</v>
      </c>
      <c r="D504" s="1">
        <v>2.8072151E7</v>
      </c>
      <c r="E504" s="1" t="s">
        <v>25</v>
      </c>
      <c r="F504" s="1" t="s">
        <v>25</v>
      </c>
      <c r="G504" s="1" t="s">
        <v>25</v>
      </c>
      <c r="H504" s="1" t="s">
        <v>25</v>
      </c>
      <c r="I504" s="1" t="s">
        <v>25</v>
      </c>
      <c r="J504" s="1" t="s">
        <v>25</v>
      </c>
      <c r="K504" s="1" t="s">
        <v>25</v>
      </c>
      <c r="L504" s="1" t="s">
        <v>25</v>
      </c>
      <c r="M504" s="3" t="str">
        <f>+54 9 3513 23-4892</f>
        <v>#ERROR!</v>
      </c>
      <c r="N504" s="1" t="s">
        <v>1438</v>
      </c>
      <c r="O504" s="1" t="s">
        <v>25</v>
      </c>
      <c r="P504" s="1" t="s">
        <v>25</v>
      </c>
      <c r="Q504" s="1" t="s">
        <v>25</v>
      </c>
      <c r="R504" s="1" t="s">
        <v>1439</v>
      </c>
      <c r="S504" s="2">
        <v>46056.48857638889</v>
      </c>
      <c r="T504" s="2">
        <v>46056.48857638889</v>
      </c>
    </row>
    <row r="505">
      <c r="A505" s="1" t="s">
        <v>676</v>
      </c>
      <c r="B505" s="1">
        <v>1.0</v>
      </c>
      <c r="C505" s="1">
        <v>96.0</v>
      </c>
      <c r="D505" s="1">
        <v>3.4909418E7</v>
      </c>
      <c r="E505" s="1" t="s">
        <v>25</v>
      </c>
      <c r="F505" s="1" t="s">
        <v>25</v>
      </c>
      <c r="G505" s="1" t="s">
        <v>25</v>
      </c>
      <c r="H505" s="1" t="s">
        <v>25</v>
      </c>
      <c r="I505" s="1" t="s">
        <v>25</v>
      </c>
      <c r="J505" s="1" t="s">
        <v>25</v>
      </c>
      <c r="K505" s="1" t="s">
        <v>25</v>
      </c>
      <c r="L505" s="1" t="s">
        <v>25</v>
      </c>
      <c r="M505" s="1">
        <v>3.512492906E9</v>
      </c>
      <c r="N505" s="1" t="s">
        <v>1440</v>
      </c>
      <c r="O505" s="1" t="s">
        <v>25</v>
      </c>
      <c r="P505" s="1" t="s">
        <v>25</v>
      </c>
      <c r="Q505" s="1" t="s">
        <v>25</v>
      </c>
      <c r="R505" s="1" t="s">
        <v>25</v>
      </c>
      <c r="S505" s="2">
        <v>46056.528865740744</v>
      </c>
      <c r="T505" s="2">
        <v>46056.528865740744</v>
      </c>
    </row>
    <row r="506">
      <c r="A506" s="1" t="s">
        <v>677</v>
      </c>
      <c r="B506" s="1">
        <v>2.0</v>
      </c>
      <c r="C506" s="1">
        <v>96.0</v>
      </c>
      <c r="D506" s="1">
        <v>2.5756527E7</v>
      </c>
      <c r="E506" s="1" t="s">
        <v>25</v>
      </c>
      <c r="F506" s="1" t="s">
        <v>25</v>
      </c>
      <c r="G506" s="1" t="s">
        <v>25</v>
      </c>
      <c r="H506" s="1" t="s">
        <v>25</v>
      </c>
      <c r="I506" s="1" t="s">
        <v>25</v>
      </c>
      <c r="J506" s="1" t="s">
        <v>25</v>
      </c>
      <c r="K506" s="1" t="s">
        <v>25</v>
      </c>
      <c r="L506" s="1" t="s">
        <v>25</v>
      </c>
      <c r="M506" s="1" t="s">
        <v>1441</v>
      </c>
      <c r="N506" s="1" t="s">
        <v>1442</v>
      </c>
      <c r="O506" s="1" t="s">
        <v>25</v>
      </c>
      <c r="P506" s="1" t="s">
        <v>25</v>
      </c>
      <c r="Q506" s="1" t="s">
        <v>25</v>
      </c>
      <c r="R506" s="1" t="s">
        <v>25</v>
      </c>
      <c r="S506" s="2">
        <v>46056.72959490741</v>
      </c>
      <c r="T506" s="2">
        <v>46056.72959490741</v>
      </c>
    </row>
    <row r="507">
      <c r="A507" s="1" t="s">
        <v>678</v>
      </c>
      <c r="B507" s="1">
        <v>1.0</v>
      </c>
      <c r="C507" s="1">
        <v>96.0</v>
      </c>
      <c r="D507" s="1">
        <v>1.7796487E7</v>
      </c>
      <c r="E507" s="1" t="s">
        <v>25</v>
      </c>
      <c r="F507" s="1" t="s">
        <v>25</v>
      </c>
      <c r="G507" s="1" t="s">
        <v>25</v>
      </c>
      <c r="H507" s="1" t="s">
        <v>25</v>
      </c>
      <c r="I507" s="1" t="s">
        <v>25</v>
      </c>
      <c r="J507" s="1" t="s">
        <v>25</v>
      </c>
      <c r="K507" s="1" t="s">
        <v>25</v>
      </c>
      <c r="L507" s="1" t="s">
        <v>25</v>
      </c>
      <c r="M507" s="1">
        <v>3.512445551E9</v>
      </c>
      <c r="N507" s="1" t="s">
        <v>1443</v>
      </c>
      <c r="O507" s="1" t="s">
        <v>25</v>
      </c>
      <c r="P507" s="1" t="s">
        <v>25</v>
      </c>
      <c r="Q507" s="1" t="s">
        <v>25</v>
      </c>
      <c r="R507" s="1" t="s">
        <v>25</v>
      </c>
      <c r="S507" s="2">
        <v>46056.85673611111</v>
      </c>
      <c r="T507" s="2">
        <v>46056.85673611111</v>
      </c>
    </row>
    <row r="508">
      <c r="A508" s="1" t="s">
        <v>679</v>
      </c>
      <c r="B508" s="1" t="s">
        <v>25</v>
      </c>
      <c r="C508" s="1">
        <v>96.0</v>
      </c>
      <c r="D508" s="1">
        <v>1.7275526E7</v>
      </c>
      <c r="E508" s="1" t="s">
        <v>25</v>
      </c>
      <c r="F508" s="1" t="s">
        <v>25</v>
      </c>
      <c r="G508" s="1" t="s">
        <v>25</v>
      </c>
      <c r="H508" s="1" t="s">
        <v>25</v>
      </c>
      <c r="I508" s="1" t="s">
        <v>1444</v>
      </c>
      <c r="J508" s="1" t="s">
        <v>1445</v>
      </c>
      <c r="K508" s="1" t="s">
        <v>25</v>
      </c>
      <c r="L508" s="1">
        <v>23.0</v>
      </c>
      <c r="M508" s="1" t="s">
        <v>1446</v>
      </c>
      <c r="N508" s="1" t="s">
        <v>1447</v>
      </c>
      <c r="O508" s="1" t="s">
        <v>25</v>
      </c>
      <c r="P508" s="1" t="s">
        <v>25</v>
      </c>
      <c r="Q508" s="1" t="s">
        <v>25</v>
      </c>
      <c r="R508" s="1" t="s">
        <v>25</v>
      </c>
      <c r="S508" s="2">
        <v>46057.412511574075</v>
      </c>
      <c r="T508" s="2">
        <v>46057.412511574075</v>
      </c>
    </row>
    <row r="509">
      <c r="A509" s="1" t="s">
        <v>680</v>
      </c>
      <c r="B509" s="1">
        <v>1.0</v>
      </c>
      <c r="C509" s="1">
        <v>96.0</v>
      </c>
      <c r="D509" s="1">
        <v>4.3273124E7</v>
      </c>
      <c r="E509" s="1" t="s">
        <v>25</v>
      </c>
      <c r="F509" s="1" t="s">
        <v>25</v>
      </c>
      <c r="G509" s="1" t="s">
        <v>25</v>
      </c>
      <c r="H509" s="1" t="s">
        <v>25</v>
      </c>
      <c r="I509" s="1" t="s">
        <v>25</v>
      </c>
      <c r="J509" s="1" t="s">
        <v>25</v>
      </c>
      <c r="K509" s="1" t="s">
        <v>25</v>
      </c>
      <c r="L509" s="1" t="s">
        <v>25</v>
      </c>
      <c r="M509" s="1">
        <v>3.51206623E9</v>
      </c>
      <c r="N509" s="1" t="s">
        <v>1448</v>
      </c>
      <c r="O509" s="1" t="s">
        <v>25</v>
      </c>
      <c r="P509" s="1" t="s">
        <v>25</v>
      </c>
      <c r="Q509" s="1" t="s">
        <v>25</v>
      </c>
      <c r="R509" s="1" t="s">
        <v>25</v>
      </c>
      <c r="S509" s="2">
        <v>46057.43299768519</v>
      </c>
      <c r="T509" s="2">
        <v>46057.43299768519</v>
      </c>
    </row>
    <row r="510">
      <c r="A510" s="1" t="s">
        <v>681</v>
      </c>
      <c r="B510" s="1">
        <v>1.0</v>
      </c>
      <c r="C510" s="1">
        <v>96.0</v>
      </c>
      <c r="D510" s="1">
        <v>4.2693314E7</v>
      </c>
      <c r="E510" s="1" t="s">
        <v>25</v>
      </c>
      <c r="F510" s="1" t="s">
        <v>25</v>
      </c>
      <c r="G510" s="1" t="s">
        <v>25</v>
      </c>
      <c r="H510" s="1" t="s">
        <v>25</v>
      </c>
      <c r="I510" s="1" t="s">
        <v>25</v>
      </c>
      <c r="J510" s="1" t="s">
        <v>25</v>
      </c>
      <c r="K510" s="1" t="s">
        <v>25</v>
      </c>
      <c r="L510" s="1" t="s">
        <v>25</v>
      </c>
      <c r="M510" s="1">
        <v>3.513652471E9</v>
      </c>
      <c r="N510" s="1" t="s">
        <v>25</v>
      </c>
      <c r="O510" s="1" t="s">
        <v>25</v>
      </c>
      <c r="P510" s="1" t="s">
        <v>25</v>
      </c>
      <c r="Q510" s="1" t="s">
        <v>25</v>
      </c>
      <c r="R510" s="1" t="s">
        <v>25</v>
      </c>
      <c r="S510" s="2">
        <v>46057.52525462963</v>
      </c>
      <c r="T510" s="2">
        <v>46057.52525462963</v>
      </c>
    </row>
    <row r="511">
      <c r="A511" s="1" t="s">
        <v>682</v>
      </c>
      <c r="B511" s="1">
        <v>1.0</v>
      </c>
      <c r="C511" s="1">
        <v>96.0</v>
      </c>
      <c r="D511" s="1">
        <v>5.5841421E7</v>
      </c>
      <c r="E511" s="1" t="s">
        <v>25</v>
      </c>
      <c r="F511" s="1" t="s">
        <v>25</v>
      </c>
      <c r="G511" s="1" t="s">
        <v>25</v>
      </c>
      <c r="H511" s="1" t="s">
        <v>25</v>
      </c>
      <c r="I511" s="1" t="s">
        <v>25</v>
      </c>
      <c r="J511" s="1" t="s">
        <v>25</v>
      </c>
      <c r="K511" s="1" t="s">
        <v>25</v>
      </c>
      <c r="L511" s="1" t="s">
        <v>25</v>
      </c>
      <c r="M511" s="1" t="s">
        <v>1449</v>
      </c>
      <c r="N511" s="1" t="s">
        <v>25</v>
      </c>
      <c r="O511" s="1" t="s">
        <v>25</v>
      </c>
      <c r="P511" s="1" t="s">
        <v>25</v>
      </c>
      <c r="Q511" s="1" t="s">
        <v>25</v>
      </c>
      <c r="R511" s="1" t="s">
        <v>25</v>
      </c>
      <c r="S511" s="2">
        <v>46057.72677083333</v>
      </c>
      <c r="T511" s="2">
        <v>46057.72677083333</v>
      </c>
    </row>
    <row r="512">
      <c r="A512" s="1" t="s">
        <v>684</v>
      </c>
      <c r="B512" s="1">
        <v>1.0</v>
      </c>
      <c r="C512" s="1">
        <v>96.0</v>
      </c>
      <c r="D512" s="1">
        <v>2.1900039E7</v>
      </c>
      <c r="E512" s="1" t="s">
        <v>25</v>
      </c>
      <c r="F512" s="1" t="s">
        <v>25</v>
      </c>
      <c r="G512" s="1" t="s">
        <v>25</v>
      </c>
      <c r="H512" s="1" t="s">
        <v>25</v>
      </c>
      <c r="I512" s="1" t="s">
        <v>25</v>
      </c>
      <c r="J512" s="1" t="s">
        <v>25</v>
      </c>
      <c r="K512" s="1" t="s">
        <v>25</v>
      </c>
      <c r="L512" s="1" t="s">
        <v>25</v>
      </c>
      <c r="M512" s="1">
        <v>3.513468364E9</v>
      </c>
      <c r="N512" s="1" t="s">
        <v>1450</v>
      </c>
      <c r="O512" s="1" t="s">
        <v>25</v>
      </c>
      <c r="P512" s="1" t="s">
        <v>25</v>
      </c>
      <c r="Q512" s="1" t="s">
        <v>25</v>
      </c>
      <c r="R512" s="1" t="s">
        <v>25</v>
      </c>
      <c r="S512" s="2">
        <v>46057.830983796295</v>
      </c>
      <c r="T512" s="2">
        <v>46057.830983796295</v>
      </c>
    </row>
    <row r="513">
      <c r="A513" s="1" t="s">
        <v>685</v>
      </c>
      <c r="B513" s="1">
        <v>2.0</v>
      </c>
      <c r="C513" s="1">
        <v>96.0</v>
      </c>
      <c r="D513" s="1">
        <v>3.82408E7</v>
      </c>
      <c r="E513" s="1" t="s">
        <v>25</v>
      </c>
      <c r="F513" s="1" t="s">
        <v>25</v>
      </c>
      <c r="G513" s="1" t="s">
        <v>25</v>
      </c>
      <c r="H513" s="1" t="s">
        <v>25</v>
      </c>
      <c r="I513" s="1" t="s">
        <v>25</v>
      </c>
      <c r="J513" s="1" t="s">
        <v>25</v>
      </c>
      <c r="K513" s="1" t="s">
        <v>25</v>
      </c>
      <c r="L513" s="1" t="s">
        <v>25</v>
      </c>
      <c r="M513" s="1">
        <v>3.364103075E9</v>
      </c>
      <c r="N513" s="1" t="s">
        <v>25</v>
      </c>
      <c r="O513" s="1" t="s">
        <v>25</v>
      </c>
      <c r="P513" s="1" t="s">
        <v>25</v>
      </c>
      <c r="Q513" s="1" t="s">
        <v>25</v>
      </c>
      <c r="R513" s="1" t="s">
        <v>25</v>
      </c>
      <c r="S513" s="2">
        <v>46058.69332175926</v>
      </c>
      <c r="T513" s="2">
        <v>46058.69641203704</v>
      </c>
    </row>
    <row r="514">
      <c r="A514" s="1" t="s">
        <v>687</v>
      </c>
      <c r="B514" s="1">
        <v>1.0</v>
      </c>
      <c r="C514" s="1">
        <v>96.0</v>
      </c>
      <c r="D514" s="1">
        <v>4.4135887E7</v>
      </c>
      <c r="E514" s="1" t="s">
        <v>25</v>
      </c>
      <c r="F514" s="1" t="s">
        <v>25</v>
      </c>
      <c r="G514" s="1" t="s">
        <v>25</v>
      </c>
      <c r="H514" s="1" t="s">
        <v>25</v>
      </c>
      <c r="I514" s="1" t="s">
        <v>25</v>
      </c>
      <c r="J514" s="1" t="s">
        <v>25</v>
      </c>
      <c r="K514" s="1" t="s">
        <v>25</v>
      </c>
      <c r="L514" s="1" t="s">
        <v>25</v>
      </c>
      <c r="M514" s="1" t="s">
        <v>1451</v>
      </c>
      <c r="N514" s="1" t="s">
        <v>1452</v>
      </c>
      <c r="O514" s="1" t="s">
        <v>25</v>
      </c>
      <c r="P514" s="1" t="s">
        <v>25</v>
      </c>
      <c r="Q514" s="1" t="s">
        <v>25</v>
      </c>
      <c r="R514" s="1" t="s">
        <v>25</v>
      </c>
      <c r="S514" s="2">
        <v>46058.844664351855</v>
      </c>
      <c r="T514" s="2">
        <v>46058.844664351855</v>
      </c>
    </row>
    <row r="515">
      <c r="A515" s="1" t="s">
        <v>690</v>
      </c>
      <c r="B515" s="1">
        <v>1.0</v>
      </c>
      <c r="C515" s="1">
        <v>96.0</v>
      </c>
      <c r="D515" s="1">
        <v>4.4891097E7</v>
      </c>
      <c r="E515" s="1" t="s">
        <v>25</v>
      </c>
      <c r="F515" s="1" t="s">
        <v>25</v>
      </c>
      <c r="G515" s="1" t="s">
        <v>25</v>
      </c>
      <c r="H515" s="1" t="s">
        <v>25</v>
      </c>
      <c r="I515" s="1" t="s">
        <v>25</v>
      </c>
      <c r="J515" s="1" t="s">
        <v>25</v>
      </c>
      <c r="K515" s="1" t="s">
        <v>25</v>
      </c>
      <c r="L515" s="1" t="s">
        <v>25</v>
      </c>
      <c r="M515" s="1">
        <v>3.512131528E9</v>
      </c>
      <c r="N515" s="1" t="s">
        <v>1453</v>
      </c>
      <c r="O515" s="1" t="s">
        <v>25</v>
      </c>
      <c r="P515" s="1" t="s">
        <v>25</v>
      </c>
      <c r="Q515" s="1" t="s">
        <v>25</v>
      </c>
      <c r="R515" s="1" t="s">
        <v>25</v>
      </c>
      <c r="S515" s="2">
        <v>46059.5258912037</v>
      </c>
      <c r="T515" s="2">
        <v>46059.5258912037</v>
      </c>
    </row>
    <row r="516">
      <c r="A516" s="1" t="s">
        <v>691</v>
      </c>
      <c r="B516" s="1">
        <v>1.0</v>
      </c>
      <c r="C516" s="1">
        <v>96.0</v>
      </c>
      <c r="D516" s="1">
        <v>1.4139554E7</v>
      </c>
      <c r="E516" s="1" t="s">
        <v>25</v>
      </c>
      <c r="F516" s="1" t="s">
        <v>25</v>
      </c>
      <c r="G516" s="1" t="s">
        <v>25</v>
      </c>
      <c r="H516" s="1" t="s">
        <v>25</v>
      </c>
      <c r="I516" s="1" t="s">
        <v>25</v>
      </c>
      <c r="J516" s="1" t="s">
        <v>25</v>
      </c>
      <c r="K516" s="1" t="s">
        <v>25</v>
      </c>
      <c r="L516" s="1" t="s">
        <v>25</v>
      </c>
      <c r="M516" s="3" t="str">
        <f>+54 9 3518 73-0759</f>
        <v>#ERROR!</v>
      </c>
      <c r="N516" s="1" t="s">
        <v>25</v>
      </c>
      <c r="O516" s="1" t="s">
        <v>25</v>
      </c>
      <c r="P516" s="1" t="s">
        <v>25</v>
      </c>
      <c r="Q516" s="1" t="s">
        <v>25</v>
      </c>
      <c r="R516" s="1" t="s">
        <v>25</v>
      </c>
      <c r="S516" s="2">
        <v>46059.74619212963</v>
      </c>
      <c r="T516" s="2">
        <v>46059.74619212963</v>
      </c>
    </row>
    <row r="517">
      <c r="A517" s="1" t="s">
        <v>693</v>
      </c>
      <c r="B517" s="1">
        <v>1.0</v>
      </c>
      <c r="C517" s="1">
        <v>96.0</v>
      </c>
      <c r="D517" s="1">
        <v>2.9605707E7</v>
      </c>
      <c r="E517" s="1" t="s">
        <v>25</v>
      </c>
      <c r="F517" s="1" t="s">
        <v>25</v>
      </c>
      <c r="G517" s="1" t="s">
        <v>25</v>
      </c>
      <c r="H517" s="1" t="s">
        <v>25</v>
      </c>
      <c r="I517" s="1" t="s">
        <v>25</v>
      </c>
      <c r="J517" s="1" t="s">
        <v>25</v>
      </c>
      <c r="K517" s="1" t="s">
        <v>25</v>
      </c>
      <c r="L517" s="1" t="s">
        <v>25</v>
      </c>
      <c r="M517" s="1">
        <v>3.513933097E9</v>
      </c>
      <c r="N517" s="1" t="s">
        <v>25</v>
      </c>
      <c r="O517" s="1" t="s">
        <v>25</v>
      </c>
      <c r="P517" s="1" t="s">
        <v>25</v>
      </c>
      <c r="Q517" s="1" t="s">
        <v>25</v>
      </c>
      <c r="R517" s="1" t="s">
        <v>25</v>
      </c>
      <c r="S517" s="2">
        <v>46059.765393518515</v>
      </c>
      <c r="T517" s="2">
        <v>46059.765393518515</v>
      </c>
    </row>
    <row r="518">
      <c r="A518" s="1" t="s">
        <v>694</v>
      </c>
      <c r="B518" s="1">
        <v>2.0</v>
      </c>
      <c r="C518" s="1">
        <v>96.0</v>
      </c>
      <c r="D518" s="1">
        <v>4.7989305E7</v>
      </c>
      <c r="E518" s="1" t="s">
        <v>25</v>
      </c>
      <c r="F518" s="1" t="s">
        <v>25</v>
      </c>
      <c r="G518" s="1" t="s">
        <v>25</v>
      </c>
      <c r="H518" s="1" t="s">
        <v>25</v>
      </c>
      <c r="I518" s="1" t="s">
        <v>25</v>
      </c>
      <c r="J518" s="1" t="s">
        <v>25</v>
      </c>
      <c r="K518" s="1" t="s">
        <v>25</v>
      </c>
      <c r="L518" s="1" t="s">
        <v>25</v>
      </c>
      <c r="M518" s="1" t="s">
        <v>1454</v>
      </c>
      <c r="N518" s="1" t="s">
        <v>25</v>
      </c>
      <c r="O518" s="1" t="s">
        <v>25</v>
      </c>
      <c r="P518" s="1" t="s">
        <v>25</v>
      </c>
      <c r="Q518" s="1" t="s">
        <v>25</v>
      </c>
      <c r="R518" s="1" t="s">
        <v>25</v>
      </c>
      <c r="S518" s="2">
        <v>46060.540347222224</v>
      </c>
      <c r="T518" s="2">
        <v>46060.540347222224</v>
      </c>
    </row>
    <row r="519">
      <c r="A519" s="1" t="s">
        <v>695</v>
      </c>
      <c r="B519" s="1" t="s">
        <v>25</v>
      </c>
      <c r="C519" s="1">
        <v>96.0</v>
      </c>
      <c r="D519" s="1">
        <v>3.9419756E7</v>
      </c>
      <c r="E519" s="1" t="s">
        <v>25</v>
      </c>
      <c r="F519" s="1" t="s">
        <v>25</v>
      </c>
      <c r="G519" s="1" t="s">
        <v>25</v>
      </c>
      <c r="H519" s="1" t="s">
        <v>25</v>
      </c>
      <c r="I519" s="1" t="s">
        <v>25</v>
      </c>
      <c r="J519" s="1" t="s">
        <v>25</v>
      </c>
      <c r="K519" s="1" t="s">
        <v>25</v>
      </c>
      <c r="L519" s="1" t="s">
        <v>25</v>
      </c>
      <c r="M519" s="1">
        <v>3.515050277E9</v>
      </c>
      <c r="N519" s="1" t="s">
        <v>25</v>
      </c>
      <c r="O519" s="1" t="s">
        <v>25</v>
      </c>
      <c r="P519" s="1" t="s">
        <v>25</v>
      </c>
      <c r="Q519" s="1" t="s">
        <v>25</v>
      </c>
      <c r="R519" s="1" t="s">
        <v>25</v>
      </c>
      <c r="S519" s="2">
        <v>46062.430127314816</v>
      </c>
      <c r="T519" s="2">
        <v>46062.430127314816</v>
      </c>
    </row>
    <row r="520">
      <c r="A520" s="1" t="s">
        <v>696</v>
      </c>
      <c r="B520" s="1">
        <v>2.0</v>
      </c>
      <c r="C520" s="1">
        <v>96.0</v>
      </c>
      <c r="D520" s="1">
        <v>3.8002994E7</v>
      </c>
      <c r="E520" s="1" t="s">
        <v>25</v>
      </c>
      <c r="F520" s="1" t="s">
        <v>25</v>
      </c>
      <c r="G520" s="1" t="s">
        <v>25</v>
      </c>
      <c r="H520" s="1" t="s">
        <v>25</v>
      </c>
      <c r="I520" s="1" t="s">
        <v>25</v>
      </c>
      <c r="J520" s="1" t="s">
        <v>25</v>
      </c>
      <c r="K520" s="1" t="s">
        <v>25</v>
      </c>
      <c r="L520" s="1" t="s">
        <v>25</v>
      </c>
      <c r="M520" s="1">
        <v>3.51349495E9</v>
      </c>
      <c r="N520" s="1" t="s">
        <v>1455</v>
      </c>
      <c r="O520" s="1" t="s">
        <v>25</v>
      </c>
      <c r="P520" s="1" t="s">
        <v>25</v>
      </c>
      <c r="Q520" s="1" t="s">
        <v>25</v>
      </c>
      <c r="R520" s="1" t="s">
        <v>25</v>
      </c>
      <c r="S520" s="2">
        <v>46062.728171296294</v>
      </c>
      <c r="T520" s="2">
        <v>46062.728425925925</v>
      </c>
    </row>
    <row r="521">
      <c r="A521" s="1" t="s">
        <v>697</v>
      </c>
      <c r="B521" s="1">
        <v>2.0</v>
      </c>
      <c r="C521" s="1">
        <v>96.0</v>
      </c>
      <c r="D521" s="1">
        <v>2.6179332E7</v>
      </c>
      <c r="E521" s="1" t="s">
        <v>25</v>
      </c>
      <c r="F521" s="1" t="s">
        <v>25</v>
      </c>
      <c r="G521" s="1" t="s">
        <v>25</v>
      </c>
      <c r="H521" s="1" t="s">
        <v>25</v>
      </c>
      <c r="I521" s="1" t="s">
        <v>25</v>
      </c>
      <c r="J521" s="1" t="s">
        <v>25</v>
      </c>
      <c r="K521" s="1" t="s">
        <v>25</v>
      </c>
      <c r="L521" s="1" t="s">
        <v>25</v>
      </c>
      <c r="M521" s="1">
        <v>3.513264724E9</v>
      </c>
      <c r="N521" s="1" t="s">
        <v>1456</v>
      </c>
      <c r="O521" s="1" t="s">
        <v>25</v>
      </c>
      <c r="P521" s="1" t="s">
        <v>25</v>
      </c>
      <c r="Q521" s="1" t="s">
        <v>25</v>
      </c>
      <c r="R521" s="1" t="s">
        <v>25</v>
      </c>
      <c r="S521" s="2">
        <v>46062.810578703706</v>
      </c>
      <c r="T521" s="2">
        <v>46062.810578703706</v>
      </c>
    </row>
    <row r="522">
      <c r="A522" s="1" t="s">
        <v>1457</v>
      </c>
      <c r="B522" s="1">
        <v>1.0</v>
      </c>
      <c r="C522" s="1">
        <v>96.0</v>
      </c>
      <c r="D522" s="1">
        <v>3.5678569E7</v>
      </c>
      <c r="E522" s="1" t="s">
        <v>25</v>
      </c>
      <c r="F522" s="1" t="s">
        <v>25</v>
      </c>
      <c r="G522" s="1" t="s">
        <v>25</v>
      </c>
      <c r="H522" s="1" t="s">
        <v>25</v>
      </c>
      <c r="I522" s="1" t="s">
        <v>25</v>
      </c>
      <c r="J522" s="1" t="s">
        <v>25</v>
      </c>
      <c r="K522" s="1" t="s">
        <v>25</v>
      </c>
      <c r="L522" s="1" t="s">
        <v>25</v>
      </c>
      <c r="M522" s="1">
        <v>3.512360543E9</v>
      </c>
      <c r="N522" s="1" t="s">
        <v>1458</v>
      </c>
      <c r="O522" s="1" t="s">
        <v>25</v>
      </c>
      <c r="P522" s="1" t="s">
        <v>25</v>
      </c>
      <c r="Q522" s="1" t="s">
        <v>25</v>
      </c>
      <c r="R522" s="1" t="s">
        <v>25</v>
      </c>
      <c r="S522" s="2">
        <v>46063.438622685186</v>
      </c>
      <c r="T522" s="2">
        <v>46063.438622685186</v>
      </c>
    </row>
    <row r="523">
      <c r="A523" s="1" t="s">
        <v>698</v>
      </c>
      <c r="B523" s="1" t="s">
        <v>25</v>
      </c>
      <c r="C523" s="1" t="s">
        <v>25</v>
      </c>
      <c r="D523" s="1">
        <v>2.0346327E7</v>
      </c>
      <c r="E523" s="1" t="s">
        <v>25</v>
      </c>
      <c r="F523" s="1" t="s">
        <v>25</v>
      </c>
      <c r="G523" s="1" t="s">
        <v>25</v>
      </c>
      <c r="H523" s="1" t="s">
        <v>25</v>
      </c>
      <c r="I523" s="1" t="s">
        <v>25</v>
      </c>
      <c r="J523" s="1" t="s">
        <v>25</v>
      </c>
      <c r="K523" s="1" t="s">
        <v>25</v>
      </c>
      <c r="L523" s="1" t="s">
        <v>25</v>
      </c>
      <c r="M523" s="1">
        <v>1.56377036E8</v>
      </c>
      <c r="N523" s="1" t="s">
        <v>1459</v>
      </c>
      <c r="O523" s="1" t="s">
        <v>25</v>
      </c>
      <c r="P523" s="1" t="s">
        <v>1460</v>
      </c>
      <c r="Q523" s="1" t="s">
        <v>25</v>
      </c>
      <c r="R523" s="1" t="s">
        <v>25</v>
      </c>
      <c r="S523" s="2">
        <v>46063.693703703706</v>
      </c>
      <c r="T523" s="2">
        <v>46063.69417824074</v>
      </c>
    </row>
    <row r="524">
      <c r="A524" s="1" t="s">
        <v>1461</v>
      </c>
      <c r="B524" s="1" t="s">
        <v>25</v>
      </c>
      <c r="C524" s="1" t="s">
        <v>25</v>
      </c>
      <c r="D524" s="1">
        <v>2.025849E7</v>
      </c>
      <c r="E524" s="1" t="s">
        <v>25</v>
      </c>
      <c r="F524" s="1" t="s">
        <v>25</v>
      </c>
      <c r="G524" s="1" t="s">
        <v>25</v>
      </c>
      <c r="H524" s="1" t="s">
        <v>25</v>
      </c>
      <c r="I524" s="1" t="s">
        <v>25</v>
      </c>
      <c r="J524" s="1" t="s">
        <v>25</v>
      </c>
      <c r="K524" s="1" t="s">
        <v>25</v>
      </c>
      <c r="L524" s="1" t="s">
        <v>25</v>
      </c>
      <c r="M524" s="1">
        <v>3.873354304E9</v>
      </c>
      <c r="N524" s="1" t="s">
        <v>1462</v>
      </c>
      <c r="O524" s="1" t="s">
        <v>25</v>
      </c>
      <c r="P524" s="1" t="s">
        <v>25</v>
      </c>
      <c r="Q524" s="1" t="s">
        <v>25</v>
      </c>
      <c r="R524" s="1" t="s">
        <v>25</v>
      </c>
      <c r="S524" s="2">
        <v>46063.734976851854</v>
      </c>
      <c r="T524" s="2">
        <v>46063.734976851854</v>
      </c>
    </row>
    <row r="525">
      <c r="A525" s="1" t="s">
        <v>699</v>
      </c>
      <c r="B525" s="1">
        <v>2.0</v>
      </c>
      <c r="C525" s="1">
        <v>96.0</v>
      </c>
      <c r="D525" s="1">
        <v>2.2197592E7</v>
      </c>
      <c r="E525" s="1" t="s">
        <v>25</v>
      </c>
      <c r="F525" s="1" t="s">
        <v>25</v>
      </c>
      <c r="G525" s="1" t="s">
        <v>25</v>
      </c>
      <c r="H525" s="1" t="s">
        <v>25</v>
      </c>
      <c r="I525" s="1" t="s">
        <v>25</v>
      </c>
      <c r="J525" s="1" t="s">
        <v>25</v>
      </c>
      <c r="K525" s="1" t="s">
        <v>25</v>
      </c>
      <c r="L525" s="1" t="s">
        <v>25</v>
      </c>
      <c r="M525" s="1">
        <v>3.543546338E9</v>
      </c>
      <c r="N525" s="1" t="s">
        <v>1463</v>
      </c>
      <c r="O525" s="1" t="s">
        <v>25</v>
      </c>
      <c r="P525" s="1" t="s">
        <v>25</v>
      </c>
      <c r="Q525" s="1" t="s">
        <v>25</v>
      </c>
      <c r="R525" s="1" t="s">
        <v>25</v>
      </c>
      <c r="S525" s="2">
        <v>46063.78711805555</v>
      </c>
      <c r="T525" s="2">
        <v>46063.78711805555</v>
      </c>
    </row>
    <row r="526">
      <c r="A526" s="1" t="s">
        <v>700</v>
      </c>
      <c r="B526" s="1">
        <v>2.0</v>
      </c>
      <c r="C526" s="1">
        <v>96.0</v>
      </c>
      <c r="D526" s="1">
        <v>4.0403754E7</v>
      </c>
      <c r="E526" s="1" t="s">
        <v>25</v>
      </c>
      <c r="F526" s="1" t="s">
        <v>25</v>
      </c>
      <c r="G526" s="1" t="s">
        <v>25</v>
      </c>
      <c r="H526" s="1" t="s">
        <v>25</v>
      </c>
      <c r="I526" s="1" t="s">
        <v>25</v>
      </c>
      <c r="J526" s="1" t="s">
        <v>25</v>
      </c>
      <c r="K526" s="1" t="s">
        <v>25</v>
      </c>
      <c r="L526" s="1" t="s">
        <v>25</v>
      </c>
      <c r="M526" s="1" t="s">
        <v>1464</v>
      </c>
      <c r="N526" s="1" t="s">
        <v>25</v>
      </c>
      <c r="O526" s="1" t="s">
        <v>25</v>
      </c>
      <c r="P526" s="1" t="s">
        <v>25</v>
      </c>
      <c r="Q526" s="1" t="s">
        <v>25</v>
      </c>
      <c r="R526" s="1" t="s">
        <v>25</v>
      </c>
      <c r="S526" s="2">
        <v>46064.45296296296</v>
      </c>
      <c r="T526" s="2">
        <v>46064.45296296296</v>
      </c>
    </row>
    <row r="527">
      <c r="A527" s="1" t="s">
        <v>701</v>
      </c>
      <c r="B527" s="1">
        <v>1.0</v>
      </c>
      <c r="C527" s="1">
        <v>96.0</v>
      </c>
      <c r="D527" s="1">
        <v>5.8150805E7</v>
      </c>
      <c r="E527" s="1" t="s">
        <v>25</v>
      </c>
      <c r="F527" s="1" t="s">
        <v>25</v>
      </c>
      <c r="G527" s="1" t="s">
        <v>25</v>
      </c>
      <c r="H527" s="1" t="s">
        <v>25</v>
      </c>
      <c r="I527" s="1" t="s">
        <v>25</v>
      </c>
      <c r="J527" s="1" t="s">
        <v>25</v>
      </c>
      <c r="K527" s="1" t="s">
        <v>25</v>
      </c>
      <c r="L527" s="1" t="s">
        <v>25</v>
      </c>
      <c r="M527" s="3" t="str">
        <f>+54 9 3385 44-6859</f>
        <v>#ERROR!</v>
      </c>
      <c r="N527" s="1" t="s">
        <v>1465</v>
      </c>
      <c r="O527" s="1" t="s">
        <v>25</v>
      </c>
      <c r="P527" s="1" t="s">
        <v>25</v>
      </c>
      <c r="Q527" s="1" t="s">
        <v>25</v>
      </c>
      <c r="R527" s="1" t="s">
        <v>25</v>
      </c>
      <c r="S527" s="2">
        <v>46064.75046296296</v>
      </c>
      <c r="T527" s="2">
        <v>46064.75046296296</v>
      </c>
    </row>
    <row r="528">
      <c r="A528" s="1" t="s">
        <v>1466</v>
      </c>
      <c r="B528" s="1">
        <v>2.0</v>
      </c>
      <c r="C528" s="1">
        <v>96.0</v>
      </c>
      <c r="D528" s="1">
        <v>1.2485012E7</v>
      </c>
      <c r="E528" s="1" t="s">
        <v>25</v>
      </c>
      <c r="F528" s="1" t="s">
        <v>25</v>
      </c>
      <c r="G528" s="1" t="s">
        <v>25</v>
      </c>
      <c r="H528" s="1" t="s">
        <v>25</v>
      </c>
      <c r="I528" s="1" t="s">
        <v>25</v>
      </c>
      <c r="J528" s="1" t="s">
        <v>25</v>
      </c>
      <c r="K528" s="1" t="s">
        <v>25</v>
      </c>
      <c r="L528" s="1" t="s">
        <v>25</v>
      </c>
      <c r="M528" s="1">
        <v>1.163641952E9</v>
      </c>
      <c r="N528" s="1" t="s">
        <v>1467</v>
      </c>
      <c r="O528" s="1" t="s">
        <v>25</v>
      </c>
      <c r="P528" s="1" t="s">
        <v>25</v>
      </c>
      <c r="Q528" s="1" t="s">
        <v>25</v>
      </c>
      <c r="R528" s="1" t="s">
        <v>25</v>
      </c>
      <c r="S528" s="2">
        <v>46065.51116898148</v>
      </c>
      <c r="T528" s="2">
        <v>46065.51116898148</v>
      </c>
    </row>
    <row r="529">
      <c r="A529" s="1" t="s">
        <v>702</v>
      </c>
      <c r="B529" s="1" t="s">
        <v>25</v>
      </c>
      <c r="C529" s="1">
        <v>96.0</v>
      </c>
      <c r="D529" s="1">
        <v>10.0</v>
      </c>
      <c r="E529" s="1" t="s">
        <v>25</v>
      </c>
      <c r="F529" s="1" t="s">
        <v>25</v>
      </c>
      <c r="G529" s="1" t="s">
        <v>25</v>
      </c>
      <c r="H529" s="1" t="s">
        <v>25</v>
      </c>
      <c r="I529" s="1" t="s">
        <v>25</v>
      </c>
      <c r="J529" s="1" t="s">
        <v>25</v>
      </c>
      <c r="K529" s="1" t="s">
        <v>25</v>
      </c>
      <c r="L529" s="1" t="s">
        <v>25</v>
      </c>
      <c r="M529" s="3" t="str">
        <f>+54 9 2914 42-2945</f>
        <v>#ERROR!</v>
      </c>
      <c r="N529" s="1" t="s">
        <v>1468</v>
      </c>
      <c r="O529" s="1" t="s">
        <v>25</v>
      </c>
      <c r="P529" s="1" t="s">
        <v>25</v>
      </c>
      <c r="Q529" s="1" t="s">
        <v>25</v>
      </c>
      <c r="R529" s="1" t="s">
        <v>25</v>
      </c>
      <c r="S529" s="2">
        <v>46065.79858796296</v>
      </c>
      <c r="T529" s="2">
        <v>46065.79858796296</v>
      </c>
    </row>
    <row r="530">
      <c r="A530" s="1" t="s">
        <v>704</v>
      </c>
      <c r="B530" s="1">
        <v>2.0</v>
      </c>
      <c r="C530" s="1">
        <v>96.0</v>
      </c>
      <c r="D530" s="1">
        <v>1.7384932E7</v>
      </c>
      <c r="E530" s="1" t="s">
        <v>25</v>
      </c>
      <c r="F530" s="1" t="s">
        <v>25</v>
      </c>
      <c r="G530" s="1" t="s">
        <v>25</v>
      </c>
      <c r="H530" s="1" t="s">
        <v>25</v>
      </c>
      <c r="I530" s="1" t="s">
        <v>25</v>
      </c>
      <c r="J530" s="1" t="s">
        <v>25</v>
      </c>
      <c r="K530" s="1" t="s">
        <v>25</v>
      </c>
      <c r="L530" s="1" t="s">
        <v>25</v>
      </c>
      <c r="M530" s="1">
        <v>3.513637929E9</v>
      </c>
      <c r="N530" s="1" t="s">
        <v>1469</v>
      </c>
      <c r="O530" s="1" t="s">
        <v>25</v>
      </c>
      <c r="P530" s="1" t="s">
        <v>25</v>
      </c>
      <c r="Q530" s="1" t="s">
        <v>25</v>
      </c>
      <c r="R530" s="1" t="s">
        <v>25</v>
      </c>
      <c r="S530" s="2">
        <v>46066.5171412037</v>
      </c>
      <c r="T530" s="2">
        <v>46066.5171412037</v>
      </c>
    </row>
    <row r="531">
      <c r="A531" s="1" t="s">
        <v>705</v>
      </c>
      <c r="B531" s="1">
        <v>1.0</v>
      </c>
      <c r="C531" s="1">
        <v>96.0</v>
      </c>
      <c r="D531" s="1">
        <v>5.6245058E7</v>
      </c>
      <c r="E531" s="1" t="s">
        <v>25</v>
      </c>
      <c r="F531" s="1" t="s">
        <v>25</v>
      </c>
      <c r="G531" s="1" t="s">
        <v>25</v>
      </c>
      <c r="H531" s="1" t="s">
        <v>25</v>
      </c>
      <c r="I531" s="1" t="s">
        <v>25</v>
      </c>
      <c r="J531" s="1" t="s">
        <v>25</v>
      </c>
      <c r="K531" s="1" t="s">
        <v>25</v>
      </c>
      <c r="L531" s="1" t="s">
        <v>25</v>
      </c>
      <c r="M531" s="1">
        <v>3.513752976E9</v>
      </c>
      <c r="N531" s="1" t="s">
        <v>1470</v>
      </c>
      <c r="O531" s="1" t="s">
        <v>25</v>
      </c>
      <c r="P531" s="1" t="s">
        <v>25</v>
      </c>
      <c r="Q531" s="1" t="s">
        <v>25</v>
      </c>
      <c r="R531" s="1" t="s">
        <v>25</v>
      </c>
      <c r="S531" s="2">
        <v>46066.53533564815</v>
      </c>
      <c r="T531" s="2">
        <v>46066.53533564815</v>
      </c>
    </row>
    <row r="532">
      <c r="A532" s="1" t="s">
        <v>706</v>
      </c>
      <c r="B532" s="1">
        <v>1.0</v>
      </c>
      <c r="C532" s="1">
        <v>96.0</v>
      </c>
      <c r="D532" s="1">
        <v>9.6295527E7</v>
      </c>
      <c r="E532" s="1" t="s">
        <v>25</v>
      </c>
      <c r="F532" s="1" t="s">
        <v>25</v>
      </c>
      <c r="G532" s="1" t="s">
        <v>25</v>
      </c>
      <c r="H532" s="1" t="s">
        <v>25</v>
      </c>
      <c r="I532" s="1" t="s">
        <v>25</v>
      </c>
      <c r="J532" s="1" t="s">
        <v>25</v>
      </c>
      <c r="K532" s="1" t="s">
        <v>25</v>
      </c>
      <c r="L532" s="1" t="s">
        <v>25</v>
      </c>
      <c r="M532" s="1">
        <v>3.518181183E9</v>
      </c>
      <c r="N532" s="1" t="s">
        <v>25</v>
      </c>
      <c r="O532" s="1" t="s">
        <v>25</v>
      </c>
      <c r="P532" s="1" t="s">
        <v>25</v>
      </c>
      <c r="Q532" s="1" t="s">
        <v>25</v>
      </c>
      <c r="R532" s="1" t="s">
        <v>25</v>
      </c>
      <c r="S532" s="2">
        <v>46066.55571759259</v>
      </c>
      <c r="T532" s="2">
        <v>46066.55571759259</v>
      </c>
    </row>
    <row r="533">
      <c r="A533" s="1" t="s">
        <v>707</v>
      </c>
      <c r="B533" s="1">
        <v>1.0</v>
      </c>
      <c r="C533" s="1">
        <v>96.0</v>
      </c>
      <c r="D533" s="1">
        <v>5.2542674E7</v>
      </c>
      <c r="E533" s="1" t="s">
        <v>25</v>
      </c>
      <c r="F533" s="1" t="s">
        <v>25</v>
      </c>
      <c r="G533" s="1" t="s">
        <v>25</v>
      </c>
      <c r="H533" s="1" t="s">
        <v>25</v>
      </c>
      <c r="I533" s="1" t="s">
        <v>25</v>
      </c>
      <c r="J533" s="1" t="s">
        <v>25</v>
      </c>
      <c r="K533" s="1" t="s">
        <v>25</v>
      </c>
      <c r="L533" s="1" t="s">
        <v>25</v>
      </c>
      <c r="M533" s="1">
        <v>3.873652018E9</v>
      </c>
      <c r="N533" s="1" t="s">
        <v>25</v>
      </c>
      <c r="O533" s="1" t="s">
        <v>25</v>
      </c>
      <c r="P533" s="1" t="s">
        <v>25</v>
      </c>
      <c r="Q533" s="1" t="s">
        <v>25</v>
      </c>
      <c r="R533" s="1" t="s">
        <v>25</v>
      </c>
      <c r="S533" s="2">
        <v>46066.7521875</v>
      </c>
      <c r="T533" s="2">
        <v>46066.7521875</v>
      </c>
    </row>
    <row r="534">
      <c r="A534" s="1" t="s">
        <v>713</v>
      </c>
      <c r="B534" s="1">
        <v>1.0</v>
      </c>
      <c r="C534" s="1">
        <v>96.0</v>
      </c>
      <c r="D534" s="1">
        <v>2.5045457E7</v>
      </c>
      <c r="E534" s="1" t="s">
        <v>25</v>
      </c>
      <c r="F534" s="1" t="s">
        <v>25</v>
      </c>
      <c r="G534" s="1" t="s">
        <v>25</v>
      </c>
      <c r="H534" s="1" t="s">
        <v>25</v>
      </c>
      <c r="I534" s="1" t="s">
        <v>25</v>
      </c>
      <c r="J534" s="1" t="s">
        <v>25</v>
      </c>
      <c r="K534" s="1" t="s">
        <v>25</v>
      </c>
      <c r="L534" s="1" t="s">
        <v>25</v>
      </c>
      <c r="M534" s="1">
        <v>3.515995498E9</v>
      </c>
      <c r="N534" s="1" t="s">
        <v>1471</v>
      </c>
      <c r="O534" s="1" t="s">
        <v>25</v>
      </c>
      <c r="P534" s="1" t="s">
        <v>25</v>
      </c>
      <c r="Q534" s="1" t="s">
        <v>25</v>
      </c>
      <c r="R534" s="1" t="s">
        <v>25</v>
      </c>
      <c r="S534" s="2">
        <v>46066.76802083333</v>
      </c>
      <c r="T534" s="2">
        <v>46066.76802083333</v>
      </c>
    </row>
    <row r="535">
      <c r="A535" s="1" t="s">
        <v>708</v>
      </c>
      <c r="B535" s="1">
        <v>2.0</v>
      </c>
      <c r="C535" s="1">
        <v>96.0</v>
      </c>
      <c r="D535" s="1">
        <v>2.4120121E7</v>
      </c>
      <c r="E535" s="1" t="s">
        <v>25</v>
      </c>
      <c r="F535" s="1" t="s">
        <v>25</v>
      </c>
      <c r="G535" s="1" t="s">
        <v>25</v>
      </c>
      <c r="H535" s="1" t="s">
        <v>25</v>
      </c>
      <c r="I535" s="1" t="s">
        <v>25</v>
      </c>
      <c r="J535" s="1" t="s">
        <v>25</v>
      </c>
      <c r="K535" s="1" t="s">
        <v>25</v>
      </c>
      <c r="L535" s="1" t="s">
        <v>25</v>
      </c>
      <c r="M535" s="1">
        <v>3.516543415E9</v>
      </c>
      <c r="N535" s="1" t="s">
        <v>1472</v>
      </c>
      <c r="O535" s="1" t="s">
        <v>25</v>
      </c>
      <c r="P535" s="1" t="s">
        <v>25</v>
      </c>
      <c r="Q535" s="1" t="s">
        <v>25</v>
      </c>
      <c r="R535" s="1" t="s">
        <v>25</v>
      </c>
      <c r="S535" s="2">
        <v>46070.73204861111</v>
      </c>
      <c r="T535" s="2">
        <v>46070.73204861111</v>
      </c>
    </row>
    <row r="536">
      <c r="A536" s="1" t="s">
        <v>709</v>
      </c>
      <c r="B536" s="1">
        <v>1.0</v>
      </c>
      <c r="C536" s="1">
        <v>96.0</v>
      </c>
      <c r="D536" s="1">
        <v>1.2618849E7</v>
      </c>
      <c r="E536" s="1" t="s">
        <v>25</v>
      </c>
      <c r="F536" s="1" t="s">
        <v>25</v>
      </c>
      <c r="G536" s="1" t="s">
        <v>25</v>
      </c>
      <c r="H536" s="1" t="s">
        <v>25</v>
      </c>
      <c r="I536" s="1" t="s">
        <v>25</v>
      </c>
      <c r="J536" s="1" t="s">
        <v>25</v>
      </c>
      <c r="K536" s="1" t="s">
        <v>25</v>
      </c>
      <c r="L536" s="1" t="s">
        <v>25</v>
      </c>
      <c r="M536" s="1">
        <v>3.543577227E9</v>
      </c>
      <c r="N536" s="1" t="s">
        <v>1473</v>
      </c>
      <c r="O536" s="1" t="s">
        <v>25</v>
      </c>
      <c r="P536" s="1" t="s">
        <v>25</v>
      </c>
      <c r="Q536" s="1" t="s">
        <v>25</v>
      </c>
      <c r="R536" s="1" t="s">
        <v>25</v>
      </c>
      <c r="S536" s="2">
        <v>46071.40555555555</v>
      </c>
      <c r="T536" s="2">
        <v>46071.40555555555</v>
      </c>
    </row>
    <row r="537">
      <c r="A537" s="1" t="s">
        <v>710</v>
      </c>
      <c r="B537" s="1">
        <v>1.0</v>
      </c>
      <c r="C537" s="1">
        <v>96.0</v>
      </c>
      <c r="D537" s="1">
        <v>4.0814828E7</v>
      </c>
      <c r="E537" s="1" t="s">
        <v>25</v>
      </c>
      <c r="F537" s="1" t="s">
        <v>25</v>
      </c>
      <c r="G537" s="1" t="s">
        <v>25</v>
      </c>
      <c r="H537" s="1" t="s">
        <v>25</v>
      </c>
      <c r="I537" s="1" t="s">
        <v>25</v>
      </c>
      <c r="J537" s="1" t="s">
        <v>25</v>
      </c>
      <c r="K537" s="1" t="s">
        <v>25</v>
      </c>
      <c r="L537" s="1" t="s">
        <v>25</v>
      </c>
      <c r="M537" s="1">
        <v>3.51736222E9</v>
      </c>
      <c r="N537" s="1" t="s">
        <v>1474</v>
      </c>
      <c r="O537" s="1" t="s">
        <v>25</v>
      </c>
      <c r="P537" s="1" t="s">
        <v>25</v>
      </c>
      <c r="Q537" s="1" t="s">
        <v>25</v>
      </c>
      <c r="R537" s="1" t="s">
        <v>25</v>
      </c>
      <c r="S537" s="2">
        <v>46071.46759259259</v>
      </c>
      <c r="T537" s="2">
        <v>46071.46759259259</v>
      </c>
    </row>
    <row r="538">
      <c r="A538" s="1" t="s">
        <v>711</v>
      </c>
      <c r="B538" s="1">
        <v>1.0</v>
      </c>
      <c r="C538" s="1">
        <v>96.0</v>
      </c>
      <c r="D538" s="1">
        <v>4.0249207E7</v>
      </c>
      <c r="E538" s="1" t="s">
        <v>25</v>
      </c>
      <c r="F538" s="1" t="s">
        <v>25</v>
      </c>
      <c r="G538" s="1" t="s">
        <v>25</v>
      </c>
      <c r="H538" s="1" t="s">
        <v>25</v>
      </c>
      <c r="I538" s="1" t="s">
        <v>25</v>
      </c>
      <c r="J538" s="1" t="s">
        <v>25</v>
      </c>
      <c r="K538" s="1" t="s">
        <v>25</v>
      </c>
      <c r="L538" s="1" t="s">
        <v>25</v>
      </c>
      <c r="M538" s="1">
        <v>3.517376421E9</v>
      </c>
      <c r="N538" s="1" t="s">
        <v>1475</v>
      </c>
      <c r="O538" s="1" t="s">
        <v>25</v>
      </c>
      <c r="P538" s="1" t="s">
        <v>25</v>
      </c>
      <c r="Q538" s="1" t="s">
        <v>25</v>
      </c>
      <c r="R538" s="1" t="s">
        <v>25</v>
      </c>
      <c r="S538" s="2">
        <v>46071.688564814816</v>
      </c>
      <c r="T538" s="2">
        <v>46071.688564814816</v>
      </c>
    </row>
    <row r="539">
      <c r="A539" s="1" t="s">
        <v>712</v>
      </c>
      <c r="B539" s="1">
        <v>2.0</v>
      </c>
      <c r="C539" s="1">
        <v>96.0</v>
      </c>
      <c r="D539" s="1">
        <v>4.6589113E7</v>
      </c>
      <c r="E539" s="1" t="s">
        <v>25</v>
      </c>
      <c r="F539" s="1" t="s">
        <v>25</v>
      </c>
      <c r="G539" s="1" t="s">
        <v>25</v>
      </c>
      <c r="H539" s="1" t="s">
        <v>25</v>
      </c>
      <c r="I539" s="1" t="s">
        <v>25</v>
      </c>
      <c r="J539" s="1" t="s">
        <v>25</v>
      </c>
      <c r="K539" s="1" t="s">
        <v>25</v>
      </c>
      <c r="L539" s="1" t="s">
        <v>25</v>
      </c>
      <c r="M539" s="1">
        <v>3.515338033E9</v>
      </c>
      <c r="N539" s="1" t="s">
        <v>25</v>
      </c>
      <c r="O539" s="1" t="s">
        <v>25</v>
      </c>
      <c r="P539" s="1" t="s">
        <v>25</v>
      </c>
      <c r="Q539" s="1" t="s">
        <v>25</v>
      </c>
      <c r="R539" s="1" t="s">
        <v>25</v>
      </c>
      <c r="S539" s="2">
        <v>46071.76446759259</v>
      </c>
      <c r="T539" s="2">
        <v>46071.76446759259</v>
      </c>
    </row>
    <row r="540">
      <c r="A540" s="1" t="s">
        <v>714</v>
      </c>
      <c r="B540" s="1">
        <v>1.0</v>
      </c>
      <c r="C540" s="1">
        <v>96.0</v>
      </c>
      <c r="D540" s="1">
        <v>1.6070936E7</v>
      </c>
      <c r="E540" s="1" t="s">
        <v>25</v>
      </c>
      <c r="F540" s="1" t="s">
        <v>25</v>
      </c>
      <c r="G540" s="1" t="s">
        <v>25</v>
      </c>
      <c r="H540" s="1" t="s">
        <v>25</v>
      </c>
      <c r="I540" s="1" t="s">
        <v>25</v>
      </c>
      <c r="J540" s="1" t="s">
        <v>25</v>
      </c>
      <c r="K540" s="1" t="s">
        <v>25</v>
      </c>
      <c r="L540" s="1" t="s">
        <v>25</v>
      </c>
      <c r="M540" s="1">
        <v>3.512020227E9</v>
      </c>
      <c r="N540" s="1" t="s">
        <v>1476</v>
      </c>
      <c r="O540" s="1" t="s">
        <v>25</v>
      </c>
      <c r="P540" s="1" t="s">
        <v>25</v>
      </c>
      <c r="Q540" s="1" t="s">
        <v>25</v>
      </c>
      <c r="R540" s="1" t="s">
        <v>25</v>
      </c>
      <c r="S540" s="2">
        <v>46072.49322916667</v>
      </c>
      <c r="T540" s="2">
        <v>46072.49322916667</v>
      </c>
    </row>
    <row r="541">
      <c r="A541" s="1" t="s">
        <v>716</v>
      </c>
      <c r="B541" s="1">
        <v>2.0</v>
      </c>
      <c r="C541" s="1">
        <v>96.0</v>
      </c>
      <c r="D541" s="1">
        <v>4.6222026E7</v>
      </c>
      <c r="E541" s="1" t="s">
        <v>25</v>
      </c>
      <c r="F541" s="1" t="s">
        <v>25</v>
      </c>
      <c r="G541" s="1" t="s">
        <v>25</v>
      </c>
      <c r="H541" s="1" t="s">
        <v>25</v>
      </c>
      <c r="I541" s="1" t="s">
        <v>25</v>
      </c>
      <c r="J541" s="1" t="s">
        <v>25</v>
      </c>
      <c r="K541" s="1" t="s">
        <v>25</v>
      </c>
      <c r="L541" s="1" t="s">
        <v>25</v>
      </c>
      <c r="M541" s="1">
        <v>351.0</v>
      </c>
      <c r="N541" s="1" t="s">
        <v>25</v>
      </c>
      <c r="O541" s="1" t="s">
        <v>25</v>
      </c>
      <c r="P541" s="1" t="s">
        <v>25</v>
      </c>
      <c r="Q541" s="1" t="s">
        <v>25</v>
      </c>
      <c r="R541" s="1" t="s">
        <v>25</v>
      </c>
      <c r="S541" s="2">
        <v>46072.67895833333</v>
      </c>
      <c r="T541" s="2">
        <v>46072.977743055555</v>
      </c>
    </row>
    <row r="542">
      <c r="A542" s="1" t="s">
        <v>717</v>
      </c>
      <c r="B542" s="1">
        <v>2.0</v>
      </c>
      <c r="C542" s="1">
        <v>96.0</v>
      </c>
      <c r="D542" s="1">
        <v>3.87293E7</v>
      </c>
      <c r="E542" s="1" t="s">
        <v>25</v>
      </c>
      <c r="F542" s="1" t="s">
        <v>25</v>
      </c>
      <c r="G542" s="1" t="s">
        <v>25</v>
      </c>
      <c r="H542" s="1" t="s">
        <v>25</v>
      </c>
      <c r="I542" s="1" t="s">
        <v>25</v>
      </c>
      <c r="J542" s="1" t="s">
        <v>25</v>
      </c>
      <c r="K542" s="1" t="s">
        <v>25</v>
      </c>
      <c r="L542" s="1" t="s">
        <v>25</v>
      </c>
      <c r="M542" s="3" t="str">
        <f>+54 9 3512 03-403</f>
        <v>#ERROR!</v>
      </c>
      <c r="N542" s="1" t="s">
        <v>1477</v>
      </c>
      <c r="O542" s="1" t="s">
        <v>25</v>
      </c>
      <c r="P542" s="1" t="s">
        <v>25</v>
      </c>
      <c r="Q542" s="1" t="s">
        <v>25</v>
      </c>
      <c r="R542" s="1" t="s">
        <v>25</v>
      </c>
      <c r="S542" s="2">
        <v>46072.69</v>
      </c>
      <c r="T542" s="2">
        <v>46078.52997685185</v>
      </c>
    </row>
    <row r="543">
      <c r="A543" s="1" t="s">
        <v>718</v>
      </c>
      <c r="B543" s="1">
        <v>2.0</v>
      </c>
      <c r="C543" s="1">
        <v>96.0</v>
      </c>
      <c r="D543" s="1">
        <v>3.7854859E7</v>
      </c>
      <c r="E543" s="1" t="s">
        <v>25</v>
      </c>
      <c r="F543" s="1" t="s">
        <v>25</v>
      </c>
      <c r="G543" s="1" t="s">
        <v>25</v>
      </c>
      <c r="H543" s="1" t="s">
        <v>25</v>
      </c>
      <c r="I543" s="1" t="s">
        <v>25</v>
      </c>
      <c r="J543" s="1" t="s">
        <v>25</v>
      </c>
      <c r="K543" s="1" t="s">
        <v>25</v>
      </c>
      <c r="L543" s="1" t="s">
        <v>25</v>
      </c>
      <c r="M543" s="1">
        <v>3.513113675E9</v>
      </c>
      <c r="N543" s="1" t="s">
        <v>25</v>
      </c>
      <c r="O543" s="1" t="s">
        <v>25</v>
      </c>
      <c r="P543" s="1" t="s">
        <v>25</v>
      </c>
      <c r="Q543" s="1" t="s">
        <v>25</v>
      </c>
      <c r="R543" s="1" t="s">
        <v>25</v>
      </c>
      <c r="S543" s="2">
        <v>46072.81760416667</v>
      </c>
      <c r="T543" s="2">
        <v>46072.81760416667</v>
      </c>
    </row>
    <row r="544">
      <c r="A544" s="1" t="s">
        <v>725</v>
      </c>
      <c r="B544" s="1">
        <v>2.0</v>
      </c>
      <c r="C544" s="1">
        <v>96.0</v>
      </c>
      <c r="D544" s="4">
        <v>1.2909581E7</v>
      </c>
      <c r="E544" s="1" t="s">
        <v>25</v>
      </c>
      <c r="F544" s="1" t="s">
        <v>25</v>
      </c>
      <c r="G544" s="1" t="s">
        <v>25</v>
      </c>
      <c r="H544" s="1" t="s">
        <v>25</v>
      </c>
      <c r="I544" s="1" t="s">
        <v>25</v>
      </c>
      <c r="J544" s="1" t="s">
        <v>25</v>
      </c>
      <c r="K544" s="1" t="s">
        <v>25</v>
      </c>
      <c r="L544" s="1" t="s">
        <v>25</v>
      </c>
      <c r="M544" s="3" t="str">
        <f>+54 9 2916 45-8252</f>
        <v>#ERROR!</v>
      </c>
      <c r="N544" s="1" t="s">
        <v>1478</v>
      </c>
      <c r="O544" s="1" t="s">
        <v>25</v>
      </c>
      <c r="P544" s="1" t="s">
        <v>25</v>
      </c>
      <c r="Q544" s="1" t="s">
        <v>25</v>
      </c>
      <c r="R544" s="1" t="s">
        <v>25</v>
      </c>
      <c r="S544" s="2">
        <v>46073.558842592596</v>
      </c>
      <c r="T544" s="2">
        <v>46073.558842592596</v>
      </c>
    </row>
    <row r="545">
      <c r="A545" s="1" t="s">
        <v>719</v>
      </c>
      <c r="B545" s="1">
        <v>1.0</v>
      </c>
      <c r="C545" s="1">
        <v>96.0</v>
      </c>
      <c r="D545" s="1">
        <v>5.3261512E7</v>
      </c>
      <c r="E545" s="1" t="s">
        <v>25</v>
      </c>
      <c r="F545" s="1" t="s">
        <v>25</v>
      </c>
      <c r="G545" s="1" t="s">
        <v>25</v>
      </c>
      <c r="H545" s="1" t="s">
        <v>25</v>
      </c>
      <c r="I545" s="1" t="s">
        <v>1479</v>
      </c>
      <c r="J545" s="1" t="s">
        <v>25</v>
      </c>
      <c r="K545" s="1" t="s">
        <v>25</v>
      </c>
      <c r="L545" s="1" t="s">
        <v>25</v>
      </c>
      <c r="M545" s="1">
        <v>3.513401363E9</v>
      </c>
      <c r="N545" s="1" t="s">
        <v>25</v>
      </c>
      <c r="O545" s="1" t="s">
        <v>25</v>
      </c>
      <c r="P545" s="1" t="s">
        <v>25</v>
      </c>
      <c r="Q545" s="1" t="s">
        <v>25</v>
      </c>
      <c r="R545" s="1" t="s">
        <v>25</v>
      </c>
      <c r="S545" s="2">
        <v>46073.74969907408</v>
      </c>
      <c r="T545" s="2">
        <v>46073.74969907408</v>
      </c>
    </row>
    <row r="546">
      <c r="A546" s="1" t="s">
        <v>721</v>
      </c>
      <c r="B546" s="1">
        <v>1.0</v>
      </c>
      <c r="C546" s="1" t="s">
        <v>25</v>
      </c>
      <c r="D546" s="1">
        <v>4.4872061E7</v>
      </c>
      <c r="E546" s="1" t="s">
        <v>25</v>
      </c>
      <c r="F546" s="1" t="s">
        <v>25</v>
      </c>
      <c r="G546" s="1" t="s">
        <v>25</v>
      </c>
      <c r="H546" s="1" t="s">
        <v>25</v>
      </c>
      <c r="I546" s="1" t="s">
        <v>1480</v>
      </c>
      <c r="J546" s="1" t="s">
        <v>25</v>
      </c>
      <c r="K546" s="1" t="s">
        <v>25</v>
      </c>
      <c r="L546" s="1">
        <v>4.0</v>
      </c>
      <c r="M546" s="3" t="str">
        <f>+54 9 3516 15-7600</f>
        <v>#ERROR!</v>
      </c>
      <c r="N546" s="1" t="s">
        <v>1481</v>
      </c>
      <c r="O546" s="1">
        <v>10.0</v>
      </c>
      <c r="P546" s="1" t="s">
        <v>25</v>
      </c>
      <c r="Q546" s="1" t="s">
        <v>25</v>
      </c>
      <c r="R546" s="1" t="s">
        <v>1482</v>
      </c>
      <c r="S546" s="2">
        <v>46073.76188657407</v>
      </c>
      <c r="T546" s="2">
        <v>46076.377337962964</v>
      </c>
    </row>
    <row r="547">
      <c r="A547" s="1" t="s">
        <v>723</v>
      </c>
      <c r="B547" s="1" t="s">
        <v>25</v>
      </c>
      <c r="C547" s="1" t="s">
        <v>25</v>
      </c>
      <c r="D547" s="1">
        <v>3.12222222E8</v>
      </c>
      <c r="E547" s="1" t="s">
        <v>25</v>
      </c>
      <c r="F547" s="1" t="s">
        <v>25</v>
      </c>
      <c r="G547" s="1" t="s">
        <v>25</v>
      </c>
      <c r="H547" s="1" t="s">
        <v>25</v>
      </c>
      <c r="I547" s="1" t="s">
        <v>25</v>
      </c>
      <c r="J547" s="1" t="s">
        <v>25</v>
      </c>
      <c r="K547" s="1" t="s">
        <v>25</v>
      </c>
      <c r="L547" s="1" t="s">
        <v>25</v>
      </c>
      <c r="M547" s="1" t="s">
        <v>1483</v>
      </c>
      <c r="N547" s="1" t="s">
        <v>25</v>
      </c>
      <c r="O547" s="1" t="s">
        <v>25</v>
      </c>
      <c r="P547" s="1" t="s">
        <v>25</v>
      </c>
      <c r="Q547" s="1" t="s">
        <v>25</v>
      </c>
      <c r="R547" s="1" t="s">
        <v>25</v>
      </c>
      <c r="S547" s="2">
        <v>46073.79959490741</v>
      </c>
      <c r="T547" s="2">
        <v>46073.79959490741</v>
      </c>
    </row>
    <row r="548">
      <c r="A548" s="1" t="s">
        <v>726</v>
      </c>
      <c r="B548" s="1">
        <v>2.0</v>
      </c>
      <c r="C548" s="1">
        <v>96.0</v>
      </c>
      <c r="D548" s="1">
        <v>4.7710872E7</v>
      </c>
      <c r="E548" s="1" t="s">
        <v>25</v>
      </c>
      <c r="F548" s="1" t="s">
        <v>25</v>
      </c>
      <c r="G548" s="1" t="s">
        <v>25</v>
      </c>
      <c r="H548" s="1" t="s">
        <v>25</v>
      </c>
      <c r="I548" s="1" t="s">
        <v>25</v>
      </c>
      <c r="J548" s="1" t="s">
        <v>25</v>
      </c>
      <c r="K548" s="1" t="s">
        <v>25</v>
      </c>
      <c r="L548" s="1" t="s">
        <v>25</v>
      </c>
      <c r="M548" s="1">
        <v>3.516814879E9</v>
      </c>
      <c r="N548" s="1" t="s">
        <v>1484</v>
      </c>
      <c r="O548" s="1" t="s">
        <v>25</v>
      </c>
      <c r="P548" s="1" t="s">
        <v>25</v>
      </c>
      <c r="Q548" s="1" t="s">
        <v>25</v>
      </c>
      <c r="R548" s="1" t="s">
        <v>25</v>
      </c>
      <c r="S548" s="2">
        <v>46076.68184027778</v>
      </c>
      <c r="T548" s="2">
        <v>46076.68184027778</v>
      </c>
    </row>
    <row r="549">
      <c r="A549" s="1" t="s">
        <v>727</v>
      </c>
      <c r="B549" s="1">
        <v>2.0</v>
      </c>
      <c r="C549" s="1">
        <v>96.0</v>
      </c>
      <c r="D549" s="1">
        <v>2.9099048E7</v>
      </c>
      <c r="E549" s="1" t="s">
        <v>25</v>
      </c>
      <c r="F549" s="1" t="s">
        <v>25</v>
      </c>
      <c r="G549" s="1" t="s">
        <v>25</v>
      </c>
      <c r="H549" s="1" t="s">
        <v>25</v>
      </c>
      <c r="I549" s="1" t="s">
        <v>25</v>
      </c>
      <c r="J549" s="1" t="s">
        <v>25</v>
      </c>
      <c r="K549" s="1" t="s">
        <v>25</v>
      </c>
      <c r="L549" s="1" t="s">
        <v>25</v>
      </c>
      <c r="M549" s="1">
        <v>3.518056851E9</v>
      </c>
      <c r="N549" s="1" t="s">
        <v>1485</v>
      </c>
      <c r="O549" s="1" t="s">
        <v>25</v>
      </c>
      <c r="P549" s="1" t="s">
        <v>25</v>
      </c>
      <c r="Q549" s="1" t="s">
        <v>25</v>
      </c>
      <c r="R549" s="1" t="s">
        <v>25</v>
      </c>
      <c r="S549" s="2">
        <v>46077.53939814815</v>
      </c>
      <c r="T549" s="2">
        <v>46077.53939814815</v>
      </c>
    </row>
    <row r="550">
      <c r="A550" s="1" t="s">
        <v>728</v>
      </c>
      <c r="B550" s="1" t="s">
        <v>25</v>
      </c>
      <c r="C550" s="1" t="s">
        <v>25</v>
      </c>
      <c r="D550" s="1">
        <v>1.8132785E7</v>
      </c>
      <c r="E550" s="1" t="s">
        <v>25</v>
      </c>
      <c r="F550" s="1" t="s">
        <v>25</v>
      </c>
      <c r="G550" s="1" t="s">
        <v>25</v>
      </c>
      <c r="H550" s="1" t="s">
        <v>25</v>
      </c>
      <c r="I550" s="1" t="s">
        <v>25</v>
      </c>
      <c r="J550" s="1" t="s">
        <v>25</v>
      </c>
      <c r="K550" s="1" t="s">
        <v>25</v>
      </c>
      <c r="L550" s="1" t="s">
        <v>25</v>
      </c>
      <c r="M550" s="1">
        <v>3.515948333E9</v>
      </c>
      <c r="N550" s="1" t="s">
        <v>25</v>
      </c>
      <c r="O550" s="1" t="s">
        <v>25</v>
      </c>
      <c r="P550" s="1" t="s">
        <v>25</v>
      </c>
      <c r="Q550" s="1" t="s">
        <v>25</v>
      </c>
      <c r="R550" s="1" t="s">
        <v>25</v>
      </c>
      <c r="S550" s="2">
        <v>46077.70003472222</v>
      </c>
      <c r="T550" s="2">
        <v>46077.70003472222</v>
      </c>
    </row>
    <row r="551">
      <c r="A551" s="1" t="s">
        <v>729</v>
      </c>
      <c r="B551" s="1">
        <v>2.0</v>
      </c>
      <c r="C551" s="1">
        <v>96.0</v>
      </c>
      <c r="D551" s="1">
        <v>2.6759726E7</v>
      </c>
      <c r="E551" s="1" t="s">
        <v>25</v>
      </c>
      <c r="F551" s="1" t="s">
        <v>25</v>
      </c>
      <c r="G551" s="1" t="s">
        <v>25</v>
      </c>
      <c r="H551" s="1" t="s">
        <v>25</v>
      </c>
      <c r="I551" s="1" t="s">
        <v>25</v>
      </c>
      <c r="J551" s="1" t="s">
        <v>25</v>
      </c>
      <c r="K551" s="1" t="s">
        <v>25</v>
      </c>
      <c r="L551" s="1" t="s">
        <v>25</v>
      </c>
      <c r="M551" s="1">
        <v>3.517158667E9</v>
      </c>
      <c r="N551" s="1" t="s">
        <v>1486</v>
      </c>
      <c r="O551" s="1" t="s">
        <v>25</v>
      </c>
      <c r="P551" s="1" t="s">
        <v>25</v>
      </c>
      <c r="Q551" s="1" t="s">
        <v>25</v>
      </c>
      <c r="R551" s="1" t="s">
        <v>25</v>
      </c>
      <c r="S551" s="2">
        <v>46078.42109953704</v>
      </c>
      <c r="T551" s="2">
        <v>46078.42109953704</v>
      </c>
    </row>
    <row r="552">
      <c r="A552" s="1" t="s">
        <v>730</v>
      </c>
      <c r="B552" s="1">
        <v>2.0</v>
      </c>
      <c r="C552" s="1">
        <v>96.0</v>
      </c>
      <c r="D552" s="1">
        <v>3.5527703E7</v>
      </c>
      <c r="E552" s="1" t="s">
        <v>25</v>
      </c>
      <c r="F552" s="1" t="s">
        <v>25</v>
      </c>
      <c r="G552" s="1" t="s">
        <v>25</v>
      </c>
      <c r="H552" s="1" t="s">
        <v>25</v>
      </c>
      <c r="I552" s="1" t="s">
        <v>25</v>
      </c>
      <c r="J552" s="1" t="s">
        <v>25</v>
      </c>
      <c r="K552" s="1" t="s">
        <v>25</v>
      </c>
      <c r="L552" s="1" t="s">
        <v>25</v>
      </c>
      <c r="M552" s="1">
        <v>3.516748451E9</v>
      </c>
      <c r="N552" s="1" t="s">
        <v>1487</v>
      </c>
      <c r="O552" s="1" t="s">
        <v>25</v>
      </c>
      <c r="P552" s="1" t="s">
        <v>25</v>
      </c>
      <c r="Q552" s="1" t="s">
        <v>25</v>
      </c>
      <c r="R552" s="1" t="s">
        <v>25</v>
      </c>
      <c r="S552" s="2">
        <v>46078.509988425925</v>
      </c>
      <c r="T552" s="2">
        <v>46078.509988425925</v>
      </c>
    </row>
    <row r="553">
      <c r="A553" s="1" t="s">
        <v>731</v>
      </c>
      <c r="B553" s="1">
        <v>1.0</v>
      </c>
      <c r="C553" s="1">
        <v>96.0</v>
      </c>
      <c r="D553" s="1">
        <v>5.6133936E7</v>
      </c>
      <c r="E553" s="1" t="s">
        <v>25</v>
      </c>
      <c r="F553" s="1" t="s">
        <v>25</v>
      </c>
      <c r="G553" s="1" t="s">
        <v>25</v>
      </c>
      <c r="H553" s="1" t="s">
        <v>25</v>
      </c>
      <c r="I553" s="1" t="s">
        <v>25</v>
      </c>
      <c r="J553" s="1" t="s">
        <v>25</v>
      </c>
      <c r="K553" s="1" t="s">
        <v>25</v>
      </c>
      <c r="L553" s="1" t="s">
        <v>25</v>
      </c>
      <c r="M553" s="1" t="s">
        <v>1488</v>
      </c>
      <c r="N553" s="1" t="s">
        <v>1489</v>
      </c>
      <c r="O553" s="1" t="s">
        <v>25</v>
      </c>
      <c r="P553" s="1" t="s">
        <v>25</v>
      </c>
      <c r="Q553" s="1" t="s">
        <v>25</v>
      </c>
      <c r="R553" s="1" t="s">
        <v>25</v>
      </c>
      <c r="S553" s="2">
        <v>46078.77212962963</v>
      </c>
      <c r="T553" s="2">
        <v>46078.77212962963</v>
      </c>
    </row>
    <row r="554">
      <c r="A554" s="1" t="s">
        <v>734</v>
      </c>
      <c r="B554" s="1">
        <v>1.0</v>
      </c>
      <c r="C554" s="1">
        <v>96.0</v>
      </c>
      <c r="D554" s="1">
        <v>5.5838223E7</v>
      </c>
      <c r="E554" s="1" t="s">
        <v>25</v>
      </c>
      <c r="F554" s="1" t="s">
        <v>25</v>
      </c>
      <c r="G554" s="1" t="s">
        <v>25</v>
      </c>
      <c r="H554" s="1" t="s">
        <v>25</v>
      </c>
      <c r="I554" s="1" t="s">
        <v>25</v>
      </c>
      <c r="J554" s="1" t="s">
        <v>25</v>
      </c>
      <c r="K554" s="1" t="s">
        <v>25</v>
      </c>
      <c r="L554" s="1" t="s">
        <v>25</v>
      </c>
      <c r="M554" s="1">
        <v>3.513068156E9</v>
      </c>
      <c r="N554" s="1" t="s">
        <v>1490</v>
      </c>
      <c r="O554" s="1" t="s">
        <v>25</v>
      </c>
      <c r="P554" s="1" t="s">
        <v>25</v>
      </c>
      <c r="Q554" s="1" t="s">
        <v>25</v>
      </c>
      <c r="R554" s="1" t="s">
        <v>25</v>
      </c>
      <c r="S554" s="2">
        <v>46084.79133101852</v>
      </c>
      <c r="T554" s="2">
        <v>46084.79133101852</v>
      </c>
    </row>
    <row r="555">
      <c r="A555" s="1" t="s">
        <v>735</v>
      </c>
      <c r="B555" s="1">
        <v>1.0</v>
      </c>
      <c r="C555" s="1">
        <v>96.0</v>
      </c>
      <c r="D555" s="1">
        <v>1.4293115E7</v>
      </c>
      <c r="E555" s="1" t="s">
        <v>25</v>
      </c>
      <c r="F555" s="1" t="s">
        <v>25</v>
      </c>
      <c r="G555" s="1" t="s">
        <v>25</v>
      </c>
      <c r="H555" s="1" t="s">
        <v>25</v>
      </c>
      <c r="I555" s="1" t="s">
        <v>25</v>
      </c>
      <c r="J555" s="1" t="s">
        <v>25</v>
      </c>
      <c r="K555" s="1" t="s">
        <v>25</v>
      </c>
      <c r="L555" s="1" t="s">
        <v>25</v>
      </c>
      <c r="M555" s="1">
        <v>3.547455285E9</v>
      </c>
      <c r="N555" s="1" t="s">
        <v>25</v>
      </c>
      <c r="O555" s="1" t="s">
        <v>25</v>
      </c>
      <c r="P555" s="1" t="s">
        <v>25</v>
      </c>
      <c r="Q555" s="1" t="s">
        <v>25</v>
      </c>
      <c r="R555" s="1" t="s">
        <v>25</v>
      </c>
      <c r="S555" s="2">
        <v>46084.796585648146</v>
      </c>
      <c r="T555" s="2">
        <v>46084.796585648146</v>
      </c>
    </row>
    <row r="556">
      <c r="A556" s="1" t="s">
        <v>738</v>
      </c>
      <c r="B556" s="1">
        <v>1.0</v>
      </c>
      <c r="C556" s="1">
        <v>96.0</v>
      </c>
      <c r="D556" s="1">
        <v>1.4560147E7</v>
      </c>
      <c r="E556" s="1" t="s">
        <v>25</v>
      </c>
      <c r="F556" s="1" t="s">
        <v>25</v>
      </c>
      <c r="G556" s="1" t="s">
        <v>25</v>
      </c>
      <c r="H556" s="1" t="s">
        <v>25</v>
      </c>
      <c r="I556" s="1" t="s">
        <v>25</v>
      </c>
      <c r="J556" s="1" t="s">
        <v>25</v>
      </c>
      <c r="K556" s="1" t="s">
        <v>25</v>
      </c>
      <c r="L556" s="1" t="s">
        <v>25</v>
      </c>
      <c r="M556" s="3" t="str">
        <f>+54 9 3512 23-3003</f>
        <v>#ERROR!</v>
      </c>
      <c r="N556" s="1" t="s">
        <v>1491</v>
      </c>
      <c r="O556" s="1" t="s">
        <v>25</v>
      </c>
      <c r="P556" s="1" t="s">
        <v>25</v>
      </c>
      <c r="Q556" s="1" t="s">
        <v>25</v>
      </c>
      <c r="R556" s="1" t="s">
        <v>25</v>
      </c>
      <c r="S556" s="2">
        <v>46085.477326388886</v>
      </c>
      <c r="T556" s="2">
        <v>46085.477326388886</v>
      </c>
    </row>
    <row r="557">
      <c r="A557" s="1" t="s">
        <v>736</v>
      </c>
      <c r="B557" s="1">
        <v>2.0</v>
      </c>
      <c r="C557" s="1">
        <v>96.0</v>
      </c>
      <c r="D557" s="1">
        <v>4.1158605E7</v>
      </c>
      <c r="E557" s="1" t="s">
        <v>25</v>
      </c>
      <c r="F557" s="1" t="s">
        <v>25</v>
      </c>
      <c r="G557" s="1" t="s">
        <v>25</v>
      </c>
      <c r="H557" s="1" t="s">
        <v>25</v>
      </c>
      <c r="I557" s="1" t="s">
        <v>25</v>
      </c>
      <c r="J557" s="1" t="s">
        <v>25</v>
      </c>
      <c r="K557" s="1" t="s">
        <v>25</v>
      </c>
      <c r="L557" s="1" t="s">
        <v>25</v>
      </c>
      <c r="M557" s="1">
        <v>3.534144918E9</v>
      </c>
      <c r="N557" s="1" t="s">
        <v>1492</v>
      </c>
      <c r="O557" s="1" t="s">
        <v>25</v>
      </c>
      <c r="P557" s="1" t="s">
        <v>25</v>
      </c>
      <c r="Q557" s="1" t="s">
        <v>25</v>
      </c>
      <c r="R557" s="1" t="s">
        <v>25</v>
      </c>
      <c r="S557" s="2">
        <v>46085.73370370371</v>
      </c>
      <c r="T557" s="2">
        <v>46085.73370370371</v>
      </c>
    </row>
    <row r="558">
      <c r="A558" s="1" t="s">
        <v>737</v>
      </c>
      <c r="B558" s="1">
        <v>1.0</v>
      </c>
      <c r="C558" s="1">
        <v>96.0</v>
      </c>
      <c r="D558" s="1">
        <v>4.4077602E7</v>
      </c>
      <c r="E558" s="1" t="s">
        <v>25</v>
      </c>
      <c r="F558" s="1" t="s">
        <v>25</v>
      </c>
      <c r="G558" s="1" t="s">
        <v>25</v>
      </c>
      <c r="H558" s="1" t="s">
        <v>25</v>
      </c>
      <c r="I558" s="1" t="s">
        <v>25</v>
      </c>
      <c r="J558" s="1" t="s">
        <v>25</v>
      </c>
      <c r="K558" s="1" t="s">
        <v>25</v>
      </c>
      <c r="L558" s="1" t="s">
        <v>25</v>
      </c>
      <c r="M558" s="1">
        <v>3.534144848E9</v>
      </c>
      <c r="N558" s="1" t="s">
        <v>1493</v>
      </c>
      <c r="O558" s="1" t="s">
        <v>25</v>
      </c>
      <c r="P558" s="1" t="s">
        <v>25</v>
      </c>
      <c r="Q558" s="1" t="s">
        <v>25</v>
      </c>
      <c r="R558" s="1" t="s">
        <v>25</v>
      </c>
      <c r="S558" s="2">
        <v>46085.74458333333</v>
      </c>
      <c r="T558" s="2">
        <v>46085.74458333333</v>
      </c>
    </row>
    <row r="559">
      <c r="A559" s="1" t="s">
        <v>740</v>
      </c>
      <c r="B559" s="1">
        <v>1.0</v>
      </c>
      <c r="C559" s="1">
        <v>96.0</v>
      </c>
      <c r="D559" s="1">
        <v>4.6508293E7</v>
      </c>
      <c r="E559" s="1" t="s">
        <v>25</v>
      </c>
      <c r="F559" s="1" t="s">
        <v>25</v>
      </c>
      <c r="G559" s="1" t="s">
        <v>25</v>
      </c>
      <c r="H559" s="1" t="s">
        <v>25</v>
      </c>
      <c r="I559" s="1" t="s">
        <v>25</v>
      </c>
      <c r="J559" s="1" t="s">
        <v>25</v>
      </c>
      <c r="K559" s="1" t="s">
        <v>25</v>
      </c>
      <c r="L559" s="1" t="s">
        <v>25</v>
      </c>
      <c r="M559" s="1">
        <v>3.51801501E9</v>
      </c>
      <c r="N559" s="1" t="s">
        <v>25</v>
      </c>
      <c r="O559" s="1" t="s">
        <v>25</v>
      </c>
      <c r="P559" s="1" t="s">
        <v>25</v>
      </c>
      <c r="Q559" s="1" t="s">
        <v>25</v>
      </c>
      <c r="R559" s="1" t="s">
        <v>25</v>
      </c>
      <c r="S559" s="2">
        <v>46085.80164351852</v>
      </c>
      <c r="T559" s="2">
        <v>46085.80164351852</v>
      </c>
    </row>
    <row r="560">
      <c r="A560" s="1" t="s">
        <v>741</v>
      </c>
      <c r="B560" s="1">
        <v>2.0</v>
      </c>
      <c r="C560" s="1">
        <v>96.0</v>
      </c>
      <c r="D560" s="1">
        <v>7980957.0</v>
      </c>
      <c r="E560" s="1" t="s">
        <v>25</v>
      </c>
      <c r="F560" s="1" t="s">
        <v>25</v>
      </c>
      <c r="G560" s="1" t="s">
        <v>25</v>
      </c>
      <c r="H560" s="1" t="s">
        <v>25</v>
      </c>
      <c r="I560" s="1" t="s">
        <v>25</v>
      </c>
      <c r="J560" s="1" t="s">
        <v>25</v>
      </c>
      <c r="K560" s="1" t="s">
        <v>25</v>
      </c>
      <c r="L560" s="1" t="s">
        <v>25</v>
      </c>
      <c r="M560" s="3" t="str">
        <f>+54 9 3516 13-1489</f>
        <v>#ERROR!</v>
      </c>
      <c r="N560" s="1" t="s">
        <v>1494</v>
      </c>
      <c r="O560" s="1" t="s">
        <v>25</v>
      </c>
      <c r="P560" s="1" t="s">
        <v>25</v>
      </c>
      <c r="Q560" s="1" t="s">
        <v>25</v>
      </c>
      <c r="R560" s="1" t="s">
        <v>25</v>
      </c>
      <c r="S560" s="2">
        <v>46086.57067129629</v>
      </c>
      <c r="T560" s="2">
        <v>46086.57067129629</v>
      </c>
    </row>
    <row r="561">
      <c r="A561" s="1" t="s">
        <v>742</v>
      </c>
      <c r="B561" s="1">
        <v>1.0</v>
      </c>
      <c r="C561" s="1">
        <v>96.0</v>
      </c>
      <c r="D561" s="1">
        <v>2.8345283E7</v>
      </c>
      <c r="E561" s="1" t="s">
        <v>25</v>
      </c>
      <c r="F561" s="1" t="s">
        <v>25</v>
      </c>
      <c r="G561" s="1" t="s">
        <v>25</v>
      </c>
      <c r="H561" s="1" t="s">
        <v>25</v>
      </c>
      <c r="I561" s="1" t="s">
        <v>25</v>
      </c>
      <c r="J561" s="1" t="s">
        <v>25</v>
      </c>
      <c r="K561" s="1" t="s">
        <v>25</v>
      </c>
      <c r="L561" s="1" t="s">
        <v>25</v>
      </c>
      <c r="M561" s="1">
        <v>3.513989599E9</v>
      </c>
      <c r="N561" s="1" t="s">
        <v>1495</v>
      </c>
      <c r="O561" s="1" t="s">
        <v>25</v>
      </c>
      <c r="P561" s="1" t="s">
        <v>25</v>
      </c>
      <c r="Q561" s="1" t="s">
        <v>25</v>
      </c>
      <c r="R561" s="1" t="s">
        <v>25</v>
      </c>
      <c r="S561" s="2">
        <v>46087.43399305556</v>
      </c>
      <c r="T561" s="2">
        <v>46087.43399305556</v>
      </c>
    </row>
    <row r="562">
      <c r="A562" s="1" t="s">
        <v>743</v>
      </c>
      <c r="B562" s="1">
        <v>2.0</v>
      </c>
      <c r="C562" s="1">
        <v>96.0</v>
      </c>
      <c r="D562" s="1">
        <v>2.0623654E7</v>
      </c>
      <c r="E562" s="1" t="s">
        <v>25</v>
      </c>
      <c r="F562" s="1" t="s">
        <v>25</v>
      </c>
      <c r="G562" s="1" t="s">
        <v>25</v>
      </c>
      <c r="H562" s="1" t="s">
        <v>25</v>
      </c>
      <c r="I562" s="1" t="s">
        <v>25</v>
      </c>
      <c r="J562" s="1" t="s">
        <v>25</v>
      </c>
      <c r="K562" s="1" t="s">
        <v>25</v>
      </c>
      <c r="L562" s="1" t="s">
        <v>25</v>
      </c>
      <c r="M562" s="1">
        <v>3.51381717E8</v>
      </c>
      <c r="N562" s="1" t="s">
        <v>1496</v>
      </c>
      <c r="O562" s="1" t="s">
        <v>25</v>
      </c>
      <c r="P562" s="1" t="s">
        <v>25</v>
      </c>
      <c r="Q562" s="1" t="s">
        <v>25</v>
      </c>
      <c r="R562" s="1" t="s">
        <v>25</v>
      </c>
      <c r="S562" s="2">
        <v>46090.77177083334</v>
      </c>
      <c r="T562" s="2">
        <v>46090.77177083334</v>
      </c>
    </row>
    <row r="563">
      <c r="A563" s="1" t="s">
        <v>744</v>
      </c>
      <c r="B563" s="1">
        <v>2.0</v>
      </c>
      <c r="C563" s="1">
        <v>96.0</v>
      </c>
      <c r="D563" s="1">
        <v>3.8179874E7</v>
      </c>
      <c r="E563" s="1" t="s">
        <v>25</v>
      </c>
      <c r="F563" s="1" t="s">
        <v>25</v>
      </c>
      <c r="G563" s="1" t="s">
        <v>25</v>
      </c>
      <c r="H563" s="1" t="s">
        <v>25</v>
      </c>
      <c r="I563" s="1" t="s">
        <v>25</v>
      </c>
      <c r="J563" s="1" t="s">
        <v>25</v>
      </c>
      <c r="K563" s="1" t="s">
        <v>25</v>
      </c>
      <c r="L563" s="1" t="s">
        <v>25</v>
      </c>
      <c r="M563" s="1">
        <v>3.513932414E9</v>
      </c>
      <c r="N563" s="1" t="s">
        <v>25</v>
      </c>
      <c r="O563" s="1" t="s">
        <v>25</v>
      </c>
      <c r="P563" s="1" t="s">
        <v>25</v>
      </c>
      <c r="Q563" s="1" t="s">
        <v>25</v>
      </c>
      <c r="R563" s="1" t="s">
        <v>25</v>
      </c>
      <c r="S563" s="2">
        <v>46092.55341435185</v>
      </c>
      <c r="T563" s="2">
        <v>46092.55341435185</v>
      </c>
    </row>
    <row r="564">
      <c r="A564" s="1" t="s">
        <v>745</v>
      </c>
      <c r="B564" s="1">
        <v>1.0</v>
      </c>
      <c r="C564" s="1">
        <v>96.0</v>
      </c>
      <c r="D564" s="1">
        <v>4.665653E7</v>
      </c>
      <c r="E564" s="1" t="s">
        <v>25</v>
      </c>
      <c r="F564" s="1" t="s">
        <v>25</v>
      </c>
      <c r="G564" s="1" t="s">
        <v>25</v>
      </c>
      <c r="H564" s="1" t="s">
        <v>25</v>
      </c>
      <c r="I564" s="1" t="s">
        <v>25</v>
      </c>
      <c r="J564" s="1" t="s">
        <v>25</v>
      </c>
      <c r="K564" s="1" t="s">
        <v>25</v>
      </c>
      <c r="L564" s="1" t="s">
        <v>25</v>
      </c>
      <c r="M564" s="1">
        <v>3.516796173E9</v>
      </c>
      <c r="N564" s="1" t="s">
        <v>1497</v>
      </c>
      <c r="O564" s="1" t="s">
        <v>25</v>
      </c>
      <c r="P564" s="1" t="s">
        <v>25</v>
      </c>
      <c r="Q564" s="1" t="s">
        <v>25</v>
      </c>
      <c r="R564" s="1" t="s">
        <v>25</v>
      </c>
      <c r="S564" s="2">
        <v>46092.73237268518</v>
      </c>
      <c r="T564" s="2">
        <v>46092.73237268518</v>
      </c>
    </row>
    <row r="565">
      <c r="A565" s="1" t="s">
        <v>746</v>
      </c>
      <c r="B565" s="1">
        <v>2.0</v>
      </c>
      <c r="C565" s="1">
        <v>96.0</v>
      </c>
      <c r="D565" s="1">
        <v>3.3526167E7</v>
      </c>
      <c r="E565" s="1" t="s">
        <v>25</v>
      </c>
      <c r="F565" s="1" t="s">
        <v>25</v>
      </c>
      <c r="G565" s="1" t="s">
        <v>25</v>
      </c>
      <c r="H565" s="1" t="s">
        <v>25</v>
      </c>
      <c r="I565" s="1" t="s">
        <v>25</v>
      </c>
      <c r="J565" s="1" t="s">
        <v>25</v>
      </c>
      <c r="K565" s="1" t="s">
        <v>25</v>
      </c>
      <c r="L565" s="1" t="s">
        <v>25</v>
      </c>
      <c r="M565" s="1">
        <v>3.513368888E9</v>
      </c>
      <c r="N565" s="1" t="s">
        <v>25</v>
      </c>
      <c r="O565" s="1" t="s">
        <v>25</v>
      </c>
      <c r="P565" s="1" t="s">
        <v>25</v>
      </c>
      <c r="Q565" s="1" t="s">
        <v>25</v>
      </c>
      <c r="R565" s="1" t="s">
        <v>25</v>
      </c>
      <c r="S565" s="2">
        <v>46092.79895833333</v>
      </c>
      <c r="T565" s="2">
        <v>46092.79895833333</v>
      </c>
    </row>
    <row r="566">
      <c r="A566" s="1" t="s">
        <v>747</v>
      </c>
      <c r="B566" s="1">
        <v>1.0</v>
      </c>
      <c r="C566" s="1">
        <v>96.0</v>
      </c>
      <c r="D566" s="1">
        <v>9.2664377E7</v>
      </c>
      <c r="E566" s="1" t="s">
        <v>25</v>
      </c>
      <c r="F566" s="1" t="s">
        <v>25</v>
      </c>
      <c r="G566" s="1" t="s">
        <v>25</v>
      </c>
      <c r="H566" s="1" t="s">
        <v>25</v>
      </c>
      <c r="I566" s="1" t="s">
        <v>25</v>
      </c>
      <c r="J566" s="1" t="s">
        <v>25</v>
      </c>
      <c r="K566" s="1" t="s">
        <v>25</v>
      </c>
      <c r="L566" s="1" t="s">
        <v>25</v>
      </c>
      <c r="M566" s="1">
        <v>3.5168211E9</v>
      </c>
      <c r="N566" s="1" t="s">
        <v>1498</v>
      </c>
      <c r="O566" s="1" t="s">
        <v>25</v>
      </c>
      <c r="P566" s="1" t="s">
        <v>25</v>
      </c>
      <c r="Q566" s="1" t="s">
        <v>25</v>
      </c>
      <c r="R566" s="1" t="s">
        <v>25</v>
      </c>
      <c r="S566" s="2">
        <v>46093.53364583333</v>
      </c>
      <c r="T566" s="2">
        <v>46093.53364583333</v>
      </c>
    </row>
    <row r="567">
      <c r="A567" s="1" t="s">
        <v>749</v>
      </c>
      <c r="B567" s="1">
        <v>1.0</v>
      </c>
      <c r="C567" s="1">
        <v>96.0</v>
      </c>
      <c r="D567" s="1">
        <v>4.8669585E7</v>
      </c>
      <c r="E567" s="1" t="s">
        <v>25</v>
      </c>
      <c r="F567" s="1" t="s">
        <v>25</v>
      </c>
      <c r="G567" s="1" t="s">
        <v>25</v>
      </c>
      <c r="H567" s="1" t="s">
        <v>25</v>
      </c>
      <c r="I567" s="1" t="s">
        <v>25</v>
      </c>
      <c r="J567" s="1" t="s">
        <v>25</v>
      </c>
      <c r="K567" s="1" t="s">
        <v>25</v>
      </c>
      <c r="L567" s="1" t="s">
        <v>25</v>
      </c>
      <c r="M567" s="1">
        <v>3.516536978E9</v>
      </c>
      <c r="N567" s="1" t="s">
        <v>1499</v>
      </c>
      <c r="O567" s="1" t="s">
        <v>25</v>
      </c>
      <c r="P567" s="1" t="s">
        <v>25</v>
      </c>
      <c r="Q567" s="1" t="s">
        <v>25</v>
      </c>
      <c r="R567" s="1" t="s">
        <v>25</v>
      </c>
      <c r="S567" s="2">
        <v>46093.667349537034</v>
      </c>
      <c r="T567" s="2">
        <v>46093.667349537034</v>
      </c>
    </row>
    <row r="568">
      <c r="A568" s="1" t="s">
        <v>750</v>
      </c>
      <c r="B568" s="1">
        <v>1.0</v>
      </c>
      <c r="C568" s="1">
        <v>96.0</v>
      </c>
      <c r="D568" s="1">
        <v>4.1397726E7</v>
      </c>
      <c r="E568" s="1" t="s">
        <v>25</v>
      </c>
      <c r="F568" s="1" t="s">
        <v>25</v>
      </c>
      <c r="G568" s="1" t="s">
        <v>25</v>
      </c>
      <c r="H568" s="1" t="s">
        <v>25</v>
      </c>
      <c r="I568" s="1" t="s">
        <v>25</v>
      </c>
      <c r="J568" s="1" t="s">
        <v>25</v>
      </c>
      <c r="K568" s="1" t="s">
        <v>25</v>
      </c>
      <c r="L568" s="1" t="s">
        <v>25</v>
      </c>
      <c r="M568" s="1">
        <v>3.52240936E9</v>
      </c>
      <c r="N568" s="1" t="s">
        <v>25</v>
      </c>
      <c r="O568" s="1" t="s">
        <v>25</v>
      </c>
      <c r="P568" s="1" t="s">
        <v>25</v>
      </c>
      <c r="Q568" s="1" t="s">
        <v>25</v>
      </c>
      <c r="R568" s="1" t="s">
        <v>25</v>
      </c>
      <c r="S568" s="2">
        <v>46093.6990625</v>
      </c>
      <c r="T568" s="2">
        <v>46093.6990625</v>
      </c>
    </row>
    <row r="569">
      <c r="A569" s="1" t="s">
        <v>751</v>
      </c>
      <c r="B569" s="1">
        <v>1.0</v>
      </c>
      <c r="C569" s="1">
        <v>96.0</v>
      </c>
      <c r="D569" s="1">
        <v>6079790.0</v>
      </c>
      <c r="E569" s="1" t="s">
        <v>25</v>
      </c>
      <c r="F569" s="1" t="s">
        <v>25</v>
      </c>
      <c r="G569" s="1" t="s">
        <v>25</v>
      </c>
      <c r="H569" s="1" t="s">
        <v>25</v>
      </c>
      <c r="I569" s="1" t="s">
        <v>25</v>
      </c>
      <c r="J569" s="1" t="s">
        <v>25</v>
      </c>
      <c r="K569" s="1" t="s">
        <v>25</v>
      </c>
      <c r="L569" s="1" t="s">
        <v>25</v>
      </c>
      <c r="M569" s="3" t="str">
        <f>+54 9 3516 00-9509</f>
        <v>#ERROR!</v>
      </c>
      <c r="N569" s="1" t="s">
        <v>25</v>
      </c>
      <c r="O569" s="1" t="s">
        <v>25</v>
      </c>
      <c r="P569" s="1" t="s">
        <v>25</v>
      </c>
      <c r="Q569" s="1" t="s">
        <v>25</v>
      </c>
      <c r="R569" s="1" t="s">
        <v>25</v>
      </c>
      <c r="S569" s="2">
        <v>46094.40568287037</v>
      </c>
      <c r="T569" s="2">
        <v>46094.40568287037</v>
      </c>
    </row>
    <row r="570">
      <c r="A570" s="1" t="s">
        <v>753</v>
      </c>
      <c r="B570" s="1">
        <v>1.0</v>
      </c>
      <c r="C570" s="1">
        <v>96.0</v>
      </c>
      <c r="D570" s="1">
        <v>2.2776813E7</v>
      </c>
      <c r="E570" s="1" t="s">
        <v>25</v>
      </c>
      <c r="F570" s="1" t="s">
        <v>25</v>
      </c>
      <c r="G570" s="1" t="s">
        <v>25</v>
      </c>
      <c r="H570" s="1" t="s">
        <v>25</v>
      </c>
      <c r="I570" s="1" t="s">
        <v>25</v>
      </c>
      <c r="J570" s="1" t="s">
        <v>25</v>
      </c>
      <c r="K570" s="1" t="s">
        <v>25</v>
      </c>
      <c r="L570" s="1" t="s">
        <v>25</v>
      </c>
      <c r="M570" s="1">
        <v>3.515085307E9</v>
      </c>
      <c r="N570" s="1" t="s">
        <v>25</v>
      </c>
      <c r="O570" s="1" t="s">
        <v>25</v>
      </c>
      <c r="P570" s="1" t="s">
        <v>25</v>
      </c>
      <c r="Q570" s="1" t="s">
        <v>25</v>
      </c>
      <c r="R570" s="1" t="s">
        <v>25</v>
      </c>
      <c r="S570" s="2">
        <v>46095.49553240741</v>
      </c>
      <c r="T570" s="2">
        <v>46095.49553240741</v>
      </c>
    </row>
    <row r="571">
      <c r="A571" s="1" t="s">
        <v>754</v>
      </c>
      <c r="B571" s="1">
        <v>1.0</v>
      </c>
      <c r="C571" s="1">
        <v>96.0</v>
      </c>
      <c r="D571" s="1">
        <v>2.3439471E7</v>
      </c>
      <c r="E571" s="1" t="s">
        <v>25</v>
      </c>
      <c r="F571" s="1" t="s">
        <v>25</v>
      </c>
      <c r="G571" s="1" t="s">
        <v>25</v>
      </c>
      <c r="H571" s="1" t="s">
        <v>25</v>
      </c>
      <c r="I571" s="1" t="s">
        <v>25</v>
      </c>
      <c r="J571" s="1" t="s">
        <v>25</v>
      </c>
      <c r="K571" s="1" t="s">
        <v>25</v>
      </c>
      <c r="L571" s="1" t="s">
        <v>25</v>
      </c>
      <c r="M571" s="1" t="s">
        <v>1500</v>
      </c>
      <c r="N571" s="1" t="s">
        <v>25</v>
      </c>
      <c r="O571" s="1" t="s">
        <v>25</v>
      </c>
      <c r="P571" s="1" t="s">
        <v>25</v>
      </c>
      <c r="Q571" s="1" t="s">
        <v>25</v>
      </c>
      <c r="R571" s="1" t="s">
        <v>25</v>
      </c>
      <c r="S571" s="2">
        <v>46095.533425925925</v>
      </c>
      <c r="T571" s="2">
        <v>46095.533425925925</v>
      </c>
    </row>
    <row r="572">
      <c r="A572" s="1" t="s">
        <v>756</v>
      </c>
      <c r="B572" s="1">
        <v>2.0</v>
      </c>
      <c r="C572" s="1">
        <v>96.0</v>
      </c>
      <c r="D572" s="1">
        <v>3.0970067E7</v>
      </c>
      <c r="E572" s="1" t="s">
        <v>25</v>
      </c>
      <c r="F572" s="1" t="s">
        <v>25</v>
      </c>
      <c r="G572" s="1" t="s">
        <v>25</v>
      </c>
      <c r="H572" s="1" t="s">
        <v>25</v>
      </c>
      <c r="I572" s="1" t="s">
        <v>25</v>
      </c>
      <c r="J572" s="1" t="s">
        <v>25</v>
      </c>
      <c r="K572" s="1" t="s">
        <v>25</v>
      </c>
      <c r="L572" s="1" t="s">
        <v>25</v>
      </c>
      <c r="M572" s="1">
        <v>3.517669168E9</v>
      </c>
      <c r="N572" s="1" t="s">
        <v>1501</v>
      </c>
      <c r="O572" s="1" t="s">
        <v>25</v>
      </c>
      <c r="P572" s="1" t="s">
        <v>25</v>
      </c>
      <c r="Q572" s="1" t="s">
        <v>25</v>
      </c>
      <c r="R572" s="1" t="s">
        <v>25</v>
      </c>
      <c r="S572" s="2">
        <v>46095.57466435185</v>
      </c>
      <c r="T572" s="2">
        <v>46095.57466435185</v>
      </c>
    </row>
    <row r="573">
      <c r="A573" s="1" t="s">
        <v>758</v>
      </c>
      <c r="B573" s="1">
        <v>1.0</v>
      </c>
      <c r="C573" s="1">
        <v>96.0</v>
      </c>
      <c r="D573" s="1">
        <v>3.6148287E7</v>
      </c>
      <c r="E573" s="1" t="s">
        <v>25</v>
      </c>
      <c r="F573" s="1" t="s">
        <v>25</v>
      </c>
      <c r="G573" s="1" t="s">
        <v>25</v>
      </c>
      <c r="H573" s="1" t="s">
        <v>25</v>
      </c>
      <c r="I573" s="1" t="s">
        <v>25</v>
      </c>
      <c r="J573" s="1" t="s">
        <v>25</v>
      </c>
      <c r="K573" s="1" t="s">
        <v>25</v>
      </c>
      <c r="L573" s="1" t="s">
        <v>25</v>
      </c>
      <c r="M573" s="1">
        <v>3.517532195E9</v>
      </c>
      <c r="N573" s="1" t="s">
        <v>25</v>
      </c>
      <c r="O573" s="1" t="s">
        <v>25</v>
      </c>
      <c r="P573" s="1" t="s">
        <v>25</v>
      </c>
      <c r="Q573" s="1" t="s">
        <v>25</v>
      </c>
      <c r="R573" s="1" t="s">
        <v>25</v>
      </c>
      <c r="S573" s="2">
        <v>46097.78800925926</v>
      </c>
      <c r="T573" s="2">
        <v>46097.78800925926</v>
      </c>
    </row>
    <row r="574">
      <c r="A574" s="1" t="s">
        <v>759</v>
      </c>
      <c r="B574" s="1">
        <v>1.0</v>
      </c>
      <c r="C574" s="1">
        <v>96.0</v>
      </c>
      <c r="D574" s="1">
        <v>4.1810139E7</v>
      </c>
      <c r="E574" s="1" t="s">
        <v>25</v>
      </c>
      <c r="F574" s="1" t="s">
        <v>25</v>
      </c>
      <c r="G574" s="1" t="s">
        <v>25</v>
      </c>
      <c r="H574" s="1" t="s">
        <v>25</v>
      </c>
      <c r="I574" s="1" t="s">
        <v>25</v>
      </c>
      <c r="J574" s="1" t="s">
        <v>25</v>
      </c>
      <c r="K574" s="1" t="s">
        <v>25</v>
      </c>
      <c r="L574" s="1" t="s">
        <v>25</v>
      </c>
      <c r="M574" s="3" t="str">
        <f>+54 9 3513 08-8249</f>
        <v>#ERROR!</v>
      </c>
      <c r="N574" s="1" t="s">
        <v>25</v>
      </c>
      <c r="O574" s="1" t="s">
        <v>25</v>
      </c>
      <c r="P574" s="1" t="s">
        <v>25</v>
      </c>
      <c r="Q574" s="1" t="s">
        <v>25</v>
      </c>
      <c r="R574" s="1" t="s">
        <v>25</v>
      </c>
      <c r="S574" s="2">
        <v>46098.67648148148</v>
      </c>
      <c r="T574" s="2">
        <v>46098.67648148148</v>
      </c>
    </row>
    <row r="575">
      <c r="A575" s="1" t="s">
        <v>760</v>
      </c>
      <c r="B575" s="1">
        <v>2.0</v>
      </c>
      <c r="C575" s="1">
        <v>96.0</v>
      </c>
      <c r="D575" s="4">
        <v>2.5801067E7</v>
      </c>
      <c r="E575" s="1" t="s">
        <v>25</v>
      </c>
      <c r="F575" s="1" t="s">
        <v>25</v>
      </c>
      <c r="G575" s="1" t="s">
        <v>25</v>
      </c>
      <c r="H575" s="1" t="s">
        <v>25</v>
      </c>
      <c r="I575" s="1" t="s">
        <v>25</v>
      </c>
      <c r="J575" s="1" t="s">
        <v>25</v>
      </c>
      <c r="K575" s="1" t="s">
        <v>25</v>
      </c>
      <c r="L575" s="1" t="s">
        <v>25</v>
      </c>
      <c r="M575" s="3" t="str">
        <f>+54 9 3816 15-0896</f>
        <v>#ERROR!</v>
      </c>
      <c r="N575" s="1" t="s">
        <v>1502</v>
      </c>
      <c r="O575" s="1" t="s">
        <v>25</v>
      </c>
      <c r="P575" s="1" t="s">
        <v>25</v>
      </c>
      <c r="Q575" s="1" t="s">
        <v>25</v>
      </c>
      <c r="R575" s="1" t="s">
        <v>25</v>
      </c>
      <c r="S575" s="2">
        <v>46099.51332175926</v>
      </c>
      <c r="T575" s="2">
        <v>46099.51332175926</v>
      </c>
    </row>
    <row r="576">
      <c r="A576" s="1" t="s">
        <v>761</v>
      </c>
      <c r="B576" s="1">
        <v>1.0</v>
      </c>
      <c r="C576" s="1">
        <v>96.0</v>
      </c>
      <c r="D576" s="4">
        <v>2.6898426E7</v>
      </c>
      <c r="E576" s="1" t="s">
        <v>25</v>
      </c>
      <c r="F576" s="1" t="s">
        <v>25</v>
      </c>
      <c r="G576" s="1" t="s">
        <v>25</v>
      </c>
      <c r="H576" s="1" t="s">
        <v>25</v>
      </c>
      <c r="I576" s="1" t="s">
        <v>25</v>
      </c>
      <c r="J576" s="1" t="s">
        <v>25</v>
      </c>
      <c r="K576" s="1" t="s">
        <v>25</v>
      </c>
      <c r="L576" s="1" t="s">
        <v>25</v>
      </c>
      <c r="M576" s="3" t="str">
        <f>+54 9 3816 15-0896</f>
        <v>#ERROR!</v>
      </c>
      <c r="N576" s="1" t="s">
        <v>1503</v>
      </c>
      <c r="O576" s="1" t="s">
        <v>25</v>
      </c>
      <c r="P576" s="1" t="s">
        <v>25</v>
      </c>
      <c r="Q576" s="1" t="s">
        <v>25</v>
      </c>
      <c r="R576" s="1" t="s">
        <v>25</v>
      </c>
      <c r="S576" s="2">
        <v>46099.51703703704</v>
      </c>
      <c r="T576" s="2">
        <v>46099.51703703704</v>
      </c>
    </row>
    <row r="577">
      <c r="A577" s="1" t="s">
        <v>763</v>
      </c>
      <c r="B577" s="1">
        <v>2.0</v>
      </c>
      <c r="C577" s="1">
        <v>96.0</v>
      </c>
      <c r="D577" s="1">
        <v>2.7972044E7</v>
      </c>
      <c r="E577" s="1" t="s">
        <v>25</v>
      </c>
      <c r="F577" s="1" t="s">
        <v>25</v>
      </c>
      <c r="G577" s="1" t="s">
        <v>25</v>
      </c>
      <c r="H577" s="1" t="s">
        <v>25</v>
      </c>
      <c r="I577" s="1" t="s">
        <v>25</v>
      </c>
      <c r="J577" s="1" t="s">
        <v>25</v>
      </c>
      <c r="K577" s="1" t="s">
        <v>25</v>
      </c>
      <c r="L577" s="1" t="s">
        <v>25</v>
      </c>
      <c r="M577" s="1">
        <v>3.516536346E9</v>
      </c>
      <c r="N577" s="1" t="s">
        <v>25</v>
      </c>
      <c r="O577" s="1" t="s">
        <v>25</v>
      </c>
      <c r="P577" s="1" t="s">
        <v>25</v>
      </c>
      <c r="Q577" s="1" t="s">
        <v>25</v>
      </c>
      <c r="R577" s="1" t="s">
        <v>25</v>
      </c>
      <c r="S577" s="2">
        <v>46099.54077546296</v>
      </c>
      <c r="T577" s="2">
        <v>46099.54077546296</v>
      </c>
    </row>
    <row r="578">
      <c r="A578" s="1" t="s">
        <v>764</v>
      </c>
      <c r="B578" s="1">
        <v>1.0</v>
      </c>
      <c r="C578" s="1">
        <v>96.0</v>
      </c>
      <c r="D578" s="1">
        <v>3.0710708E7</v>
      </c>
      <c r="E578" s="1" t="s">
        <v>25</v>
      </c>
      <c r="F578" s="1" t="s">
        <v>25</v>
      </c>
      <c r="G578" s="1" t="s">
        <v>25</v>
      </c>
      <c r="H578" s="1" t="s">
        <v>25</v>
      </c>
      <c r="I578" s="1" t="s">
        <v>25</v>
      </c>
      <c r="J578" s="1" t="s">
        <v>25</v>
      </c>
      <c r="K578" s="1" t="s">
        <v>25</v>
      </c>
      <c r="L578" s="1" t="s">
        <v>25</v>
      </c>
      <c r="M578" s="1">
        <v>3.516536346E9</v>
      </c>
      <c r="N578" s="1" t="s">
        <v>25</v>
      </c>
      <c r="O578" s="1" t="s">
        <v>25</v>
      </c>
      <c r="P578" s="1" t="s">
        <v>25</v>
      </c>
      <c r="Q578" s="1" t="s">
        <v>25</v>
      </c>
      <c r="R578" s="1" t="s">
        <v>25</v>
      </c>
      <c r="S578" s="2">
        <v>46099.54309027778</v>
      </c>
      <c r="T578" s="2">
        <v>46099.543391203704</v>
      </c>
    </row>
    <row r="579">
      <c r="A579" s="1" t="s">
        <v>765</v>
      </c>
      <c r="B579" s="1">
        <v>1.0</v>
      </c>
      <c r="C579" s="1">
        <v>96.0</v>
      </c>
      <c r="D579" s="1">
        <v>5.8385613E7</v>
      </c>
      <c r="E579" s="1" t="s">
        <v>25</v>
      </c>
      <c r="F579" s="1" t="s">
        <v>25</v>
      </c>
      <c r="G579" s="1" t="s">
        <v>25</v>
      </c>
      <c r="H579" s="1" t="s">
        <v>25</v>
      </c>
      <c r="I579" s="1" t="s">
        <v>25</v>
      </c>
      <c r="J579" s="1" t="s">
        <v>25</v>
      </c>
      <c r="K579" s="1" t="s">
        <v>25</v>
      </c>
      <c r="L579" s="1" t="s">
        <v>25</v>
      </c>
      <c r="M579" s="1" t="s">
        <v>1504</v>
      </c>
      <c r="N579" s="1" t="s">
        <v>25</v>
      </c>
      <c r="O579" s="1" t="s">
        <v>25</v>
      </c>
      <c r="P579" s="1" t="s">
        <v>25</v>
      </c>
      <c r="Q579" s="1" t="s">
        <v>25</v>
      </c>
      <c r="R579" s="1" t="s">
        <v>25</v>
      </c>
      <c r="S579" s="2">
        <v>46099.72761574074</v>
      </c>
      <c r="T579" s="2">
        <v>46099.72761574074</v>
      </c>
    </row>
    <row r="580">
      <c r="A580" s="1" t="s">
        <v>767</v>
      </c>
      <c r="B580" s="1">
        <v>1.0</v>
      </c>
      <c r="C580" s="1">
        <v>96.0</v>
      </c>
      <c r="D580" s="1">
        <v>2.6728213E7</v>
      </c>
      <c r="E580" s="1" t="s">
        <v>25</v>
      </c>
      <c r="F580" s="1" t="s">
        <v>25</v>
      </c>
      <c r="G580" s="1" t="s">
        <v>25</v>
      </c>
      <c r="H580" s="1" t="s">
        <v>25</v>
      </c>
      <c r="I580" s="1" t="s">
        <v>25</v>
      </c>
      <c r="J580" s="1" t="s">
        <v>25</v>
      </c>
      <c r="K580" s="1" t="s">
        <v>25</v>
      </c>
      <c r="L580" s="1" t="s">
        <v>25</v>
      </c>
      <c r="M580" s="3" t="str">
        <f>+54 9 3515 38-2790</f>
        <v>#ERROR!</v>
      </c>
      <c r="N580" s="1" t="s">
        <v>25</v>
      </c>
      <c r="O580" s="1" t="s">
        <v>25</v>
      </c>
      <c r="P580" s="1" t="s">
        <v>25</v>
      </c>
      <c r="Q580" s="1" t="s">
        <v>25</v>
      </c>
      <c r="R580" s="1" t="s">
        <v>25</v>
      </c>
      <c r="S580" s="2">
        <v>46099.73211805556</v>
      </c>
      <c r="T580" s="2">
        <v>46099.73211805556</v>
      </c>
    </row>
    <row r="581">
      <c r="A581" s="1" t="s">
        <v>769</v>
      </c>
      <c r="B581" s="1">
        <v>1.0</v>
      </c>
      <c r="C581" s="1">
        <v>96.0</v>
      </c>
      <c r="D581" s="1">
        <v>3.5121711E7</v>
      </c>
      <c r="E581" s="1" t="s">
        <v>25</v>
      </c>
      <c r="F581" s="1" t="s">
        <v>25</v>
      </c>
      <c r="G581" s="1" t="s">
        <v>25</v>
      </c>
      <c r="H581" s="1" t="s">
        <v>25</v>
      </c>
      <c r="I581" s="1" t="s">
        <v>25</v>
      </c>
      <c r="J581" s="1" t="s">
        <v>25</v>
      </c>
      <c r="K581" s="1" t="s">
        <v>25</v>
      </c>
      <c r="L581" s="1" t="s">
        <v>25</v>
      </c>
      <c r="M581" s="3" t="str">
        <f>+54 9 2974 72-5527</f>
        <v>#ERROR!</v>
      </c>
      <c r="N581" s="1" t="s">
        <v>1505</v>
      </c>
      <c r="O581" s="1" t="s">
        <v>25</v>
      </c>
      <c r="P581" s="1" t="s">
        <v>25</v>
      </c>
      <c r="Q581" s="1" t="s">
        <v>25</v>
      </c>
      <c r="R581" s="1" t="s">
        <v>25</v>
      </c>
      <c r="S581" s="2">
        <v>46099.788611111115</v>
      </c>
      <c r="T581" s="2">
        <v>46099.788611111115</v>
      </c>
    </row>
    <row r="582">
      <c r="A582" s="1" t="s">
        <v>768</v>
      </c>
      <c r="B582" s="1">
        <v>1.0</v>
      </c>
      <c r="C582" s="1">
        <v>96.0</v>
      </c>
      <c r="D582" s="1">
        <v>3.9305215E7</v>
      </c>
      <c r="E582" s="1" t="s">
        <v>25</v>
      </c>
      <c r="F582" s="1" t="s">
        <v>25</v>
      </c>
      <c r="G582" s="1" t="s">
        <v>25</v>
      </c>
      <c r="H582" s="1" t="s">
        <v>25</v>
      </c>
      <c r="I582" s="1" t="s">
        <v>25</v>
      </c>
      <c r="J582" s="1" t="s">
        <v>25</v>
      </c>
      <c r="K582" s="1" t="s">
        <v>25</v>
      </c>
      <c r="L582" s="1" t="s">
        <v>25</v>
      </c>
      <c r="M582" s="1">
        <v>3.515145656E9</v>
      </c>
      <c r="N582" s="1" t="s">
        <v>25</v>
      </c>
      <c r="O582" s="1" t="s">
        <v>25</v>
      </c>
      <c r="P582" s="1" t="s">
        <v>25</v>
      </c>
      <c r="Q582" s="1" t="s">
        <v>25</v>
      </c>
      <c r="R582" s="1" t="s">
        <v>25</v>
      </c>
      <c r="S582" s="2">
        <v>46099.78905092592</v>
      </c>
      <c r="T582" s="2">
        <v>46099.78905092592</v>
      </c>
    </row>
    <row r="583">
      <c r="A583" s="1" t="s">
        <v>770</v>
      </c>
      <c r="B583" s="1">
        <v>2.0</v>
      </c>
      <c r="C583" s="1">
        <v>96.0</v>
      </c>
      <c r="D583" s="1">
        <v>2.1396643E7</v>
      </c>
      <c r="E583" s="1" t="s">
        <v>25</v>
      </c>
      <c r="F583" s="1" t="s">
        <v>25</v>
      </c>
      <c r="G583" s="1" t="s">
        <v>25</v>
      </c>
      <c r="H583" s="1" t="s">
        <v>25</v>
      </c>
      <c r="I583" s="1" t="s">
        <v>25</v>
      </c>
      <c r="J583" s="1" t="s">
        <v>25</v>
      </c>
      <c r="K583" s="1" t="s">
        <v>25</v>
      </c>
      <c r="L583" s="1" t="s">
        <v>25</v>
      </c>
      <c r="M583" s="3" t="str">
        <f>+54 9 3516 35-027</f>
        <v>#ERROR!</v>
      </c>
      <c r="N583" s="1" t="s">
        <v>25</v>
      </c>
      <c r="O583" s="1" t="s">
        <v>25</v>
      </c>
      <c r="P583" s="1" t="s">
        <v>25</v>
      </c>
      <c r="Q583" s="1" t="s">
        <v>25</v>
      </c>
      <c r="R583" s="1" t="s">
        <v>25</v>
      </c>
      <c r="S583" s="2">
        <v>46100.74260416667</v>
      </c>
      <c r="T583" s="2">
        <v>46100.74260416667</v>
      </c>
    </row>
    <row r="584">
      <c r="A584" s="1" t="s">
        <v>771</v>
      </c>
      <c r="B584" s="1">
        <v>1.0</v>
      </c>
      <c r="C584" s="1">
        <v>96.0</v>
      </c>
      <c r="D584" s="1">
        <v>4.8071122E7</v>
      </c>
      <c r="E584" s="1" t="s">
        <v>25</v>
      </c>
      <c r="F584" s="1" t="s">
        <v>25</v>
      </c>
      <c r="G584" s="1" t="s">
        <v>25</v>
      </c>
      <c r="H584" s="1" t="s">
        <v>25</v>
      </c>
      <c r="I584" s="1" t="s">
        <v>25</v>
      </c>
      <c r="J584" s="1" t="s">
        <v>25</v>
      </c>
      <c r="K584" s="1" t="s">
        <v>25</v>
      </c>
      <c r="L584" s="1" t="s">
        <v>25</v>
      </c>
      <c r="M584" s="1" t="s">
        <v>1506</v>
      </c>
      <c r="N584" s="1" t="s">
        <v>25</v>
      </c>
      <c r="O584" s="1" t="s">
        <v>25</v>
      </c>
      <c r="P584" s="1" t="s">
        <v>25</v>
      </c>
      <c r="Q584" s="1" t="s">
        <v>25</v>
      </c>
      <c r="R584" s="1" t="s">
        <v>25</v>
      </c>
      <c r="S584" s="2">
        <v>46100.768217592595</v>
      </c>
      <c r="T584" s="2">
        <v>46100.768217592595</v>
      </c>
    </row>
    <row r="585">
      <c r="A585" s="1" t="s">
        <v>772</v>
      </c>
      <c r="B585" s="1">
        <v>1.0</v>
      </c>
      <c r="C585" s="1">
        <v>96.0</v>
      </c>
      <c r="D585" s="1">
        <v>1.3457216E7</v>
      </c>
      <c r="E585" s="1" t="s">
        <v>25</v>
      </c>
      <c r="F585" s="1" t="s">
        <v>25</v>
      </c>
      <c r="G585" s="1" t="s">
        <v>25</v>
      </c>
      <c r="H585" s="1" t="s">
        <v>25</v>
      </c>
      <c r="I585" s="1" t="s">
        <v>25</v>
      </c>
      <c r="J585" s="1" t="s">
        <v>25</v>
      </c>
      <c r="K585" s="1" t="s">
        <v>25</v>
      </c>
      <c r="L585" s="1" t="s">
        <v>25</v>
      </c>
      <c r="M585" s="1">
        <v>3.513181614E9</v>
      </c>
      <c r="N585" s="1" t="s">
        <v>25</v>
      </c>
      <c r="O585" s="1" t="s">
        <v>25</v>
      </c>
      <c r="P585" s="1" t="s">
        <v>25</v>
      </c>
      <c r="Q585" s="1" t="s">
        <v>25</v>
      </c>
      <c r="R585" s="1" t="s">
        <v>25</v>
      </c>
      <c r="S585" s="2">
        <v>46101.43707175926</v>
      </c>
      <c r="T585" s="2">
        <v>46101.43707175926</v>
      </c>
    </row>
    <row r="586">
      <c r="A586" s="1" t="s">
        <v>773</v>
      </c>
      <c r="B586" s="1">
        <v>1.0</v>
      </c>
      <c r="C586" s="1">
        <v>96.0</v>
      </c>
      <c r="D586" s="1">
        <v>3.8001728E7</v>
      </c>
      <c r="E586" s="1" t="s">
        <v>25</v>
      </c>
      <c r="F586" s="1" t="s">
        <v>25</v>
      </c>
      <c r="G586" s="1" t="s">
        <v>25</v>
      </c>
      <c r="H586" s="1" t="s">
        <v>25</v>
      </c>
      <c r="I586" s="1" t="s">
        <v>25</v>
      </c>
      <c r="J586" s="1" t="s">
        <v>25</v>
      </c>
      <c r="K586" s="1" t="s">
        <v>25</v>
      </c>
      <c r="L586" s="1" t="s">
        <v>25</v>
      </c>
      <c r="M586" s="1">
        <v>3.512438048E9</v>
      </c>
      <c r="N586" s="1" t="s">
        <v>25</v>
      </c>
      <c r="O586" s="1" t="s">
        <v>25</v>
      </c>
      <c r="P586" s="1" t="s">
        <v>25</v>
      </c>
      <c r="Q586" s="1" t="s">
        <v>25</v>
      </c>
      <c r="R586" s="1" t="s">
        <v>25</v>
      </c>
      <c r="S586" s="2">
        <v>46102.49402777778</v>
      </c>
      <c r="T586" s="2">
        <v>46102.49402777778</v>
      </c>
    </row>
    <row r="587">
      <c r="A587" s="1" t="s">
        <v>774</v>
      </c>
      <c r="B587" s="1">
        <v>1.0</v>
      </c>
      <c r="C587" s="1" t="s">
        <v>25</v>
      </c>
      <c r="D587" s="1">
        <v>4.2384212E7</v>
      </c>
      <c r="E587" s="1" t="s">
        <v>25</v>
      </c>
      <c r="F587" s="1" t="s">
        <v>25</v>
      </c>
      <c r="G587" s="1" t="s">
        <v>25</v>
      </c>
      <c r="H587" s="1" t="s">
        <v>25</v>
      </c>
      <c r="I587" s="1" t="s">
        <v>25</v>
      </c>
      <c r="J587" s="1" t="s">
        <v>25</v>
      </c>
      <c r="K587" s="1" t="s">
        <v>25</v>
      </c>
      <c r="L587" s="1" t="s">
        <v>25</v>
      </c>
      <c r="M587" s="3" t="str">
        <f>+54 9 3513 48-1931</f>
        <v>#ERROR!</v>
      </c>
      <c r="N587" s="1" t="s">
        <v>25</v>
      </c>
      <c r="O587" s="1" t="s">
        <v>25</v>
      </c>
      <c r="P587" s="1" t="s">
        <v>25</v>
      </c>
      <c r="Q587" s="1" t="s">
        <v>25</v>
      </c>
      <c r="R587" s="1" t="s">
        <v>25</v>
      </c>
      <c r="S587" s="2">
        <v>46102.57771990741</v>
      </c>
      <c r="T587" s="2">
        <v>46102.57771990741</v>
      </c>
    </row>
    <row r="588">
      <c r="A588" s="1" t="s">
        <v>775</v>
      </c>
      <c r="B588" s="1">
        <v>1.0</v>
      </c>
      <c r="C588" s="1">
        <v>96.0</v>
      </c>
      <c r="D588" s="1">
        <v>4.297997E7</v>
      </c>
      <c r="E588" s="1" t="s">
        <v>25</v>
      </c>
      <c r="F588" s="1" t="s">
        <v>25</v>
      </c>
      <c r="G588" s="1" t="s">
        <v>25</v>
      </c>
      <c r="H588" s="1" t="s">
        <v>25</v>
      </c>
      <c r="I588" s="1" t="s">
        <v>25</v>
      </c>
      <c r="J588" s="1" t="s">
        <v>25</v>
      </c>
      <c r="K588" s="1" t="s">
        <v>25</v>
      </c>
      <c r="L588" s="1" t="s">
        <v>25</v>
      </c>
      <c r="M588" s="1">
        <v>3.516337358E9</v>
      </c>
      <c r="N588" s="1" t="s">
        <v>25</v>
      </c>
      <c r="O588" s="1" t="s">
        <v>25</v>
      </c>
      <c r="P588" s="1" t="s">
        <v>25</v>
      </c>
      <c r="Q588" s="1" t="s">
        <v>25</v>
      </c>
      <c r="R588" s="1" t="s">
        <v>25</v>
      </c>
      <c r="S588" s="2">
        <v>46102.595405092594</v>
      </c>
      <c r="T588" s="2">
        <v>46102.595405092594</v>
      </c>
    </row>
    <row r="589">
      <c r="A589" s="1" t="s">
        <v>777</v>
      </c>
      <c r="B589" s="1">
        <v>1.0</v>
      </c>
      <c r="C589" s="1">
        <v>96.0</v>
      </c>
      <c r="D589" s="1">
        <v>2.570342E7</v>
      </c>
      <c r="E589" s="1" t="s">
        <v>25</v>
      </c>
      <c r="F589" s="1" t="s">
        <v>25</v>
      </c>
      <c r="G589" s="1" t="s">
        <v>25</v>
      </c>
      <c r="H589" s="1" t="s">
        <v>25</v>
      </c>
      <c r="I589" s="1" t="s">
        <v>25</v>
      </c>
      <c r="J589" s="1" t="s">
        <v>25</v>
      </c>
      <c r="K589" s="1" t="s">
        <v>25</v>
      </c>
      <c r="L589" s="1" t="s">
        <v>25</v>
      </c>
      <c r="M589" s="1">
        <v>3.513672173E9</v>
      </c>
      <c r="N589" s="1" t="s">
        <v>25</v>
      </c>
      <c r="O589" s="1" t="s">
        <v>25</v>
      </c>
      <c r="P589" s="1" t="s">
        <v>25</v>
      </c>
      <c r="Q589" s="1" t="s">
        <v>25</v>
      </c>
      <c r="R589" s="1" t="s">
        <v>25</v>
      </c>
      <c r="S589" s="2">
        <v>46104.49266203704</v>
      </c>
      <c r="T589" s="2">
        <v>46104.49266203704</v>
      </c>
    </row>
    <row r="590">
      <c r="A590" s="1" t="s">
        <v>779</v>
      </c>
      <c r="B590" s="1">
        <v>1.0</v>
      </c>
      <c r="C590" s="1">
        <v>96.0</v>
      </c>
      <c r="D590" s="1">
        <v>2.2255904E7</v>
      </c>
      <c r="E590" s="1" t="s">
        <v>25</v>
      </c>
      <c r="F590" s="1" t="s">
        <v>25</v>
      </c>
      <c r="G590" s="1" t="s">
        <v>25</v>
      </c>
      <c r="H590" s="1" t="s">
        <v>25</v>
      </c>
      <c r="I590" s="1" t="s">
        <v>25</v>
      </c>
      <c r="J590" s="1" t="s">
        <v>25</v>
      </c>
      <c r="K590" s="1" t="s">
        <v>25</v>
      </c>
      <c r="L590" s="1" t="s">
        <v>25</v>
      </c>
      <c r="M590" s="1">
        <v>3.516080925E9</v>
      </c>
      <c r="N590" s="1" t="s">
        <v>25</v>
      </c>
      <c r="O590" s="1" t="s">
        <v>25</v>
      </c>
      <c r="P590" s="1" t="s">
        <v>25</v>
      </c>
      <c r="Q590" s="1" t="s">
        <v>25</v>
      </c>
      <c r="R590" s="1" t="s">
        <v>25</v>
      </c>
      <c r="S590" s="2">
        <v>46104.496412037035</v>
      </c>
      <c r="T590" s="2">
        <v>46104.496412037035</v>
      </c>
    </row>
    <row r="591">
      <c r="A591" s="1" t="s">
        <v>780</v>
      </c>
      <c r="B591" s="1">
        <v>1.0</v>
      </c>
      <c r="C591" s="1">
        <v>96.0</v>
      </c>
      <c r="D591" s="1">
        <v>3.8333062E7</v>
      </c>
      <c r="E591" s="1" t="s">
        <v>25</v>
      </c>
      <c r="F591" s="1" t="s">
        <v>25</v>
      </c>
      <c r="G591" s="1" t="s">
        <v>25</v>
      </c>
      <c r="H591" s="1" t="s">
        <v>25</v>
      </c>
      <c r="I591" s="1" t="s">
        <v>25</v>
      </c>
      <c r="J591" s="1" t="s">
        <v>25</v>
      </c>
      <c r="K591" s="1" t="s">
        <v>25</v>
      </c>
      <c r="L591" s="1" t="s">
        <v>25</v>
      </c>
      <c r="M591" s="1">
        <v>3.518065249E9</v>
      </c>
      <c r="N591" s="1" t="s">
        <v>1507</v>
      </c>
      <c r="O591" s="1" t="s">
        <v>25</v>
      </c>
      <c r="P591" s="1" t="s">
        <v>25</v>
      </c>
      <c r="Q591" s="1" t="s">
        <v>25</v>
      </c>
      <c r="R591" s="1" t="s">
        <v>25</v>
      </c>
      <c r="S591" s="2">
        <v>46106.41559027778</v>
      </c>
      <c r="T591" s="2">
        <v>46106.41559027778</v>
      </c>
    </row>
    <row r="592">
      <c r="A592" s="1" t="s">
        <v>781</v>
      </c>
      <c r="B592" s="1" t="s">
        <v>25</v>
      </c>
      <c r="C592" s="1">
        <v>96.0</v>
      </c>
      <c r="D592" s="1">
        <v>3.5564601E7</v>
      </c>
      <c r="E592" s="1" t="s">
        <v>25</v>
      </c>
      <c r="F592" s="1" t="s">
        <v>25</v>
      </c>
      <c r="G592" s="1" t="s">
        <v>25</v>
      </c>
      <c r="H592" s="1" t="s">
        <v>25</v>
      </c>
      <c r="I592" s="1" t="s">
        <v>25</v>
      </c>
      <c r="J592" s="1" t="s">
        <v>25</v>
      </c>
      <c r="K592" s="1" t="s">
        <v>25</v>
      </c>
      <c r="L592" s="1" t="s">
        <v>25</v>
      </c>
      <c r="M592" s="1">
        <v>3.515305756E9</v>
      </c>
      <c r="N592" s="1" t="s">
        <v>1508</v>
      </c>
      <c r="O592" s="1" t="s">
        <v>25</v>
      </c>
      <c r="P592" s="1" t="s">
        <v>25</v>
      </c>
      <c r="Q592" s="1" t="s">
        <v>25</v>
      </c>
      <c r="R592" s="1" t="s">
        <v>25</v>
      </c>
      <c r="S592" s="2">
        <v>46106.70018518518</v>
      </c>
      <c r="T592" s="2">
        <v>46106.70018518518</v>
      </c>
    </row>
    <row r="593">
      <c r="A593" s="1" t="s">
        <v>782</v>
      </c>
      <c r="B593" s="1">
        <v>1.0</v>
      </c>
      <c r="C593" s="1">
        <v>96.0</v>
      </c>
      <c r="D593" s="1">
        <v>2.3943954E7</v>
      </c>
      <c r="E593" s="1" t="s">
        <v>25</v>
      </c>
      <c r="F593" s="1" t="s">
        <v>25</v>
      </c>
      <c r="G593" s="1" t="s">
        <v>25</v>
      </c>
      <c r="H593" s="1" t="s">
        <v>25</v>
      </c>
      <c r="I593" s="1" t="s">
        <v>25</v>
      </c>
      <c r="J593" s="1" t="s">
        <v>25</v>
      </c>
      <c r="K593" s="1" t="s">
        <v>25</v>
      </c>
      <c r="L593" s="1" t="s">
        <v>25</v>
      </c>
      <c r="M593" s="1" t="s">
        <v>1509</v>
      </c>
      <c r="N593" s="1" t="s">
        <v>25</v>
      </c>
      <c r="O593" s="1" t="s">
        <v>25</v>
      </c>
      <c r="P593" s="1" t="s">
        <v>25</v>
      </c>
      <c r="Q593" s="1" t="s">
        <v>25</v>
      </c>
      <c r="R593" s="1" t="s">
        <v>25</v>
      </c>
      <c r="S593" s="2">
        <v>46107.48841435185</v>
      </c>
      <c r="T593" s="2">
        <v>46107.48841435185</v>
      </c>
    </row>
    <row r="594">
      <c r="A594" s="1" t="s">
        <v>783</v>
      </c>
      <c r="B594" s="1">
        <v>1.0</v>
      </c>
      <c r="C594" s="1">
        <v>96.0</v>
      </c>
      <c r="D594" s="1">
        <v>3.9080261E7</v>
      </c>
      <c r="E594" s="1" t="s">
        <v>25</v>
      </c>
      <c r="F594" s="1" t="s">
        <v>25</v>
      </c>
      <c r="G594" s="1" t="s">
        <v>25</v>
      </c>
      <c r="H594" s="1" t="s">
        <v>25</v>
      </c>
      <c r="I594" s="1" t="s">
        <v>25</v>
      </c>
      <c r="J594" s="1" t="s">
        <v>25</v>
      </c>
      <c r="K594" s="1" t="s">
        <v>25</v>
      </c>
      <c r="L594" s="1" t="s">
        <v>25</v>
      </c>
      <c r="M594" s="1">
        <v>3.518788366E9</v>
      </c>
      <c r="N594" s="1" t="s">
        <v>1510</v>
      </c>
      <c r="O594" s="1" t="s">
        <v>25</v>
      </c>
      <c r="P594" s="1" t="s">
        <v>25</v>
      </c>
      <c r="Q594" s="1" t="s">
        <v>25</v>
      </c>
      <c r="R594" s="1" t="s">
        <v>25</v>
      </c>
      <c r="S594" s="2">
        <v>46108.71476851852</v>
      </c>
      <c r="T594" s="2">
        <v>46108.71476851852</v>
      </c>
    </row>
    <row r="595">
      <c r="A595" s="1" t="s">
        <v>784</v>
      </c>
      <c r="B595" s="1">
        <v>1.0</v>
      </c>
      <c r="C595" s="1">
        <v>96.0</v>
      </c>
      <c r="D595" s="1">
        <v>5.246488E7</v>
      </c>
      <c r="E595" s="1" t="s">
        <v>25</v>
      </c>
      <c r="F595" s="1" t="s">
        <v>25</v>
      </c>
      <c r="G595" s="1" t="s">
        <v>25</v>
      </c>
      <c r="H595" s="1" t="s">
        <v>25</v>
      </c>
      <c r="I595" s="1" t="s">
        <v>25</v>
      </c>
      <c r="J595" s="1" t="s">
        <v>25</v>
      </c>
      <c r="K595" s="1" t="s">
        <v>25</v>
      </c>
      <c r="L595" s="1" t="s">
        <v>25</v>
      </c>
      <c r="M595" s="1">
        <v>3.51226911E9</v>
      </c>
      <c r="N595" s="1" t="s">
        <v>25</v>
      </c>
      <c r="O595" s="1" t="s">
        <v>25</v>
      </c>
      <c r="P595" s="1" t="s">
        <v>25</v>
      </c>
      <c r="Q595" s="1" t="s">
        <v>25</v>
      </c>
      <c r="R595" s="1" t="s">
        <v>25</v>
      </c>
      <c r="S595" s="2">
        <v>46108.766331018516</v>
      </c>
      <c r="T595" s="2">
        <v>46108.766331018516</v>
      </c>
    </row>
    <row r="596">
      <c r="A596" s="1" t="s">
        <v>785</v>
      </c>
      <c r="B596" s="1">
        <v>1.0</v>
      </c>
      <c r="C596" s="1">
        <v>96.0</v>
      </c>
      <c r="D596" s="1">
        <v>5.0994044E7</v>
      </c>
      <c r="E596" s="1" t="s">
        <v>25</v>
      </c>
      <c r="F596" s="1" t="s">
        <v>25</v>
      </c>
      <c r="G596" s="1" t="s">
        <v>25</v>
      </c>
      <c r="H596" s="1" t="s">
        <v>25</v>
      </c>
      <c r="I596" s="1" t="s">
        <v>25</v>
      </c>
      <c r="J596" s="1" t="s">
        <v>25</v>
      </c>
      <c r="K596" s="1" t="s">
        <v>25</v>
      </c>
      <c r="L596" s="1" t="s">
        <v>25</v>
      </c>
      <c r="M596" s="1">
        <v>3.516193346E9</v>
      </c>
      <c r="N596" s="1" t="s">
        <v>25</v>
      </c>
      <c r="O596" s="1" t="s">
        <v>25</v>
      </c>
      <c r="P596" s="1" t="s">
        <v>25</v>
      </c>
      <c r="Q596" s="1" t="s">
        <v>25</v>
      </c>
      <c r="R596" s="1" t="s">
        <v>25</v>
      </c>
      <c r="S596" s="2">
        <v>46109.48708333333</v>
      </c>
      <c r="T596" s="2">
        <v>46109.48708333333</v>
      </c>
    </row>
    <row r="597">
      <c r="A597" s="1" t="s">
        <v>786</v>
      </c>
      <c r="B597" s="1">
        <v>1.0</v>
      </c>
      <c r="C597" s="1">
        <v>96.0</v>
      </c>
      <c r="D597" s="1">
        <v>4.1123588E7</v>
      </c>
      <c r="E597" s="1" t="s">
        <v>25</v>
      </c>
      <c r="F597" s="1" t="s">
        <v>25</v>
      </c>
      <c r="G597" s="1" t="s">
        <v>25</v>
      </c>
      <c r="H597" s="1" t="s">
        <v>25</v>
      </c>
      <c r="I597" s="1" t="s">
        <v>25</v>
      </c>
      <c r="J597" s="1" t="s">
        <v>25</v>
      </c>
      <c r="K597" s="1" t="s">
        <v>25</v>
      </c>
      <c r="L597" s="1" t="s">
        <v>25</v>
      </c>
      <c r="M597" s="1">
        <v>2.974770845E9</v>
      </c>
      <c r="N597" s="1" t="s">
        <v>25</v>
      </c>
      <c r="O597" s="1" t="s">
        <v>25</v>
      </c>
      <c r="P597" s="1" t="s">
        <v>25</v>
      </c>
      <c r="Q597" s="1" t="s">
        <v>25</v>
      </c>
      <c r="R597" s="1" t="s">
        <v>25</v>
      </c>
      <c r="S597" s="2">
        <v>46109.50570601852</v>
      </c>
      <c r="T597" s="2">
        <v>46109.50570601852</v>
      </c>
    </row>
    <row r="598">
      <c r="A598" s="1" t="s">
        <v>787</v>
      </c>
      <c r="B598" s="1">
        <v>1.0</v>
      </c>
      <c r="C598" s="1">
        <v>96.0</v>
      </c>
      <c r="D598" s="1">
        <v>3.5260254E7</v>
      </c>
      <c r="E598" s="1" t="s">
        <v>25</v>
      </c>
      <c r="F598" s="1" t="s">
        <v>25</v>
      </c>
      <c r="G598" s="1" t="s">
        <v>25</v>
      </c>
      <c r="H598" s="1" t="s">
        <v>25</v>
      </c>
      <c r="I598" s="1" t="s">
        <v>25</v>
      </c>
      <c r="J598" s="1" t="s">
        <v>25</v>
      </c>
      <c r="K598" s="1" t="s">
        <v>25</v>
      </c>
      <c r="L598" s="1" t="s">
        <v>25</v>
      </c>
      <c r="M598" s="1">
        <v>3.512484607E9</v>
      </c>
      <c r="N598" s="1" t="s">
        <v>25</v>
      </c>
      <c r="O598" s="1" t="s">
        <v>25</v>
      </c>
      <c r="P598" s="1" t="s">
        <v>25</v>
      </c>
      <c r="Q598" s="1" t="s">
        <v>25</v>
      </c>
      <c r="R598" s="1" t="s">
        <v>25</v>
      </c>
      <c r="S598" s="2">
        <v>46109.557071759256</v>
      </c>
      <c r="T598" s="2">
        <v>46109.557071759256</v>
      </c>
    </row>
    <row r="599">
      <c r="A599" s="1" t="s">
        <v>789</v>
      </c>
      <c r="B599" s="1">
        <v>2.0</v>
      </c>
      <c r="C599" s="1">
        <v>96.0</v>
      </c>
      <c r="D599" s="1">
        <v>5.6244582E7</v>
      </c>
      <c r="E599" s="1" t="s">
        <v>25</v>
      </c>
      <c r="F599" s="1" t="s">
        <v>25</v>
      </c>
      <c r="G599" s="1" t="s">
        <v>25</v>
      </c>
      <c r="H599" s="1" t="s">
        <v>25</v>
      </c>
      <c r="I599" s="1" t="s">
        <v>25</v>
      </c>
      <c r="J599" s="1" t="s">
        <v>25</v>
      </c>
      <c r="K599" s="1" t="s">
        <v>25</v>
      </c>
      <c r="L599" s="1" t="s">
        <v>25</v>
      </c>
      <c r="M599" s="1" t="s">
        <v>1511</v>
      </c>
      <c r="N599" s="1" t="s">
        <v>25</v>
      </c>
      <c r="O599" s="1" t="s">
        <v>25</v>
      </c>
      <c r="P599" s="1" t="s">
        <v>25</v>
      </c>
      <c r="Q599" s="1" t="s">
        <v>25</v>
      </c>
      <c r="R599" s="1" t="s">
        <v>25</v>
      </c>
      <c r="S599" s="2">
        <v>46111.731261574074</v>
      </c>
      <c r="T599" s="2">
        <v>46111.731261574074</v>
      </c>
    </row>
    <row r="600">
      <c r="A600" s="1" t="s">
        <v>790</v>
      </c>
      <c r="B600" s="1">
        <v>1.0</v>
      </c>
      <c r="C600" s="1">
        <v>96.0</v>
      </c>
      <c r="D600" s="1">
        <v>2.2781932E7</v>
      </c>
      <c r="E600" s="1" t="s">
        <v>25</v>
      </c>
      <c r="F600" s="1" t="s">
        <v>25</v>
      </c>
      <c r="G600" s="1" t="s">
        <v>25</v>
      </c>
      <c r="H600" s="1" t="s">
        <v>25</v>
      </c>
      <c r="I600" s="1" t="s">
        <v>25</v>
      </c>
      <c r="J600" s="1" t="s">
        <v>25</v>
      </c>
      <c r="K600" s="1" t="s">
        <v>25</v>
      </c>
      <c r="L600" s="1" t="s">
        <v>25</v>
      </c>
      <c r="M600" s="1">
        <v>1.127036002E9</v>
      </c>
      <c r="N600" s="1" t="s">
        <v>25</v>
      </c>
      <c r="O600" s="1" t="s">
        <v>25</v>
      </c>
      <c r="P600" s="1" t="s">
        <v>25</v>
      </c>
      <c r="Q600" s="1" t="s">
        <v>25</v>
      </c>
      <c r="R600" s="1" t="s">
        <v>25</v>
      </c>
      <c r="S600" s="2">
        <v>46112.534155092595</v>
      </c>
      <c r="T600" s="2">
        <v>46112.534155092595</v>
      </c>
    </row>
    <row r="601">
      <c r="A601" s="1" t="s">
        <v>791</v>
      </c>
      <c r="B601" s="1">
        <v>1.0</v>
      </c>
      <c r="C601" s="1">
        <v>96.0</v>
      </c>
      <c r="D601" s="1">
        <v>2.7010123E7</v>
      </c>
      <c r="E601" s="1" t="s">
        <v>25</v>
      </c>
      <c r="F601" s="1" t="s">
        <v>25</v>
      </c>
      <c r="G601" s="1" t="s">
        <v>25</v>
      </c>
      <c r="H601" s="1" t="s">
        <v>25</v>
      </c>
      <c r="I601" s="1" t="s">
        <v>25</v>
      </c>
      <c r="J601" s="1" t="s">
        <v>25</v>
      </c>
      <c r="K601" s="1" t="s">
        <v>25</v>
      </c>
      <c r="L601" s="1" t="s">
        <v>25</v>
      </c>
      <c r="M601" s="1">
        <v>3.512363018E9</v>
      </c>
      <c r="N601" s="1" t="s">
        <v>25</v>
      </c>
      <c r="O601" s="1" t="s">
        <v>25</v>
      </c>
      <c r="P601" s="1" t="s">
        <v>25</v>
      </c>
      <c r="Q601" s="1" t="s">
        <v>25</v>
      </c>
      <c r="R601" s="1" t="s">
        <v>25</v>
      </c>
      <c r="S601" s="2">
        <v>46112.6841087963</v>
      </c>
      <c r="T601" s="2">
        <v>46112.6841087963</v>
      </c>
    </row>
    <row r="602">
      <c r="A602" s="1" t="s">
        <v>792</v>
      </c>
      <c r="B602" s="1">
        <v>1.0</v>
      </c>
      <c r="C602" s="1">
        <v>96.0</v>
      </c>
      <c r="D602" s="1">
        <v>3.5090859E7</v>
      </c>
      <c r="E602" s="1" t="s">
        <v>25</v>
      </c>
      <c r="F602" s="1" t="s">
        <v>25</v>
      </c>
      <c r="G602" s="1" t="s">
        <v>25</v>
      </c>
      <c r="H602" s="1" t="s">
        <v>25</v>
      </c>
      <c r="I602" s="1" t="s">
        <v>25</v>
      </c>
      <c r="J602" s="1" t="s">
        <v>25</v>
      </c>
      <c r="K602" s="1" t="s">
        <v>25</v>
      </c>
      <c r="L602" s="1" t="s">
        <v>25</v>
      </c>
      <c r="M602" s="1">
        <v>3.513889986E9</v>
      </c>
      <c r="N602" s="1" t="s">
        <v>25</v>
      </c>
      <c r="O602" s="1" t="s">
        <v>25</v>
      </c>
      <c r="P602" s="1" t="s">
        <v>25</v>
      </c>
      <c r="Q602" s="1" t="s">
        <v>25</v>
      </c>
      <c r="R602" s="1" t="s">
        <v>25</v>
      </c>
      <c r="S602" s="2">
        <v>46112.703831018516</v>
      </c>
      <c r="T602" s="2">
        <v>46112.703831018516</v>
      </c>
    </row>
    <row r="603">
      <c r="A603" s="1" t="s">
        <v>793</v>
      </c>
      <c r="B603" s="1">
        <v>1.0</v>
      </c>
      <c r="C603" s="1">
        <v>96.0</v>
      </c>
      <c r="D603" s="1">
        <v>1.7629641E7</v>
      </c>
      <c r="E603" s="1" t="s">
        <v>25</v>
      </c>
      <c r="F603" s="1" t="s">
        <v>25</v>
      </c>
      <c r="G603" s="1" t="s">
        <v>25</v>
      </c>
      <c r="H603" s="1" t="s">
        <v>25</v>
      </c>
      <c r="I603" s="1" t="s">
        <v>25</v>
      </c>
      <c r="J603" s="1" t="s">
        <v>25</v>
      </c>
      <c r="K603" s="1" t="s">
        <v>25</v>
      </c>
      <c r="L603" s="1" t="s">
        <v>25</v>
      </c>
      <c r="M603" s="1">
        <v>3.51249226E9</v>
      </c>
      <c r="N603" s="1" t="s">
        <v>25</v>
      </c>
      <c r="O603" s="1" t="s">
        <v>25</v>
      </c>
      <c r="P603" s="1" t="s">
        <v>25</v>
      </c>
      <c r="Q603" s="1" t="s">
        <v>25</v>
      </c>
      <c r="R603" s="1" t="s">
        <v>25</v>
      </c>
      <c r="S603" s="2">
        <v>46113.4793287037</v>
      </c>
      <c r="T603" s="2">
        <v>46113.4793287037</v>
      </c>
    </row>
  </sheetData>
  <drawing r:id="rId1"/>
</worksheet>
</file>